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EstaPasta_de_trabalho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Pri\Google Drive\PRISCILLA 10-09-2020\PIZZA\2020\"/>
    </mc:Choice>
  </mc:AlternateContent>
  <bookViews>
    <workbookView xWindow="-120" yWindow="-120" windowWidth="20730" windowHeight="11160" tabRatio="631" activeTab="1"/>
  </bookViews>
  <sheets>
    <sheet name="Lançamento" sheetId="52" r:id="rId1"/>
    <sheet name="Clientes" sheetId="44" r:id="rId2"/>
    <sheet name="Pedidos" sheetId="45" r:id="rId3"/>
    <sheet name="RELATÓRIOS" sheetId="48" r:id="rId4"/>
    <sheet name="Quantitativo" sheetId="55" r:id="rId5"/>
    <sheet name="SETORIZAÇÃO IMPRESSÃO" sheetId="56" r:id="rId6"/>
    <sheet name="Planilha1" sheetId="57" r:id="rId7"/>
    <sheet name="PRINCIPAL" sheetId="47" r:id="rId8"/>
    <sheet name="Vendedores" sheetId="49" r:id="rId9"/>
    <sheet name="Pizzas -Produtos" sheetId="46" r:id="rId10"/>
    <sheet name="Setorização" sheetId="53" r:id="rId11"/>
    <sheet name="Plan1" sheetId="54" r:id="rId12"/>
    <sheet name="Original" sheetId="43" r:id="rId13"/>
  </sheets>
  <externalReferences>
    <externalReference r:id="rId14"/>
  </externalReferences>
  <definedNames>
    <definedName name="_xlnm._FilterDatabase" localSheetId="1" hidden="1">Clientes!$B$2:$L$82</definedName>
    <definedName name="_xlnm._FilterDatabase" localSheetId="12" hidden="1">Original!$I$1:$I$139</definedName>
    <definedName name="_xlnm._FilterDatabase" localSheetId="2" hidden="1">Pedidos!$B$1:$P$1</definedName>
    <definedName name="_xlnm.Print_Area" localSheetId="12">Original!$A$1:$J$139</definedName>
    <definedName name="_xlnm.Print_Area" localSheetId="6">PEDIDOS_2[[#All],[Cliente]:[Vendedor]]</definedName>
    <definedName name="_xlnm.Print_Area" localSheetId="7">PRINCIPAL!$C$3:$F$16</definedName>
    <definedName name="Clientes" comment="Lista de clientes da planilha clientes">Clientes!$B:$B</definedName>
    <definedName name="DadosExternos_1" localSheetId="6" hidden="1">Planilha1!$A$1:$I$82</definedName>
    <definedName name="OUTRO">Lançamento!$L$13:$L$13</definedName>
    <definedName name="ped_Pizza" comment="Planilha de itens do pedido em lançamento">Lançamento!$A$14:$E$20</definedName>
    <definedName name="Produto" comment="Produtos descritivo">[1]!Produtos[Descritivo]</definedName>
    <definedName name="_xlnm.Print_Titles" localSheetId="6">Planilha1!$1:$1</definedName>
    <definedName name="VENDEDORES">Vendedores!$A$2:$G$53</definedName>
  </definedNames>
  <calcPr calcId="152511"/>
  <pivotCaches>
    <pivotCache cacheId="0" r:id="rId15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G9" i="52" l="1"/>
  <c r="G8" i="52"/>
  <c r="Q5" i="45" l="1"/>
  <c r="Q6" i="45"/>
  <c r="Q7" i="45"/>
  <c r="Q8" i="45"/>
  <c r="Q9" i="45"/>
  <c r="Q10" i="45"/>
  <c r="Q11" i="45"/>
  <c r="Q12" i="45"/>
  <c r="Q13" i="45"/>
  <c r="Q14" i="45"/>
  <c r="Q15" i="45"/>
  <c r="Q16" i="45"/>
  <c r="Q17" i="45"/>
  <c r="Q18" i="45"/>
  <c r="Q19" i="45"/>
  <c r="Q20" i="45"/>
  <c r="Q21" i="45"/>
  <c r="Q22" i="45"/>
  <c r="Q23" i="45"/>
  <c r="Q24" i="45"/>
  <c r="Q25" i="45"/>
  <c r="Q26" i="45"/>
  <c r="Q27" i="45"/>
  <c r="Q28" i="45"/>
  <c r="Q29" i="45"/>
  <c r="Q30" i="45"/>
  <c r="Q31" i="45"/>
  <c r="Q32" i="45"/>
  <c r="Q33" i="45"/>
  <c r="Q34" i="45"/>
  <c r="Q35" i="45"/>
  <c r="Q36" i="45"/>
  <c r="Q37" i="45"/>
  <c r="Q38" i="45"/>
  <c r="Q39" i="45"/>
  <c r="Q40" i="45"/>
  <c r="Q41" i="45"/>
  <c r="Q42" i="45"/>
  <c r="Q43" i="45"/>
  <c r="Q44" i="45"/>
  <c r="Q45" i="45"/>
  <c r="Q46" i="45"/>
  <c r="Q47" i="45"/>
  <c r="Q48" i="45"/>
  <c r="Q49" i="45"/>
  <c r="Q50" i="45"/>
  <c r="Q51" i="45"/>
  <c r="Q52" i="45"/>
  <c r="Q53" i="45"/>
  <c r="Q54" i="45"/>
  <c r="Q55" i="45"/>
  <c r="Q56" i="45"/>
  <c r="Q57" i="45"/>
  <c r="Q58" i="45"/>
  <c r="Q59" i="45"/>
  <c r="Q60" i="45"/>
  <c r="Q61" i="45"/>
  <c r="Q62" i="45"/>
  <c r="Q63" i="45"/>
  <c r="Q64" i="45"/>
  <c r="Q65" i="45"/>
  <c r="Q66" i="45"/>
  <c r="Q67" i="45"/>
  <c r="Q68" i="45"/>
  <c r="Q69" i="45"/>
  <c r="Q70" i="45"/>
  <c r="Q71" i="45"/>
  <c r="Q72" i="45"/>
  <c r="Q73" i="45"/>
  <c r="Q74" i="45"/>
  <c r="Q75" i="45"/>
  <c r="Q76" i="45"/>
  <c r="Q77" i="45"/>
  <c r="Q78" i="45"/>
  <c r="Q79" i="45"/>
  <c r="Q80" i="45"/>
  <c r="Q81" i="45"/>
  <c r="Q82" i="45"/>
  <c r="Q83" i="45"/>
  <c r="Q84" i="45"/>
  <c r="Q85" i="45"/>
  <c r="Q86" i="45"/>
  <c r="Q87" i="45"/>
  <c r="Q88" i="45"/>
  <c r="Q89" i="45"/>
  <c r="Q90" i="45"/>
  <c r="Q91" i="45"/>
  <c r="Q92" i="45"/>
  <c r="Q93" i="45"/>
  <c r="Q94" i="45"/>
  <c r="Q95" i="45"/>
  <c r="Q96" i="45"/>
  <c r="Q97" i="45"/>
  <c r="Q98" i="45"/>
  <c r="Q99" i="45"/>
  <c r="Q100" i="45"/>
  <c r="Q101" i="45"/>
  <c r="Q102" i="45"/>
  <c r="Q103" i="45"/>
  <c r="Q104" i="45"/>
  <c r="Q105" i="45"/>
  <c r="Q106" i="45"/>
  <c r="Q107" i="45"/>
  <c r="Q108" i="45" l="1"/>
  <c r="Q109" i="45"/>
  <c r="Q110" i="45"/>
  <c r="Q111" i="45"/>
  <c r="Q112" i="45"/>
  <c r="Q113" i="45" l="1"/>
  <c r="Q114" i="45"/>
  <c r="Q115" i="45"/>
  <c r="Q116" i="45"/>
  <c r="Q117" i="45"/>
  <c r="Q118" i="45"/>
  <c r="Q119" i="45"/>
  <c r="Q120" i="45"/>
  <c r="Q121" i="45"/>
  <c r="Q122" i="45"/>
  <c r="Q123" i="45"/>
  <c r="Q124" i="45"/>
  <c r="Q125" i="45"/>
  <c r="Q126" i="45"/>
  <c r="Q127" i="45"/>
  <c r="Q128" i="45"/>
  <c r="Q129" i="45"/>
  <c r="Q130" i="45"/>
  <c r="Q131" i="45"/>
  <c r="Q132" i="45"/>
  <c r="Q133" i="45"/>
  <c r="Q134" i="45"/>
  <c r="Q135" i="45"/>
  <c r="Q136" i="45"/>
  <c r="Q137" i="45" l="1"/>
  <c r="Q138" i="45"/>
  <c r="Q139" i="45"/>
  <c r="Q140" i="45"/>
  <c r="Q141" i="45"/>
  <c r="Q142" i="45"/>
  <c r="Q143" i="45"/>
  <c r="Q144" i="45"/>
  <c r="Q145" i="45"/>
  <c r="Q146" i="45"/>
  <c r="Q147" i="45"/>
  <c r="Q148" i="45"/>
  <c r="Q149" i="45"/>
  <c r="Q150" i="45"/>
  <c r="Q151" i="45"/>
  <c r="Q152" i="45"/>
  <c r="Q153" i="45"/>
  <c r="Q154" i="45"/>
  <c r="Q155" i="45"/>
  <c r="Q156" i="45"/>
  <c r="Q157" i="45"/>
  <c r="Q158" i="45"/>
  <c r="Q159" i="45"/>
  <c r="Q160" i="45"/>
  <c r="Q161" i="45"/>
  <c r="Q162" i="45"/>
  <c r="Q163" i="45"/>
  <c r="Q164" i="45"/>
  <c r="Q165" i="45"/>
  <c r="Q166" i="45"/>
  <c r="Q167" i="45"/>
  <c r="Q168" i="45"/>
  <c r="Q169" i="45"/>
  <c r="Q170" i="45"/>
  <c r="Q171" i="45"/>
  <c r="Q172" i="45"/>
  <c r="Q173" i="45"/>
  <c r="Q174" i="45"/>
  <c r="Q175" i="45"/>
  <c r="Q176" i="45"/>
  <c r="Q177" i="45"/>
  <c r="Q178" i="45"/>
  <c r="Q179" i="45"/>
  <c r="Q180" i="45"/>
  <c r="Q181" i="45"/>
  <c r="Q182" i="45"/>
  <c r="Q183" i="45"/>
  <c r="Q184" i="45"/>
  <c r="Q185" i="45"/>
  <c r="Q186" i="45"/>
  <c r="Q187" i="45"/>
  <c r="Q188" i="45"/>
  <c r="Q189" i="45"/>
  <c r="Q190" i="45"/>
  <c r="Q191" i="45"/>
  <c r="Q192" i="45"/>
  <c r="Q193" i="45"/>
  <c r="Q194" i="45"/>
  <c r="Q195" i="45"/>
  <c r="Q196" i="45"/>
  <c r="Q197" i="45"/>
  <c r="Q198" i="45"/>
  <c r="Q199" i="45"/>
  <c r="Q200" i="45"/>
  <c r="Q201" i="45"/>
  <c r="Q202" i="45"/>
  <c r="Q203" i="45"/>
  <c r="Q204" i="45"/>
  <c r="Q205" i="45"/>
  <c r="Q206" i="45"/>
  <c r="Q207" i="45"/>
  <c r="Q208" i="45"/>
  <c r="Q209" i="45"/>
  <c r="Q210" i="45"/>
  <c r="Q211" i="45"/>
  <c r="Q212" i="45"/>
  <c r="Q213" i="45"/>
  <c r="Q214" i="45"/>
  <c r="Q215" i="45"/>
  <c r="Q216" i="45"/>
  <c r="Q217" i="45"/>
  <c r="Q218" i="45"/>
  <c r="Q219" i="45"/>
  <c r="Q220" i="45"/>
  <c r="Q221" i="45"/>
  <c r="Q222" i="45"/>
  <c r="Q223" i="45"/>
  <c r="Q224" i="45"/>
  <c r="Q225" i="45"/>
  <c r="Q226" i="45"/>
  <c r="Q227" i="45"/>
  <c r="Q228" i="45"/>
  <c r="Q229" i="45"/>
  <c r="Q230" i="45"/>
  <c r="Q231" i="45"/>
  <c r="Q232" i="45"/>
  <c r="Q233" i="45"/>
  <c r="Q234" i="45"/>
  <c r="Q235" i="45"/>
  <c r="Q236" i="45"/>
  <c r="Q237" i="45"/>
  <c r="Q238" i="45"/>
  <c r="Q239" i="45"/>
  <c r="Q240" i="45"/>
  <c r="Q241" i="45"/>
  <c r="Q242" i="45"/>
  <c r="Q243" i="45"/>
  <c r="Q244" i="45"/>
  <c r="Q245" i="45"/>
  <c r="Q246" i="45"/>
  <c r="Q247" i="45"/>
  <c r="Q248" i="45"/>
  <c r="Q249" i="45"/>
  <c r="Q250" i="45"/>
  <c r="Q251" i="45"/>
  <c r="Q252" i="45"/>
  <c r="Q253" i="45"/>
  <c r="Q254" i="45"/>
  <c r="Q255" i="45"/>
  <c r="Q256" i="45"/>
  <c r="Q257" i="45"/>
  <c r="Q258" i="45"/>
  <c r="Q259" i="45"/>
  <c r="Q260" i="45"/>
  <c r="Q261" i="45"/>
  <c r="Q262" i="45"/>
  <c r="Q263" i="45"/>
  <c r="Q264" i="45"/>
  <c r="Q265" i="45"/>
  <c r="Q266" i="45"/>
  <c r="Q267" i="45"/>
  <c r="Q268" i="45"/>
  <c r="Q269" i="45"/>
  <c r="Q270" i="45"/>
  <c r="Q271" i="45"/>
  <c r="Q272" i="45"/>
  <c r="Q273" i="45"/>
  <c r="Q274" i="45"/>
  <c r="Q275" i="45"/>
  <c r="Q276" i="45"/>
  <c r="Q277" i="45"/>
  <c r="Q278" i="45"/>
  <c r="Q279" i="45"/>
  <c r="Q280" i="45"/>
  <c r="Q281" i="45"/>
  <c r="Q282" i="45"/>
  <c r="Q283" i="45"/>
  <c r="Q284" i="45"/>
  <c r="Q285" i="45"/>
  <c r="Q286" i="45"/>
  <c r="Q287" i="45"/>
  <c r="Q288" i="45"/>
  <c r="Q289" i="45"/>
  <c r="Q290" i="45"/>
  <c r="Q291" i="45"/>
  <c r="Q292" i="45"/>
  <c r="Q293" i="45"/>
  <c r="Q294" i="45"/>
  <c r="Q295" i="45"/>
  <c r="Q296" i="45"/>
  <c r="Q297" i="45"/>
  <c r="Q298" i="45"/>
  <c r="Q299" i="45"/>
  <c r="Q300" i="45"/>
  <c r="Q301" i="45"/>
  <c r="Q302" i="45"/>
  <c r="Q303" i="45"/>
  <c r="Q304" i="45"/>
  <c r="Q305" i="45"/>
  <c r="Q306" i="45"/>
  <c r="Q307" i="45"/>
  <c r="Q308" i="45"/>
  <c r="Q309" i="45"/>
  <c r="Q310" i="45"/>
  <c r="Q311" i="45"/>
  <c r="Q312" i="45"/>
  <c r="Q313" i="45"/>
  <c r="Q314" i="45"/>
  <c r="Q315" i="45"/>
  <c r="Q316" i="45"/>
  <c r="Q317" i="45"/>
  <c r="Q318" i="45"/>
  <c r="Q319" i="45"/>
  <c r="Q320" i="45"/>
  <c r="Q321" i="45"/>
  <c r="Q322" i="45"/>
  <c r="Q323" i="45"/>
  <c r="Q324" i="45"/>
  <c r="Q325" i="45"/>
  <c r="Q326" i="45"/>
  <c r="Q327" i="45"/>
  <c r="Q328" i="45" l="1"/>
  <c r="Q329" i="45"/>
  <c r="Q330" i="45"/>
  <c r="Q331" i="45"/>
  <c r="Q332" i="45"/>
  <c r="Q333" i="45"/>
  <c r="Q334" i="45"/>
  <c r="Q335" i="45"/>
  <c r="Q336" i="45"/>
  <c r="Q337" i="45"/>
  <c r="Q338" i="45"/>
  <c r="Q339" i="45"/>
  <c r="Q340" i="45"/>
  <c r="Q341" i="45"/>
  <c r="Q342" i="45"/>
  <c r="Q343" i="45"/>
  <c r="Q344" i="45"/>
  <c r="Q345" i="45"/>
  <c r="Q346" i="45"/>
  <c r="Q347" i="45"/>
  <c r="Q348" i="45"/>
  <c r="Q349" i="45"/>
  <c r="Q350" i="45"/>
  <c r="Q351" i="45"/>
  <c r="Q352" i="45"/>
  <c r="Q353" i="45"/>
  <c r="Q354" i="45"/>
  <c r="Q355" i="45"/>
  <c r="Q356" i="45"/>
  <c r="Q357" i="45"/>
  <c r="Q358" i="45"/>
  <c r="Q359" i="45"/>
  <c r="Q360" i="45"/>
  <c r="Q361" i="45"/>
  <c r="Q362" i="45"/>
  <c r="Q363" i="45"/>
  <c r="Q364" i="45"/>
  <c r="Q365" i="45"/>
  <c r="Q366" i="45"/>
  <c r="Q367" i="45"/>
  <c r="Q368" i="45"/>
  <c r="Q369" i="45"/>
  <c r="Q370" i="45"/>
  <c r="Q371" i="45"/>
  <c r="Q372" i="45"/>
  <c r="Q373" i="45"/>
  <c r="Q374" i="45"/>
  <c r="Q375" i="45"/>
  <c r="Q376" i="45"/>
  <c r="Q377" i="45"/>
  <c r="Q378" i="45"/>
  <c r="Q379" i="45"/>
  <c r="Q380" i="45"/>
  <c r="Q381" i="45"/>
  <c r="Q382" i="45"/>
  <c r="Q383" i="45"/>
  <c r="Q384" i="45"/>
  <c r="Q385" i="45"/>
  <c r="Q386" i="45"/>
  <c r="Q387" i="45"/>
  <c r="Q388" i="45"/>
  <c r="Q389" i="45"/>
  <c r="Q390" i="45"/>
  <c r="Q391" i="45"/>
  <c r="Q392" i="45"/>
  <c r="Q393" i="45"/>
  <c r="Q394" i="45"/>
  <c r="Q395" i="45"/>
  <c r="Q396" i="45"/>
  <c r="Q397" i="45"/>
  <c r="Q398" i="45"/>
  <c r="Q399" i="45"/>
  <c r="Q400" i="45"/>
  <c r="Q401" i="45"/>
  <c r="Q402" i="45"/>
  <c r="Q403" i="45"/>
  <c r="Q404" i="45"/>
  <c r="Q405" i="45"/>
  <c r="Q406" i="45"/>
  <c r="Q407" i="45"/>
  <c r="Q408" i="45"/>
  <c r="Q409" i="45"/>
  <c r="Q410" i="45"/>
  <c r="Q411" i="45"/>
  <c r="Q412" i="45"/>
  <c r="Q413" i="45"/>
  <c r="Q414" i="45"/>
  <c r="Q415" i="45"/>
  <c r="Q416" i="45"/>
  <c r="Q417" i="45"/>
  <c r="Q418" i="45"/>
  <c r="Q419" i="45"/>
  <c r="Q420" i="45"/>
  <c r="Q421" i="45"/>
  <c r="Q422" i="45"/>
  <c r="Q423" i="45"/>
  <c r="Q424" i="45"/>
  <c r="Q425" i="45"/>
  <c r="Q426" i="45"/>
  <c r="Q427" i="45"/>
  <c r="Q428" i="45"/>
  <c r="Q429" i="45"/>
  <c r="Q430" i="45"/>
  <c r="Q431" i="45"/>
  <c r="Q432" i="45"/>
  <c r="Q433" i="45"/>
  <c r="Q434" i="45"/>
  <c r="Q435" i="45"/>
  <c r="Q436" i="45"/>
  <c r="Q437" i="45"/>
  <c r="Q438" i="45"/>
  <c r="Q439" i="45"/>
  <c r="Q440" i="45"/>
  <c r="Q441" i="45"/>
  <c r="Q442" i="45"/>
  <c r="Q443" i="45"/>
  <c r="Q444" i="45"/>
  <c r="Q445" i="45"/>
  <c r="Q446" i="45"/>
  <c r="Q447" i="45"/>
  <c r="Q448" i="45"/>
  <c r="Q449" i="45"/>
  <c r="Q450" i="45"/>
  <c r="Q451" i="45"/>
  <c r="Q452" i="45"/>
  <c r="Q453" i="45"/>
  <c r="Q454" i="45"/>
  <c r="Q455" i="45"/>
  <c r="Q456" i="45"/>
  <c r="Q457" i="45"/>
  <c r="Q458" i="45"/>
  <c r="Q459" i="45"/>
  <c r="Q460" i="45"/>
  <c r="Q461" i="45"/>
  <c r="Q462" i="45"/>
  <c r="Q463" i="45"/>
  <c r="Q464" i="45"/>
  <c r="Q465" i="45"/>
  <c r="Q466" i="45"/>
  <c r="Q467" i="45"/>
  <c r="Q468" i="45"/>
  <c r="Q469" i="45"/>
  <c r="Q470" i="45"/>
  <c r="Q471" i="45"/>
  <c r="Q472" i="45"/>
  <c r="Q473" i="45"/>
  <c r="Q474" i="45"/>
  <c r="Q475" i="45"/>
  <c r="Q476" i="45"/>
  <c r="Q477" i="45"/>
  <c r="Q478" i="45"/>
  <c r="Q479" i="45"/>
  <c r="Q480" i="45"/>
  <c r="Q481" i="45"/>
  <c r="Q482" i="45"/>
  <c r="Q483" i="45"/>
  <c r="Q484" i="45"/>
  <c r="Q485" i="45"/>
  <c r="Q486" i="45"/>
  <c r="Q487" i="45"/>
  <c r="Q488" i="45"/>
  <c r="Q489" i="45"/>
  <c r="Q490" i="45"/>
  <c r="Q491" i="45"/>
  <c r="Q492" i="45"/>
  <c r="Q493" i="45"/>
  <c r="Q494" i="45"/>
  <c r="Q495" i="45"/>
  <c r="Q496" i="45"/>
  <c r="Q497" i="45"/>
  <c r="Q498" i="45"/>
  <c r="Q499" i="45"/>
  <c r="Q500" i="45"/>
  <c r="Q501" i="45"/>
  <c r="Q502" i="45"/>
  <c r="Q503" i="45"/>
  <c r="Q504" i="45"/>
  <c r="Q505" i="45"/>
  <c r="Q506" i="45"/>
  <c r="Q507" i="45"/>
  <c r="Q508" i="45"/>
  <c r="Q509" i="45"/>
  <c r="Q510" i="45"/>
  <c r="Q511" i="45"/>
  <c r="Q512" i="45"/>
  <c r="Q513" i="45"/>
  <c r="Q514" i="45"/>
  <c r="Q515" i="45"/>
  <c r="Q516" i="45"/>
  <c r="Q517" i="45"/>
  <c r="Q518" i="45"/>
  <c r="Q519" i="45"/>
  <c r="Q520" i="45"/>
  <c r="Q521" i="45"/>
  <c r="Q522" i="45"/>
  <c r="Q523" i="45"/>
  <c r="Q524" i="45"/>
  <c r="Q525" i="45"/>
  <c r="Q526" i="45"/>
  <c r="Q527" i="45"/>
  <c r="Q528" i="45"/>
  <c r="Q529" i="45"/>
  <c r="Q530" i="45"/>
  <c r="Q531" i="45"/>
  <c r="Q532" i="45"/>
  <c r="Q533" i="45"/>
  <c r="Q534" i="45"/>
  <c r="Q535" i="45"/>
  <c r="Q536" i="45"/>
  <c r="Q537" i="45"/>
  <c r="Q538" i="45"/>
  <c r="Q539" i="45"/>
  <c r="Q540" i="45"/>
  <c r="Q541" i="45"/>
  <c r="Q542" i="45"/>
  <c r="Q543" i="45"/>
  <c r="Q544" i="45"/>
  <c r="Q545" i="45"/>
  <c r="Q546" i="45"/>
  <c r="Q547" i="45"/>
  <c r="Q548" i="45"/>
  <c r="Q549" i="45"/>
  <c r="Q550" i="45"/>
  <c r="Q551" i="45"/>
  <c r="Q552" i="45"/>
  <c r="Q553" i="45"/>
  <c r="Q554" i="45"/>
  <c r="Q555" i="45"/>
  <c r="Q556" i="45"/>
  <c r="Q557" i="45"/>
  <c r="Q558" i="45"/>
  <c r="Q559" i="45"/>
  <c r="Q560" i="45"/>
  <c r="Q561" i="45"/>
  <c r="Q562" i="45"/>
  <c r="Q563" i="45"/>
  <c r="Q564" i="45"/>
  <c r="Q565" i="45"/>
  <c r="Q566" i="45"/>
  <c r="Q567" i="45"/>
  <c r="Q568" i="45"/>
  <c r="Q569" i="45"/>
  <c r="Q570" i="45"/>
  <c r="Q571" i="45"/>
  <c r="Q572" i="45"/>
  <c r="Q573" i="45"/>
  <c r="Q574" i="45"/>
  <c r="Q575" i="45"/>
  <c r="Q576" i="45"/>
  <c r="Q577" i="45"/>
  <c r="Q578" i="45"/>
  <c r="Q579" i="45"/>
  <c r="Q580" i="45"/>
  <c r="Q581" i="45"/>
  <c r="Q582" i="45"/>
  <c r="Q583" i="45"/>
  <c r="Q584" i="45"/>
  <c r="Q585" i="45"/>
  <c r="Q586" i="45"/>
  <c r="Q587" i="45"/>
  <c r="Q588" i="45"/>
  <c r="Q589" i="45"/>
  <c r="Q590" i="45"/>
  <c r="Q591" i="45"/>
  <c r="Q592" i="45"/>
  <c r="Q593" i="45"/>
  <c r="Q594" i="45"/>
  <c r="Q595" i="45"/>
  <c r="Q596" i="45"/>
  <c r="Q597" i="45"/>
  <c r="Q598" i="45"/>
  <c r="Q599" i="45"/>
  <c r="Q600" i="45"/>
  <c r="Q601" i="45"/>
  <c r="Q602" i="45"/>
  <c r="Q603" i="45"/>
  <c r="Q604" i="45"/>
  <c r="Q605" i="45"/>
  <c r="Q606" i="45"/>
  <c r="Q607" i="45"/>
  <c r="Q608" i="45"/>
  <c r="Q609" i="45"/>
  <c r="Q610" i="45"/>
  <c r="Q611" i="45"/>
  <c r="Q612" i="45"/>
  <c r="Q613" i="45"/>
  <c r="Q614" i="45"/>
  <c r="Q615" i="45"/>
  <c r="B4" i="52" l="1"/>
  <c r="Q1734" i="45" l="1"/>
  <c r="Q1744" i="45"/>
  <c r="Q1743" i="45"/>
  <c r="Q1742" i="45"/>
  <c r="Q1741" i="45"/>
  <c r="Q1740" i="45"/>
  <c r="Q1739" i="45"/>
  <c r="Q1738" i="45"/>
  <c r="Q1859" i="45"/>
  <c r="Q1858" i="45"/>
  <c r="Q1857" i="45"/>
  <c r="Q1856" i="45"/>
  <c r="Q1855" i="45"/>
  <c r="Q1854" i="45"/>
  <c r="Q1853" i="45"/>
  <c r="Q1852" i="45"/>
  <c r="Q1851" i="45"/>
  <c r="Q1850" i="45"/>
  <c r="Q1849" i="45"/>
  <c r="Q1848" i="45"/>
  <c r="Q1847" i="45"/>
  <c r="Q1846" i="45"/>
  <c r="Q1845" i="45"/>
  <c r="Q1844" i="45"/>
  <c r="Q1843" i="45"/>
  <c r="Q1842" i="45"/>
  <c r="Q1841" i="45"/>
  <c r="Q1840" i="45"/>
  <c r="Q1839" i="45"/>
  <c r="Q1838" i="45"/>
  <c r="Q1837" i="45"/>
  <c r="Q1836" i="45"/>
  <c r="Q1835" i="45"/>
  <c r="Q1834" i="45"/>
  <c r="Q1833" i="45"/>
  <c r="Q1832" i="45"/>
  <c r="Q1831" i="45"/>
  <c r="Q1830" i="45"/>
  <c r="Q1829" i="45"/>
  <c r="Q1828" i="45"/>
  <c r="Q1827" i="45"/>
  <c r="Q1826" i="45"/>
  <c r="Q1825" i="45"/>
  <c r="Q1824" i="45"/>
  <c r="Q1823" i="45"/>
  <c r="Q1822" i="45"/>
  <c r="Q1821" i="45"/>
  <c r="Q1820" i="45"/>
  <c r="Q1819" i="45"/>
  <c r="Q1818" i="45"/>
  <c r="Q1817" i="45"/>
  <c r="Q1816" i="45"/>
  <c r="Q1815" i="45"/>
  <c r="Q1814" i="45"/>
  <c r="Q1813" i="45"/>
  <c r="Q1812" i="45"/>
  <c r="Q1811" i="45"/>
  <c r="Q1810" i="45"/>
  <c r="Q1809" i="45"/>
  <c r="Q1808" i="45"/>
  <c r="Q1807" i="45"/>
  <c r="Q1806" i="45"/>
  <c r="Q1805" i="45"/>
  <c r="Q1804" i="45"/>
  <c r="Q1803" i="45"/>
  <c r="Q1802" i="45"/>
  <c r="Q1801" i="45"/>
  <c r="Q1800" i="45"/>
  <c r="Q1799" i="45"/>
  <c r="Q1798" i="45"/>
  <c r="Q1797" i="45"/>
  <c r="Q1796" i="45"/>
  <c r="Q1795" i="45"/>
  <c r="Q1794" i="45"/>
  <c r="Q1793" i="45"/>
  <c r="Q1792" i="45"/>
  <c r="Q1791" i="45"/>
  <c r="Q1790" i="45"/>
  <c r="Q1789" i="45"/>
  <c r="Q1788" i="45"/>
  <c r="Q1787" i="45"/>
  <c r="Q1786" i="45"/>
  <c r="Q1785" i="45"/>
  <c r="Q1784" i="45"/>
  <c r="Q1783" i="45"/>
  <c r="Q1782" i="45"/>
  <c r="Q1781" i="45"/>
  <c r="Q1780" i="45"/>
  <c r="Q1779" i="45"/>
  <c r="Q1778" i="45"/>
  <c r="Q1777" i="45"/>
  <c r="Q1776" i="45"/>
  <c r="Q1775" i="45"/>
  <c r="Q1774" i="45"/>
  <c r="Q1773" i="45"/>
  <c r="Q1772" i="45"/>
  <c r="Q1771" i="45"/>
  <c r="Q1770" i="45"/>
  <c r="Q1769" i="45"/>
  <c r="Q1768" i="45"/>
  <c r="Q1767" i="45"/>
  <c r="Q1766" i="45"/>
  <c r="Q1765" i="45"/>
  <c r="Q1764" i="45"/>
  <c r="Q1763" i="45"/>
  <c r="Q1762" i="45"/>
  <c r="Q1761" i="45"/>
  <c r="Q1760" i="45"/>
  <c r="Q1759" i="45"/>
  <c r="Q1758" i="45"/>
  <c r="Q1757" i="45"/>
  <c r="Q1756" i="45"/>
  <c r="Q1755" i="45"/>
  <c r="Q1754" i="45"/>
  <c r="Q1753" i="45"/>
  <c r="Q1752" i="45"/>
  <c r="Q1751" i="45"/>
  <c r="Q1750" i="45"/>
  <c r="Q1749" i="45"/>
  <c r="Q1748" i="45"/>
  <c r="Q1747" i="45"/>
  <c r="Q1746" i="45"/>
  <c r="Q1860" i="45"/>
  <c r="B3" i="52" l="1"/>
  <c r="Q616" i="45" l="1"/>
  <c r="Q617" i="45"/>
  <c r="Q618" i="45"/>
  <c r="Q619" i="45"/>
  <c r="Q620" i="45"/>
  <c r="Q621" i="45"/>
  <c r="Q622" i="45"/>
  <c r="Q623" i="45"/>
  <c r="Q624" i="45"/>
  <c r="Q625" i="45"/>
  <c r="Q626" i="45"/>
  <c r="Q627" i="45"/>
  <c r="Q628" i="45"/>
  <c r="Q629" i="45"/>
  <c r="Q630" i="45"/>
  <c r="Q631" i="45"/>
  <c r="Q632" i="45"/>
  <c r="Q633" i="45"/>
  <c r="Q634" i="45"/>
  <c r="Q635" i="45"/>
  <c r="Q636" i="45"/>
  <c r="Q637" i="45" l="1"/>
  <c r="Q638" i="45"/>
  <c r="Q639" i="45"/>
  <c r="Q640" i="45"/>
  <c r="Q641" i="45"/>
  <c r="Q642" i="45"/>
  <c r="Q643" i="45"/>
  <c r="Q644" i="45"/>
  <c r="Q645" i="45"/>
  <c r="Q646" i="45"/>
  <c r="Q647" i="45"/>
  <c r="Q648" i="45"/>
  <c r="Q649" i="45"/>
  <c r="Q650" i="45"/>
  <c r="Q651" i="45"/>
  <c r="Q652" i="45"/>
  <c r="Q653" i="45"/>
  <c r="Q654" i="45"/>
  <c r="Q655" i="45"/>
  <c r="Q656" i="45"/>
  <c r="Q657" i="45"/>
  <c r="Q658" i="45"/>
  <c r="Q659" i="45"/>
  <c r="Q660" i="45"/>
  <c r="Q661" i="45"/>
  <c r="Q662" i="45"/>
  <c r="Q663" i="45"/>
  <c r="Q664" i="45"/>
  <c r="Q665" i="45"/>
  <c r="Q666" i="45"/>
  <c r="Q667" i="45"/>
  <c r="Q668" i="45"/>
  <c r="Q669" i="45"/>
  <c r="Q670" i="45"/>
  <c r="Q671" i="45"/>
  <c r="Q672" i="45"/>
  <c r="Q673" i="45"/>
  <c r="Q674" i="45"/>
  <c r="Q675" i="45"/>
  <c r="Q676" i="45"/>
  <c r="Q677" i="45"/>
  <c r="Q678" i="45"/>
  <c r="Q679" i="45"/>
  <c r="Q680" i="45"/>
  <c r="Q681" i="45"/>
  <c r="Q682" i="45"/>
  <c r="Q683" i="45"/>
  <c r="Q684" i="45"/>
  <c r="Q685" i="45"/>
  <c r="Q686" i="45"/>
  <c r="Q687" i="45"/>
  <c r="Q688" i="45"/>
  <c r="Q689" i="45"/>
  <c r="Q690" i="45"/>
  <c r="Q691" i="45"/>
  <c r="Q692" i="45" l="1"/>
  <c r="Q693" i="45"/>
  <c r="Q694" i="45"/>
  <c r="Q695" i="45"/>
  <c r="Q696" i="45"/>
  <c r="Q697" i="45"/>
  <c r="Q698" i="45"/>
  <c r="Q699" i="45"/>
  <c r="Q700" i="45"/>
  <c r="Q701" i="45"/>
  <c r="Q702" i="45"/>
  <c r="Q703" i="45"/>
  <c r="Q704" i="45"/>
  <c r="Q705" i="45"/>
  <c r="Q706" i="45"/>
  <c r="Q707" i="45"/>
  <c r="Q708" i="45"/>
  <c r="Q709" i="45"/>
  <c r="Q710" i="45"/>
  <c r="Q711" i="45"/>
  <c r="Q712" i="45"/>
  <c r="Q713" i="45"/>
  <c r="Q714" i="45"/>
  <c r="Q715" i="45"/>
  <c r="Q716" i="45"/>
  <c r="Q717" i="45"/>
  <c r="Q718" i="45"/>
  <c r="Q719" i="45"/>
  <c r="Q720" i="45"/>
  <c r="Q721" i="45"/>
  <c r="Q722" i="45"/>
  <c r="Q723" i="45"/>
  <c r="Q724" i="45"/>
  <c r="Q725" i="45"/>
  <c r="Q726" i="45"/>
  <c r="Q727" i="45"/>
  <c r="Q728" i="45"/>
  <c r="Q729" i="45"/>
  <c r="Q730" i="45"/>
  <c r="Q731" i="45"/>
  <c r="Q732" i="45"/>
  <c r="Q733" i="45"/>
  <c r="Q734" i="45"/>
  <c r="Q735" i="45"/>
  <c r="Q736" i="45"/>
  <c r="Q737" i="45"/>
  <c r="Q738" i="45"/>
  <c r="Q739" i="45"/>
  <c r="Q740" i="45"/>
  <c r="Q741" i="45"/>
  <c r="Q742" i="45"/>
  <c r="Q743" i="45"/>
  <c r="Q744" i="45"/>
  <c r="Q745" i="45"/>
  <c r="Q746" i="45"/>
  <c r="Q747" i="45"/>
  <c r="Q748" i="45"/>
  <c r="Q749" i="45"/>
  <c r="Q750" i="45"/>
  <c r="Q751" i="45"/>
  <c r="Q752" i="45"/>
  <c r="Q753" i="45"/>
  <c r="Q754" i="45"/>
  <c r="Q755" i="45"/>
  <c r="Q756" i="45"/>
  <c r="Q757" i="45"/>
  <c r="Q758" i="45"/>
  <c r="Q759" i="45"/>
  <c r="Q760" i="45"/>
  <c r="Q761" i="45"/>
  <c r="Q762" i="45"/>
  <c r="Q763" i="45"/>
  <c r="Q764" i="45"/>
  <c r="Q765" i="45"/>
  <c r="Q766" i="45"/>
  <c r="Q767" i="45"/>
  <c r="Q768" i="45"/>
  <c r="Q769" i="45"/>
  <c r="Q770" i="45"/>
  <c r="Q771" i="45" l="1"/>
  <c r="Q772" i="45"/>
  <c r="Q773" i="45"/>
  <c r="Q774" i="45"/>
  <c r="Q775" i="45"/>
  <c r="Q776" i="45"/>
  <c r="Q777" i="45"/>
  <c r="Q778" i="45"/>
  <c r="Q779" i="45"/>
  <c r="Q780" i="45"/>
  <c r="Q781" i="45"/>
  <c r="Q782" i="45"/>
  <c r="Q783" i="45"/>
  <c r="Q784" i="45"/>
  <c r="Q785" i="45"/>
  <c r="Q786" i="45"/>
  <c r="Q787" i="45"/>
  <c r="Q788" i="45"/>
  <c r="Q789" i="45"/>
  <c r="Q790" i="45"/>
  <c r="Q791" i="45"/>
  <c r="Q792" i="45"/>
  <c r="Q793" i="45"/>
  <c r="Q794" i="45"/>
  <c r="Q795" i="45"/>
  <c r="Q796" i="45"/>
  <c r="Q797" i="45"/>
  <c r="Q798" i="45"/>
  <c r="Q799" i="45"/>
  <c r="Q800" i="45"/>
  <c r="Q801" i="45"/>
  <c r="Q802" i="45"/>
  <c r="Q803" i="45"/>
  <c r="Q804" i="45"/>
  <c r="Q805" i="45"/>
  <c r="Q806" i="45"/>
  <c r="Q807" i="45"/>
  <c r="Q808" i="45"/>
  <c r="Q809" i="45"/>
  <c r="Q810" i="45"/>
  <c r="Q811" i="45"/>
  <c r="Q812" i="45"/>
  <c r="Q813" i="45"/>
  <c r="Q814" i="45"/>
  <c r="Q815" i="45"/>
  <c r="Q816" i="45"/>
  <c r="Q817" i="45"/>
  <c r="Q818" i="45"/>
  <c r="Q819" i="45"/>
  <c r="Q820" i="45"/>
  <c r="Q821" i="45"/>
  <c r="Q822" i="45"/>
  <c r="Q823" i="45"/>
  <c r="Q824" i="45"/>
  <c r="Q825" i="45"/>
  <c r="Q826" i="45"/>
  <c r="Q827" i="45"/>
  <c r="Q828" i="45"/>
  <c r="Q829" i="45"/>
  <c r="Q830" i="45"/>
  <c r="Q831" i="45"/>
  <c r="Q832" i="45"/>
  <c r="Q833" i="45"/>
  <c r="Q834" i="45"/>
  <c r="Q835" i="45"/>
  <c r="Q836" i="45"/>
  <c r="Q837" i="45"/>
  <c r="Q838" i="45"/>
  <c r="Q839" i="45"/>
  <c r="Q840" i="45"/>
  <c r="Q841" i="45"/>
  <c r="Q842" i="45"/>
  <c r="Q843" i="45"/>
  <c r="Q844" i="45"/>
  <c r="Q845" i="45"/>
  <c r="Q846" i="45"/>
  <c r="Q847" i="45"/>
  <c r="Q848" i="45"/>
  <c r="Q849" i="45"/>
  <c r="Q850" i="45"/>
  <c r="Q851" i="45"/>
  <c r="Q852" i="45"/>
  <c r="Q853" i="45"/>
  <c r="Q854" i="45"/>
  <c r="Q855" i="45"/>
  <c r="Q856" i="45"/>
  <c r="Q857" i="45"/>
  <c r="Q858" i="45"/>
  <c r="Q859" i="45"/>
  <c r="Q860" i="45"/>
  <c r="Q861" i="45"/>
  <c r="Q862" i="45" l="1"/>
  <c r="Q863" i="45"/>
  <c r="Q864" i="45"/>
  <c r="Q865" i="45"/>
  <c r="Q866" i="45"/>
  <c r="Q867" i="45"/>
  <c r="Q868" i="45"/>
  <c r="Q869" i="45"/>
  <c r="Q870" i="45"/>
  <c r="Q871" i="45"/>
  <c r="Q872" i="45"/>
  <c r="Q873" i="45"/>
  <c r="Q874" i="45"/>
  <c r="Q875" i="45"/>
  <c r="Q876" i="45"/>
  <c r="Q877" i="45"/>
  <c r="Q878" i="45"/>
  <c r="Q879" i="45"/>
  <c r="Q880" i="45"/>
  <c r="Q881" i="45"/>
  <c r="Q882" i="45"/>
  <c r="Q883" i="45"/>
  <c r="Q884" i="45"/>
  <c r="Q885" i="45"/>
  <c r="Q886" i="45"/>
  <c r="Q887" i="45"/>
  <c r="Q888" i="45"/>
  <c r="Q889" i="45"/>
  <c r="Q890" i="45"/>
  <c r="Q891" i="45"/>
  <c r="Q892" i="45"/>
  <c r="Q893" i="45" l="1"/>
  <c r="Q894" i="45"/>
  <c r="Q895" i="45"/>
  <c r="Q896" i="45"/>
  <c r="Q897" i="45"/>
  <c r="Q898" i="45"/>
  <c r="Q899" i="45"/>
  <c r="Q900" i="45"/>
  <c r="Q901" i="45"/>
  <c r="Q902" i="45"/>
  <c r="Q903" i="45"/>
  <c r="Q904" i="45"/>
  <c r="Q905" i="45"/>
  <c r="Q906" i="45"/>
  <c r="Q907" i="45"/>
  <c r="Q908" i="45"/>
  <c r="Q909" i="45"/>
  <c r="Q910" i="45"/>
  <c r="Q911" i="45"/>
  <c r="Q912" i="45"/>
  <c r="Q913" i="45"/>
  <c r="Q914" i="45"/>
  <c r="Q915" i="45"/>
  <c r="Q916" i="45"/>
  <c r="Q917" i="45"/>
  <c r="Q918" i="45"/>
  <c r="Q919" i="45"/>
  <c r="Q920" i="45"/>
  <c r="Q921" i="45"/>
  <c r="Q922" i="45"/>
  <c r="Q923" i="45"/>
  <c r="Q924" i="45"/>
  <c r="Q925" i="45"/>
  <c r="Q926" i="45"/>
  <c r="Q927" i="45"/>
  <c r="Q928" i="45"/>
  <c r="Q929" i="45"/>
  <c r="Q930" i="45" l="1"/>
  <c r="Q931" i="45"/>
  <c r="Q932" i="45"/>
  <c r="Q933" i="45"/>
  <c r="Q934" i="45"/>
  <c r="Q935" i="45"/>
  <c r="Q936" i="45"/>
  <c r="Q937" i="45"/>
  <c r="Q938" i="45"/>
  <c r="Q939" i="45"/>
  <c r="Q940" i="45"/>
  <c r="Q941" i="45"/>
  <c r="Q942" i="45"/>
  <c r="Q943" i="45"/>
  <c r="Q944" i="45"/>
  <c r="Q945" i="45"/>
  <c r="Q946" i="45"/>
  <c r="Q947" i="45"/>
  <c r="Q948" i="45"/>
  <c r="Q949" i="45"/>
  <c r="Q950" i="45"/>
  <c r="Q951" i="45"/>
  <c r="Q952" i="45"/>
  <c r="Q953" i="45"/>
  <c r="Q954" i="45"/>
  <c r="Q955" i="45"/>
  <c r="Q956" i="45"/>
  <c r="Q957" i="45"/>
  <c r="Q958" i="45"/>
  <c r="Q959" i="45"/>
  <c r="Q960" i="45"/>
  <c r="Q961" i="45"/>
  <c r="Q962" i="45"/>
  <c r="Q963" i="45"/>
  <c r="Q964" i="45"/>
  <c r="Q965" i="45"/>
  <c r="Q966" i="45"/>
  <c r="Q967" i="45"/>
  <c r="Q968" i="45"/>
  <c r="Q969" i="45"/>
  <c r="Q970" i="45"/>
  <c r="Q971" i="45"/>
  <c r="Q972" i="45"/>
  <c r="Q973" i="45"/>
  <c r="Q974" i="45"/>
  <c r="Q975" i="45"/>
  <c r="Q976" i="45"/>
  <c r="Q977" i="45"/>
  <c r="Q978" i="45"/>
  <c r="Q979" i="45"/>
  <c r="Q980" i="45"/>
  <c r="Q981" i="45"/>
  <c r="Q982" i="45"/>
  <c r="Q983" i="45"/>
  <c r="Q984" i="45"/>
  <c r="Q985" i="45"/>
  <c r="Q986" i="45"/>
  <c r="Q987" i="45"/>
  <c r="Q988" i="45"/>
  <c r="Q989" i="45"/>
  <c r="Q990" i="45"/>
  <c r="Q991" i="45"/>
  <c r="Q992" i="45"/>
  <c r="Q993" i="45" l="1"/>
  <c r="Q994" i="45"/>
  <c r="Q995" i="45"/>
  <c r="Q996" i="45"/>
  <c r="Q997" i="45"/>
  <c r="Q998" i="45"/>
  <c r="Q999" i="45"/>
  <c r="Q1000" i="45"/>
  <c r="Q1001" i="45"/>
  <c r="Q1002" i="45"/>
  <c r="Q1003" i="45"/>
  <c r="Q1004" i="45"/>
  <c r="Q1005" i="45"/>
  <c r="Q1006" i="45"/>
  <c r="Q1007" i="45"/>
  <c r="Q1008" i="45"/>
  <c r="Q1009" i="45"/>
  <c r="Q1010" i="45"/>
  <c r="Q1011" i="45"/>
  <c r="Q1012" i="45"/>
  <c r="Q1013" i="45"/>
  <c r="Q1014" i="45"/>
  <c r="Q1015" i="45"/>
  <c r="Q1016" i="45"/>
  <c r="Q1017" i="45"/>
  <c r="Q1018" i="45"/>
  <c r="Q1019" i="45"/>
  <c r="Q1020" i="45"/>
  <c r="Q1021" i="45"/>
  <c r="Q1022" i="45"/>
  <c r="Q1023" i="45"/>
  <c r="Q1024" i="45"/>
  <c r="Q1025" i="45"/>
  <c r="Q1026" i="45"/>
  <c r="Q1027" i="45"/>
  <c r="Q1028" i="45"/>
  <c r="Q1029" i="45"/>
  <c r="Q1030" i="45"/>
  <c r="Q1031" i="45"/>
  <c r="Q1032" i="45"/>
  <c r="Q1033" i="45"/>
  <c r="Q1034" i="45"/>
  <c r="Q1035" i="45"/>
  <c r="Q1036" i="45"/>
  <c r="Q1037" i="45"/>
  <c r="Q1038" i="45"/>
  <c r="Q1039" i="45"/>
  <c r="Q1040" i="45"/>
  <c r="Q1041" i="45"/>
  <c r="Q1042" i="45"/>
  <c r="Q1043" i="45"/>
  <c r="Q1044" i="45"/>
  <c r="Q1045" i="45"/>
  <c r="Q1046" i="45"/>
  <c r="Q1047" i="45"/>
  <c r="Q1048" i="45"/>
  <c r="Q1049" i="45"/>
  <c r="Q1050" i="45"/>
  <c r="Q1051" i="45"/>
  <c r="Q1052" i="45"/>
  <c r="Q1053" i="45"/>
  <c r="Q1054" i="45"/>
  <c r="Q1055" i="45"/>
  <c r="Q1056" i="45"/>
  <c r="Q1057" i="45"/>
  <c r="Q1058" i="45"/>
  <c r="Q1059" i="45"/>
  <c r="Q1060" i="45"/>
  <c r="Q1061" i="45"/>
  <c r="Q1062" i="45"/>
  <c r="Q1063" i="45"/>
  <c r="Q1064" i="45"/>
  <c r="Q1065" i="45"/>
  <c r="Q1066" i="45"/>
  <c r="Q1067" i="45"/>
  <c r="Q1068" i="45"/>
  <c r="Q1069" i="45"/>
  <c r="Q1070" i="45"/>
  <c r="Q1071" i="45"/>
  <c r="Q1072" i="45"/>
  <c r="Q1073" i="45"/>
  <c r="Q1074" i="45"/>
  <c r="Q1075" i="45"/>
  <c r="Q1076" i="45"/>
  <c r="Q1077" i="45"/>
  <c r="Q1078" i="45"/>
  <c r="Q1079" i="45"/>
  <c r="Q1080" i="45"/>
  <c r="G10" i="52"/>
  <c r="Q1081" i="45" l="1"/>
  <c r="Q1082" i="45"/>
  <c r="Q1083" i="45"/>
  <c r="Q1084" i="45"/>
  <c r="Q1085" i="45"/>
  <c r="Q1086" i="45"/>
  <c r="Q1087" i="45"/>
  <c r="Q1088" i="45"/>
  <c r="Q1089" i="45"/>
  <c r="Q1090" i="45"/>
  <c r="Q1091" i="45"/>
  <c r="Q1092" i="45"/>
  <c r="Q1093" i="45"/>
  <c r="Q1094" i="45"/>
  <c r="Q1095" i="45"/>
  <c r="Q1096" i="45"/>
  <c r="Q1097" i="45"/>
  <c r="Q1098" i="45"/>
  <c r="Q1099" i="45"/>
  <c r="Q1100" i="45"/>
  <c r="Q1101" i="45"/>
  <c r="Q1102" i="45"/>
  <c r="Q1103" i="45"/>
  <c r="Q1104" i="45"/>
  <c r="Q1105" i="45"/>
  <c r="Q1106" i="45"/>
  <c r="Q1107" i="45"/>
  <c r="Q1108" i="45"/>
  <c r="Q1109" i="45"/>
  <c r="Q1110" i="45"/>
  <c r="Q1111" i="45"/>
  <c r="Q1112" i="45"/>
  <c r="Q1113" i="45"/>
  <c r="Q1114" i="45"/>
  <c r="Q1115" i="45"/>
  <c r="Q1116" i="45"/>
  <c r="Q1117" i="45"/>
  <c r="Q1118" i="45"/>
  <c r="Q1119" i="45"/>
  <c r="Q1120" i="45"/>
  <c r="Q1121" i="45"/>
  <c r="Q1122" i="45"/>
  <c r="Q1123" i="45"/>
  <c r="Q1124" i="45"/>
  <c r="Q1125" i="45"/>
  <c r="Q1126" i="45"/>
  <c r="Q1127" i="45"/>
  <c r="Q1128" i="45"/>
  <c r="Q1129" i="45"/>
  <c r="Q1130" i="45"/>
  <c r="Q1131" i="45"/>
  <c r="Q1132" i="45"/>
  <c r="Q1133" i="45"/>
  <c r="Q1134" i="45"/>
  <c r="Q1135" i="45"/>
  <c r="Q1136" i="45"/>
  <c r="Q1137" i="45"/>
  <c r="Q1138" i="45"/>
  <c r="Q1139" i="45"/>
  <c r="Q1140" i="45"/>
  <c r="Q1141" i="45"/>
  <c r="Q1142" i="45"/>
  <c r="Q1143" i="45"/>
  <c r="Q1144" i="45"/>
  <c r="Q1145" i="45"/>
  <c r="Q1146" i="45"/>
  <c r="Q1147" i="45"/>
  <c r="Q1148" i="45"/>
  <c r="Q1149" i="45"/>
  <c r="Q1150" i="45"/>
  <c r="Q1151" i="45"/>
  <c r="Q1152" i="45"/>
  <c r="Q1153" i="45"/>
  <c r="Q1154" i="45"/>
  <c r="Q1155" i="45"/>
  <c r="Q1156" i="45"/>
  <c r="Q1157" i="45"/>
  <c r="Q1158" i="45"/>
  <c r="Q1159" i="45"/>
  <c r="Q1160" i="45"/>
  <c r="Q1161" i="45"/>
  <c r="Q1162" i="45"/>
  <c r="Q1163" i="45"/>
  <c r="Q1164" i="45"/>
  <c r="Q1165" i="45"/>
  <c r="Q1166" i="45"/>
  <c r="Q1167" i="45"/>
  <c r="Q1168" i="45"/>
  <c r="Q1169" i="45"/>
  <c r="Q1170" i="45"/>
  <c r="Q1171" i="45" l="1"/>
  <c r="Q1172" i="45"/>
  <c r="Q1173" i="45"/>
  <c r="Q1174" i="45"/>
  <c r="Q1175" i="45"/>
  <c r="Q1176" i="45"/>
  <c r="Q1177" i="45"/>
  <c r="Q1178" i="45"/>
  <c r="Q1179" i="45"/>
  <c r="Q1180" i="45"/>
  <c r="Q1181" i="45"/>
  <c r="Q1182" i="45"/>
  <c r="Q1183" i="45"/>
  <c r="Q1184" i="45"/>
  <c r="Q1185" i="45"/>
  <c r="Q1186" i="45"/>
  <c r="Q1187" i="45"/>
  <c r="Q1188" i="45"/>
  <c r="Q1189" i="45"/>
  <c r="Q1190" i="45"/>
  <c r="Q1191" i="45"/>
  <c r="Q1192" i="45"/>
  <c r="Q1193" i="45"/>
  <c r="Q1194" i="45"/>
  <c r="Q1195" i="45"/>
  <c r="Q1196" i="45"/>
  <c r="Q1197" i="45"/>
  <c r="Q1198" i="45"/>
  <c r="Q1199" i="45"/>
  <c r="Q1200" i="45"/>
  <c r="Q1201" i="45"/>
  <c r="Q1202" i="45"/>
  <c r="Q1203" i="45"/>
  <c r="Q1204" i="45"/>
  <c r="Q1205" i="45"/>
  <c r="Q1206" i="45"/>
  <c r="Q1207" i="45"/>
  <c r="Q1208" i="45"/>
  <c r="Q1209" i="45"/>
  <c r="Q1210" i="45"/>
  <c r="Q1211" i="45"/>
  <c r="Q1212" i="45"/>
  <c r="Q1213" i="45"/>
  <c r="Q1214" i="45"/>
  <c r="Q1215" i="45"/>
  <c r="Q1216" i="45"/>
  <c r="Q1217" i="45"/>
  <c r="Q1218" i="45"/>
  <c r="Q1219" i="45"/>
  <c r="Q1220" i="45"/>
  <c r="Q1221" i="45"/>
  <c r="Q1222" i="45"/>
  <c r="Q1223" i="45"/>
  <c r="Q1224" i="45"/>
  <c r="Q1225" i="45"/>
  <c r="Q1226" i="45"/>
  <c r="Q1227" i="45"/>
  <c r="Q1228" i="45"/>
  <c r="Q1229" i="45"/>
  <c r="Q1230" i="45"/>
  <c r="Q1231" i="45"/>
  <c r="Q1232" i="45"/>
  <c r="Q1233" i="45"/>
  <c r="Q1234" i="45"/>
  <c r="Q1235" i="45"/>
  <c r="Q1236" i="45"/>
  <c r="Q1237" i="45"/>
  <c r="Q1238" i="45"/>
  <c r="Q1239" i="45"/>
  <c r="Q1240" i="45"/>
  <c r="Q1241" i="45"/>
  <c r="Q1242" i="45"/>
  <c r="Q1243" i="45"/>
  <c r="Q1244" i="45"/>
  <c r="Q1245" i="45"/>
  <c r="Q1246" i="45"/>
  <c r="Q1247" i="45"/>
  <c r="Q1248" i="45"/>
  <c r="Q1249" i="45"/>
  <c r="Q1250" i="45"/>
  <c r="Q1251" i="45"/>
  <c r="Q1252" i="45"/>
  <c r="Q1253" i="45"/>
  <c r="Q1254" i="45"/>
  <c r="Q1255" i="45"/>
  <c r="Q1256" i="45"/>
  <c r="Q1257" i="45"/>
  <c r="Q1258" i="45"/>
  <c r="Q1259" i="45"/>
  <c r="Q1260" i="45"/>
  <c r="Q1261" i="45"/>
  <c r="Q1262" i="45"/>
  <c r="Q1263" i="45"/>
  <c r="Q1264" i="45"/>
  <c r="Q1265" i="45"/>
  <c r="Q1266" i="45"/>
  <c r="Q1267" i="45"/>
  <c r="Q1268" i="45"/>
  <c r="Q1269" i="45"/>
  <c r="Q1270" i="45"/>
  <c r="Q1271" i="45"/>
  <c r="Q1272" i="45"/>
  <c r="Q1273" i="45"/>
  <c r="Q1274" i="45"/>
  <c r="Q1275" i="45"/>
  <c r="Q1276" i="45"/>
  <c r="Q1277" i="45"/>
  <c r="Q1278" i="45"/>
  <c r="Q1279" i="45"/>
  <c r="Q1280" i="45"/>
  <c r="Q1281" i="45"/>
  <c r="Q1282" i="45"/>
  <c r="Q1283" i="45"/>
  <c r="Q1284" i="45"/>
  <c r="Q1285" i="45"/>
  <c r="Q1286" i="45"/>
  <c r="Q1287" i="45"/>
  <c r="Q1288" i="45"/>
  <c r="Q1289" i="45"/>
  <c r="Q1290" i="45"/>
  <c r="Q1291" i="45"/>
  <c r="Q1292" i="45"/>
  <c r="Q1293" i="45"/>
  <c r="Q1294" i="45"/>
  <c r="Q1295" i="45"/>
  <c r="Q1296" i="45"/>
  <c r="Q1297" i="45"/>
  <c r="Q1298" i="45"/>
  <c r="Q1299" i="45"/>
  <c r="Q1300" i="45"/>
  <c r="Q1301" i="45"/>
  <c r="Q1302" i="45"/>
  <c r="Q1303" i="45"/>
  <c r="Q1304" i="45"/>
  <c r="Q1305" i="45"/>
  <c r="Q1306" i="45"/>
  <c r="Q1307" i="45"/>
  <c r="Q1308" i="45"/>
  <c r="Q1309" i="45"/>
  <c r="Q1310" i="45"/>
  <c r="Q1311" i="45"/>
  <c r="Q1312" i="45"/>
  <c r="Q1313" i="45"/>
  <c r="Q1314" i="45"/>
  <c r="Q1315" i="45"/>
  <c r="Q1316" i="45"/>
  <c r="Q1317" i="45"/>
  <c r="Q1318" i="45"/>
  <c r="Q1319" i="45"/>
  <c r="Q1320" i="45"/>
  <c r="Q1321" i="45"/>
  <c r="Q1322" i="45"/>
  <c r="Q1323" i="45"/>
  <c r="Q1324" i="45"/>
  <c r="Q1325" i="45"/>
  <c r="Q1326" i="45"/>
  <c r="Q1327" i="45"/>
  <c r="Q1328" i="45"/>
  <c r="Q1329" i="45"/>
  <c r="Q1330" i="45"/>
  <c r="Q1331" i="45"/>
  <c r="Q1332" i="45"/>
  <c r="Q1333" i="45"/>
  <c r="Q1334" i="45"/>
  <c r="Q1335" i="45"/>
  <c r="Q1336" i="45"/>
  <c r="Q1337" i="45"/>
  <c r="Q1338" i="45"/>
  <c r="Q1339" i="45"/>
  <c r="Q1340" i="45"/>
  <c r="Q1341" i="45"/>
  <c r="Q1342" i="45"/>
  <c r="Q1343" i="45"/>
  <c r="Q1344" i="45"/>
  <c r="Q1345" i="45"/>
  <c r="Q1346" i="45"/>
  <c r="Q1347" i="45"/>
  <c r="Q1348" i="45"/>
  <c r="Q1349" i="45"/>
  <c r="Q1350" i="45"/>
  <c r="Q1351" i="45"/>
  <c r="Q1352" i="45"/>
  <c r="Q1353" i="45"/>
  <c r="Q1354" i="45"/>
  <c r="Q1355" i="45"/>
  <c r="Q1356" i="45"/>
  <c r="Q1357" i="45"/>
  <c r="Q1358" i="45"/>
  <c r="Q1359" i="45"/>
  <c r="Q1360" i="45"/>
  <c r="Q1361" i="45"/>
  <c r="Q1362" i="45"/>
  <c r="Q1363" i="45"/>
  <c r="Q1364" i="45"/>
  <c r="Q1365" i="45"/>
  <c r="Q1366" i="45"/>
  <c r="Q1367" i="45"/>
  <c r="Q1368" i="45"/>
  <c r="Q1369" i="45"/>
  <c r="Q1370" i="45"/>
  <c r="Q1371" i="45"/>
  <c r="Q1372" i="45"/>
  <c r="Q1373" i="45"/>
  <c r="Q1374" i="45"/>
  <c r="Q1375" i="45"/>
  <c r="Q1376" i="45"/>
  <c r="Q1377" i="45"/>
  <c r="Q1378" i="45"/>
  <c r="Q1379" i="45"/>
  <c r="Q1380" i="45"/>
  <c r="Q1381" i="45"/>
  <c r="Q1382" i="45"/>
  <c r="Q1383" i="45"/>
  <c r="Q1384" i="45"/>
  <c r="Q1385" i="45"/>
  <c r="Q1386" i="45"/>
  <c r="Q1387" i="45"/>
  <c r="Q1388" i="45"/>
  <c r="Q1389" i="45"/>
  <c r="Q1390" i="45"/>
  <c r="Q1391" i="45"/>
  <c r="Q1392" i="45"/>
  <c r="Q1393" i="45"/>
  <c r="Q1394" i="45"/>
  <c r="Q1395" i="45"/>
  <c r="Q1396" i="45"/>
  <c r="Q1397" i="45"/>
  <c r="Q1398" i="45"/>
  <c r="Q1399" i="45"/>
  <c r="Q1400" i="45"/>
  <c r="Q1401" i="45"/>
  <c r="Q1402" i="45"/>
  <c r="Q1403" i="45"/>
  <c r="Q1404" i="45"/>
  <c r="Q1405" i="45"/>
  <c r="Q1406" i="45"/>
  <c r="Q1407" i="45"/>
  <c r="Q1408" i="45"/>
  <c r="Q1409" i="45"/>
  <c r="Q1410" i="45"/>
  <c r="Q1411" i="45"/>
  <c r="Q1412" i="45"/>
  <c r="Q1413" i="45"/>
  <c r="Q1414" i="45"/>
  <c r="Q1415" i="45"/>
  <c r="Q1416" i="45"/>
  <c r="Q1417" i="45"/>
  <c r="Q1418" i="45"/>
  <c r="Q1419" i="45"/>
  <c r="Q1420" i="45"/>
  <c r="Q1421" i="45"/>
  <c r="Q1422" i="45"/>
  <c r="Q1423" i="45"/>
  <c r="Q1424" i="45"/>
  <c r="Q1425" i="45"/>
  <c r="Q1426" i="45"/>
  <c r="Q1427" i="45"/>
  <c r="Q1428" i="45"/>
  <c r="Q1429" i="45"/>
  <c r="Q1430" i="45"/>
  <c r="Q1431" i="45"/>
  <c r="Q1432" i="45"/>
  <c r="Q1433" i="45"/>
  <c r="Q1434" i="45"/>
  <c r="Q1435" i="45"/>
  <c r="Q1436" i="45"/>
  <c r="Q1437" i="45"/>
  <c r="Q1438" i="45"/>
  <c r="Q1439" i="45"/>
  <c r="Q1440" i="45"/>
  <c r="Q1441" i="45"/>
  <c r="Q1442" i="45"/>
  <c r="Q1443" i="45"/>
  <c r="Q1444" i="45"/>
  <c r="Q1445" i="45"/>
  <c r="Q1446" i="45"/>
  <c r="Q1447" i="45"/>
  <c r="Q1448" i="45"/>
  <c r="Q1449" i="45"/>
  <c r="Q1450" i="45"/>
  <c r="Q1451" i="45"/>
  <c r="Q1452" i="45"/>
  <c r="Q1453" i="45"/>
  <c r="Q1454" i="45"/>
  <c r="Q1455" i="45"/>
  <c r="Q1456" i="45"/>
  <c r="Q1457" i="45"/>
  <c r="Q1458" i="45"/>
  <c r="Q1459" i="45"/>
  <c r="Q1460" i="45"/>
  <c r="Q1461" i="45"/>
  <c r="Q1462" i="45"/>
  <c r="Q1463" i="45"/>
  <c r="Q1464" i="45"/>
  <c r="Q1465" i="45"/>
  <c r="Q1466" i="45"/>
  <c r="Q1467" i="45"/>
  <c r="Q1468" i="45"/>
  <c r="Q1469" i="45"/>
  <c r="Q1470" i="45"/>
  <c r="Q1471" i="45"/>
  <c r="Q1472" i="45"/>
  <c r="Q1473" i="45"/>
  <c r="Q1474" i="45"/>
  <c r="Q1475" i="45"/>
  <c r="Q1476" i="45"/>
  <c r="Q1477" i="45"/>
  <c r="Q1478" i="45"/>
  <c r="Q1479" i="45"/>
  <c r="Q1480" i="45"/>
  <c r="Q1481" i="45"/>
  <c r="Q1482" i="45"/>
  <c r="Q1483" i="45"/>
  <c r="Q1484" i="45"/>
  <c r="Q1485" i="45"/>
  <c r="Q1486" i="45"/>
  <c r="Q1487" i="45"/>
  <c r="Q1488" i="45"/>
  <c r="Q1489" i="45"/>
  <c r="Q1490" i="45"/>
  <c r="Q1491" i="45"/>
  <c r="Q1492" i="45"/>
  <c r="Q1493" i="45"/>
  <c r="Q1494" i="45"/>
  <c r="Q1495" i="45"/>
  <c r="Q1496" i="45"/>
  <c r="Q1497" i="45"/>
  <c r="Q1498" i="45"/>
  <c r="Q1499" i="45"/>
  <c r="Q1500" i="45"/>
  <c r="Q1501" i="45"/>
  <c r="Q1502" i="45"/>
  <c r="Q1503" i="45"/>
  <c r="Q1504" i="45"/>
  <c r="Q1505" i="45"/>
  <c r="Q1506" i="45"/>
  <c r="Q1507" i="45"/>
  <c r="Q1508" i="45"/>
  <c r="Q1509" i="45"/>
  <c r="Q1510" i="45"/>
  <c r="Q1511" i="45"/>
  <c r="Q1512" i="45"/>
  <c r="Q1513" i="45"/>
  <c r="Q1514" i="45"/>
  <c r="Q1515" i="45"/>
  <c r="Q1516" i="45"/>
  <c r="Q1517" i="45"/>
  <c r="Q1518" i="45"/>
  <c r="Q1519" i="45"/>
  <c r="Q1520" i="45"/>
  <c r="Q1521" i="45"/>
  <c r="Q1522" i="45"/>
  <c r="Q1523" i="45"/>
  <c r="Q1524" i="45"/>
  <c r="Q1525" i="45"/>
  <c r="Q1526" i="45"/>
  <c r="Q1527" i="45"/>
  <c r="Q1528" i="45"/>
  <c r="Q1529" i="45"/>
  <c r="Q1530" i="45"/>
  <c r="Q1531" i="45"/>
  <c r="Q1532" i="45"/>
  <c r="Q1533" i="45"/>
  <c r="Q1534" i="45"/>
  <c r="Q1535" i="45"/>
  <c r="Q1536" i="45"/>
  <c r="Q1537" i="45"/>
  <c r="Q1538" i="45"/>
  <c r="Q1539" i="45"/>
  <c r="Q1540" i="45"/>
  <c r="Q1541" i="45"/>
  <c r="Q1542" i="45"/>
  <c r="Q1543" i="45"/>
  <c r="Q1544" i="45"/>
  <c r="Q1545" i="45"/>
  <c r="Q1546" i="45"/>
  <c r="Q1547" i="45"/>
  <c r="Q1548" i="45"/>
  <c r="Q1549" i="45"/>
  <c r="Q1550" i="45"/>
  <c r="Q1551" i="45"/>
  <c r="Q1552" i="45"/>
  <c r="Q1553" i="45"/>
  <c r="Q1554" i="45"/>
  <c r="Q1555" i="45"/>
  <c r="Q1556" i="45"/>
  <c r="Q1557" i="45"/>
  <c r="Q1558" i="45"/>
  <c r="Q1559" i="45"/>
  <c r="Q1560" i="45"/>
  <c r="Q1561" i="45"/>
  <c r="Q1562" i="45"/>
  <c r="Q1563" i="45"/>
  <c r="Q1564" i="45"/>
  <c r="Q1565" i="45"/>
  <c r="Q1566" i="45"/>
  <c r="Q1567" i="45"/>
  <c r="Q1568" i="45"/>
  <c r="Q1569" i="45"/>
  <c r="Q1570" i="45"/>
  <c r="Q1571" i="45"/>
  <c r="Q1572" i="45"/>
  <c r="Q1573" i="45"/>
  <c r="Q1574" i="45"/>
  <c r="Q1575" i="45"/>
  <c r="Q1576" i="45"/>
  <c r="Q1577" i="45"/>
  <c r="Q1578" i="45"/>
  <c r="Q1579" i="45"/>
  <c r="Q1580" i="45"/>
  <c r="Q1581" i="45"/>
  <c r="Q1582" i="45"/>
  <c r="Q1583" i="45"/>
  <c r="Q1584" i="45"/>
  <c r="Q1585" i="45"/>
  <c r="Q1586" i="45"/>
  <c r="Q1587" i="45"/>
  <c r="Q1588" i="45"/>
  <c r="Q1589" i="45"/>
  <c r="Q1590" i="45"/>
  <c r="Q1591" i="45"/>
  <c r="Q1592" i="45"/>
  <c r="Q1593" i="45"/>
  <c r="Q1594" i="45"/>
  <c r="Q1595" i="45"/>
  <c r="Q1596" i="45"/>
  <c r="Q1597" i="45"/>
  <c r="Q1598" i="45"/>
  <c r="Q1599" i="45"/>
  <c r="Q1600" i="45"/>
  <c r="Q1601" i="45"/>
  <c r="Q1602" i="45"/>
  <c r="Q1603" i="45"/>
  <c r="Q1604" i="45"/>
  <c r="Q1605" i="45"/>
  <c r="Q1606" i="45"/>
  <c r="Q1607" i="45"/>
  <c r="Q1608" i="45"/>
  <c r="Q1609" i="45"/>
  <c r="Q1610" i="45"/>
  <c r="Q1611" i="45"/>
  <c r="Q1612" i="45"/>
  <c r="Q1613" i="45"/>
  <c r="Q2028" i="45" l="1"/>
  <c r="Q2027" i="45"/>
  <c r="Q2024" i="45"/>
  <c r="Q2023" i="45"/>
  <c r="Q2022" i="45"/>
  <c r="Q2018" i="45"/>
  <c r="Q2017" i="45"/>
  <c r="Q2016" i="45"/>
  <c r="Q2015" i="45"/>
  <c r="Q2014" i="45"/>
  <c r="Q2013" i="45"/>
  <c r="Q2012" i="45"/>
  <c r="Q2011" i="45"/>
  <c r="Q2005" i="45"/>
  <c r="Q2004" i="45"/>
  <c r="Q2001" i="45"/>
  <c r="Q1998" i="45"/>
  <c r="Q1997" i="45"/>
  <c r="Q1992" i="45"/>
  <c r="Q1988" i="45"/>
  <c r="Q1983" i="45"/>
  <c r="Q1982" i="45"/>
  <c r="Q1980" i="45"/>
  <c r="Q1979" i="45"/>
  <c r="Q1976" i="45"/>
  <c r="Q1974" i="45"/>
  <c r="Q1968" i="45"/>
  <c r="Q1966" i="45"/>
  <c r="Q1963" i="45"/>
  <c r="Q1960" i="45"/>
  <c r="Q1959" i="45"/>
  <c r="Q1958" i="45"/>
  <c r="Q1957" i="45"/>
  <c r="Q1954" i="45"/>
  <c r="Q1953" i="45"/>
  <c r="Q1952" i="45"/>
  <c r="Q1949" i="45"/>
  <c r="Q1948" i="45"/>
  <c r="Q1947" i="45"/>
  <c r="Q1944" i="45"/>
  <c r="Q1943" i="45"/>
  <c r="Q1939" i="45"/>
  <c r="Q1936" i="45"/>
  <c r="Q1935" i="45"/>
  <c r="Q1934" i="45"/>
  <c r="Q1933" i="45"/>
  <c r="Q1932" i="45"/>
  <c r="Q1931" i="45"/>
  <c r="Q1930" i="45"/>
  <c r="Q1929" i="45"/>
  <c r="Q1928" i="45"/>
  <c r="Q1927" i="45"/>
  <c r="Q1926" i="45"/>
  <c r="Q1916" i="45"/>
  <c r="Q1915" i="45"/>
  <c r="Q1914" i="45"/>
  <c r="Q1913" i="45"/>
  <c r="Q1912" i="45"/>
  <c r="Q1911" i="45"/>
  <c r="Q1910" i="45"/>
  <c r="Q1909" i="45"/>
  <c r="Q1906" i="45"/>
  <c r="Q1905" i="45"/>
  <c r="Q1904" i="45"/>
  <c r="Q1903" i="45"/>
  <c r="Q1902" i="45"/>
  <c r="Q1901" i="45"/>
  <c r="Q1900" i="45"/>
  <c r="Q1899" i="45"/>
  <c r="Q1893" i="45"/>
  <c r="Q1890" i="45"/>
  <c r="Q1889" i="45"/>
  <c r="Q1884" i="45"/>
  <c r="Q1883" i="45"/>
  <c r="Q1882" i="45"/>
  <c r="Q1879" i="45"/>
  <c r="Q1875" i="45"/>
  <c r="Q1872" i="45"/>
  <c r="Q1871" i="45"/>
  <c r="Q1870" i="45"/>
  <c r="Q1869" i="45"/>
  <c r="Q1868" i="45"/>
  <c r="Q1866" i="45"/>
  <c r="Q1864" i="45"/>
  <c r="Q1863" i="45"/>
  <c r="Q1862" i="45"/>
  <c r="Q1861" i="45"/>
  <c r="Q1745" i="45"/>
  <c r="Q1737" i="45"/>
  <c r="Q1736" i="45"/>
  <c r="Q1735" i="45"/>
  <c r="Q1733" i="45"/>
  <c r="Q1732" i="45"/>
  <c r="Q1731" i="45"/>
  <c r="Q1730" i="45"/>
  <c r="Q1729" i="45"/>
  <c r="Q1728" i="45"/>
  <c r="Q1727" i="45"/>
  <c r="Q1726" i="45"/>
  <c r="Q1725" i="45"/>
  <c r="Q1724" i="45"/>
  <c r="Q1723" i="45"/>
  <c r="Q1722" i="45"/>
  <c r="Q1721" i="45"/>
  <c r="Q1720" i="45"/>
  <c r="Q1719" i="45"/>
  <c r="Q1718" i="45"/>
  <c r="Q1717" i="45"/>
  <c r="Q1716" i="45"/>
  <c r="Q1715" i="45"/>
  <c r="Q1714" i="45"/>
  <c r="Q1713" i="45"/>
  <c r="Q1712" i="45"/>
  <c r="Q1711" i="45"/>
  <c r="Q1710" i="45"/>
  <c r="Q1709" i="45"/>
  <c r="Q1708" i="45"/>
  <c r="Q1707" i="45"/>
  <c r="Q1706" i="45"/>
  <c r="Q1705" i="45"/>
  <c r="Q1704" i="45"/>
  <c r="Q1703" i="45"/>
  <c r="Q1702" i="45"/>
  <c r="Q1701" i="45"/>
  <c r="Q1700" i="45"/>
  <c r="Q1699" i="45"/>
  <c r="Q1698" i="45"/>
  <c r="Q1697" i="45"/>
  <c r="Q1696" i="45"/>
  <c r="Q1695" i="45"/>
  <c r="Q1694" i="45"/>
  <c r="Q1693" i="45"/>
  <c r="Q1692" i="45"/>
  <c r="Q1691" i="45"/>
  <c r="Q1690" i="45"/>
  <c r="Q1689" i="45"/>
  <c r="Q1688" i="45"/>
  <c r="Q1687" i="45"/>
  <c r="Q1686" i="45"/>
  <c r="Q1685" i="45"/>
  <c r="Q1684" i="45"/>
  <c r="Q1683" i="45"/>
  <c r="Q1682" i="45"/>
  <c r="Q1681" i="45"/>
  <c r="Q1680" i="45"/>
  <c r="Q1679" i="45"/>
  <c r="Q1678" i="45"/>
  <c r="Q1677" i="45"/>
  <c r="Q1676" i="45"/>
  <c r="Q1675" i="45"/>
  <c r="Q1674" i="45"/>
  <c r="Q1673" i="45"/>
  <c r="Q1672" i="45"/>
  <c r="Q1671" i="45"/>
  <c r="Q1670" i="45"/>
  <c r="Q1669" i="45"/>
  <c r="Q1668" i="45"/>
  <c r="Q1667" i="45"/>
  <c r="Q1666" i="45"/>
  <c r="Q1665" i="45"/>
  <c r="Q1664" i="45"/>
  <c r="Q1663" i="45"/>
  <c r="Q1662" i="45"/>
  <c r="Q1661" i="45"/>
  <c r="Q1660" i="45"/>
  <c r="Q1659" i="45"/>
  <c r="Q1658" i="45"/>
  <c r="Q1657" i="45"/>
  <c r="Q1656" i="45"/>
  <c r="Q1655" i="45"/>
  <c r="Q1654" i="45"/>
  <c r="Q1653" i="45"/>
  <c r="Q1652" i="45"/>
  <c r="Q1651" i="45"/>
  <c r="Q1650" i="45"/>
  <c r="Q1649" i="45"/>
  <c r="Q1648" i="45"/>
  <c r="Q1647" i="45"/>
  <c r="Q1646" i="45"/>
  <c r="Q1645" i="45"/>
  <c r="Q1644" i="45"/>
  <c r="Q1643" i="45"/>
  <c r="Q1642" i="45"/>
  <c r="Q1641" i="45"/>
  <c r="Q1640" i="45"/>
  <c r="Q1639" i="45"/>
  <c r="Q1638" i="45"/>
  <c r="Q1637" i="45"/>
  <c r="Q1636" i="45"/>
  <c r="Q1635" i="45"/>
  <c r="Q1634" i="45"/>
  <c r="Q1633" i="45"/>
  <c r="Q1632" i="45"/>
  <c r="Q1631" i="45"/>
  <c r="Q1630" i="45"/>
  <c r="Q1629" i="45"/>
  <c r="Q1628" i="45"/>
  <c r="Q1627" i="45"/>
  <c r="Q1626" i="45"/>
  <c r="Q1625" i="45"/>
  <c r="Q1624" i="45"/>
  <c r="Q1623" i="45"/>
  <c r="Q1622" i="45"/>
  <c r="Q1621" i="45"/>
  <c r="Q1620" i="45"/>
  <c r="Q1619" i="45"/>
  <c r="Q1618" i="45"/>
  <c r="Q1617" i="45"/>
  <c r="Q1616" i="45"/>
  <c r="Q1615" i="45"/>
  <c r="Q1614" i="45"/>
  <c r="H55" i="56" l="1"/>
  <c r="H45" i="56"/>
  <c r="F44" i="56"/>
  <c r="F43" i="56"/>
  <c r="F42" i="56"/>
  <c r="D36" i="56"/>
  <c r="H36" i="56"/>
  <c r="H28" i="56"/>
  <c r="B20" i="52" l="1"/>
  <c r="C3" i="53" l="1"/>
  <c r="Q1865" i="45" l="1"/>
  <c r="Q1867" i="45"/>
  <c r="Q1874" i="45"/>
  <c r="Q1877" i="45"/>
  <c r="Q1878" i="45"/>
  <c r="Q1881" i="45"/>
  <c r="Q1886" i="45"/>
  <c r="Q1887" i="45"/>
  <c r="Q1888" i="45"/>
  <c r="Q1892" i="45"/>
  <c r="Q1895" i="45"/>
  <c r="Q1896" i="45"/>
  <c r="Q1897" i="45"/>
  <c r="Q1898" i="45"/>
  <c r="Q1907" i="45"/>
  <c r="Q1908" i="45"/>
  <c r="Q1921" i="45"/>
  <c r="Q1922" i="45"/>
  <c r="Q1923" i="45"/>
  <c r="Q1924" i="45"/>
  <c r="Q1925" i="45"/>
  <c r="Q1938" i="45"/>
  <c r="Q1941" i="45"/>
  <c r="Q1942" i="45"/>
  <c r="Q1945" i="45"/>
  <c r="Q1946" i="45"/>
  <c r="Q1956" i="45"/>
  <c r="Q1962" i="45"/>
  <c r="Q1965" i="45"/>
  <c r="Q1967" i="45"/>
  <c r="Q1969" i="45"/>
  <c r="Q1971" i="45"/>
  <c r="Q1973" i="45"/>
  <c r="Q1975" i="45"/>
  <c r="Q1978" i="45"/>
  <c r="Q1986" i="45"/>
  <c r="Q1987" i="45"/>
  <c r="Q1989" i="45"/>
  <c r="Q1991" i="45"/>
  <c r="Q1994" i="45"/>
  <c r="Q1996" i="45"/>
  <c r="Q2000" i="45"/>
  <c r="Q2003" i="45"/>
  <c r="Q2006" i="45"/>
  <c r="Q2009" i="45"/>
  <c r="Q2010" i="45"/>
  <c r="Q2019" i="45"/>
  <c r="Q2021" i="45"/>
  <c r="Q2026" i="45"/>
  <c r="C16" i="52"/>
  <c r="D16" i="52" s="1"/>
  <c r="C17" i="52"/>
  <c r="D17" i="52" s="1"/>
  <c r="C18" i="52"/>
  <c r="D18" i="52" s="1"/>
  <c r="C19" i="52"/>
  <c r="D19" i="52" s="1"/>
  <c r="C15" i="52"/>
  <c r="D15" i="52" s="1"/>
  <c r="D20" i="52" l="1"/>
  <c r="B22" i="52"/>
  <c r="E20" i="52" l="1"/>
  <c r="B10" i="52"/>
  <c r="I4" i="54" l="1"/>
  <c r="B4" i="54"/>
  <c r="F137" i="43" l="1"/>
  <c r="F134" i="43" l="1"/>
  <c r="F133" i="43"/>
  <c r="F131" i="43"/>
  <c r="F132" i="43" l="1"/>
  <c r="F130" i="43"/>
  <c r="F129" i="43"/>
  <c r="F128" i="43"/>
  <c r="F126" i="43" l="1"/>
  <c r="F127" i="43"/>
  <c r="F125" i="43"/>
  <c r="F124" i="43" l="1"/>
  <c r="F123" i="43"/>
  <c r="F122" i="43"/>
  <c r="F119" i="43"/>
  <c r="F118" i="43"/>
  <c r="F135" i="43"/>
  <c r="F120" i="43"/>
  <c r="F121" i="43"/>
  <c r="F117" i="43"/>
  <c r="F47" i="43" l="1"/>
  <c r="F13" i="43"/>
  <c r="F14" i="43"/>
  <c r="F114" i="43" l="1"/>
  <c r="F115" i="43"/>
  <c r="F116" i="43"/>
  <c r="F136" i="43"/>
  <c r="F138" i="43"/>
  <c r="B50" i="43"/>
  <c r="C79" i="43"/>
  <c r="D79" i="43"/>
  <c r="E79" i="43"/>
  <c r="B79" i="43"/>
  <c r="F78" i="43"/>
  <c r="F77" i="43"/>
  <c r="F76" i="43"/>
  <c r="F139" i="43" l="1"/>
  <c r="C110" i="43"/>
  <c r="D110" i="43"/>
  <c r="E110" i="43"/>
  <c r="B110" i="43"/>
  <c r="F109" i="43"/>
  <c r="F108" i="43"/>
  <c r="F107" i="43"/>
  <c r="F63" i="43"/>
  <c r="F62" i="43"/>
  <c r="F61" i="43"/>
  <c r="F60" i="43"/>
  <c r="F59" i="43"/>
  <c r="F58" i="43"/>
  <c r="F57" i="43"/>
  <c r="F56" i="43"/>
  <c r="F55" i="43"/>
  <c r="F54" i="43"/>
  <c r="C64" i="43"/>
  <c r="D64" i="43"/>
  <c r="E64" i="43"/>
  <c r="B64" i="43"/>
  <c r="F110" i="43" l="1"/>
  <c r="C93" i="43"/>
  <c r="D93" i="43"/>
  <c r="E93" i="43"/>
  <c r="B93" i="43"/>
  <c r="C36" i="43" l="1"/>
  <c r="D36" i="43"/>
  <c r="E36" i="43"/>
  <c r="E26" i="43"/>
  <c r="D26" i="43"/>
  <c r="C26" i="43"/>
  <c r="B26" i="43"/>
  <c r="F25" i="43"/>
  <c r="F26" i="43" s="1"/>
  <c r="C23" i="43"/>
  <c r="B23" i="43"/>
  <c r="F75" i="43"/>
  <c r="B139" i="43"/>
  <c r="C139" i="43"/>
  <c r="D139" i="43"/>
  <c r="E139" i="43"/>
  <c r="F102" i="43" l="1"/>
  <c r="F103" i="43" s="1"/>
  <c r="F92" i="43"/>
  <c r="F91" i="43"/>
  <c r="F90" i="43"/>
  <c r="F89" i="43"/>
  <c r="F88" i="43"/>
  <c r="F83" i="43"/>
  <c r="F74" i="43"/>
  <c r="F73" i="43"/>
  <c r="F72" i="43"/>
  <c r="F71" i="43"/>
  <c r="F70" i="43"/>
  <c r="F69" i="43"/>
  <c r="F68" i="43"/>
  <c r="F49" i="43"/>
  <c r="F48" i="43"/>
  <c r="F46" i="43"/>
  <c r="F45" i="43"/>
  <c r="F97" i="43"/>
  <c r="F40" i="43"/>
  <c r="F35" i="43"/>
  <c r="F30" i="43"/>
  <c r="F20" i="43"/>
  <c r="F19" i="43"/>
  <c r="F12" i="43"/>
  <c r="E103" i="43"/>
  <c r="D103" i="43"/>
  <c r="C103" i="43"/>
  <c r="B103" i="43"/>
  <c r="C100" i="43"/>
  <c r="B100" i="43"/>
  <c r="C15" i="43"/>
  <c r="D15" i="43"/>
  <c r="E15" i="43"/>
  <c r="B15" i="43"/>
  <c r="F79" i="43" l="1"/>
  <c r="F93" i="43"/>
  <c r="F64" i="43"/>
  <c r="F15" i="43"/>
  <c r="F8" i="43"/>
  <c r="C50" i="43" l="1"/>
  <c r="D50" i="43"/>
  <c r="E50" i="43"/>
  <c r="F50" i="43"/>
  <c r="C84" i="43"/>
  <c r="D84" i="43"/>
  <c r="E84" i="43"/>
  <c r="F84" i="43"/>
  <c r="B84" i="43"/>
  <c r="C86" i="43"/>
  <c r="B86" i="43"/>
  <c r="C8" i="43"/>
  <c r="D8" i="43"/>
  <c r="E8" i="43"/>
  <c r="B8" i="43"/>
  <c r="F36" i="43"/>
  <c r="D41" i="43"/>
  <c r="E41" i="43"/>
  <c r="B41" i="43"/>
  <c r="C41" i="43"/>
  <c r="F41" i="43"/>
  <c r="C38" i="43" l="1"/>
  <c r="B38" i="43"/>
  <c r="C31" i="43" l="1"/>
  <c r="D31" i="43"/>
  <c r="E31" i="43"/>
  <c r="B31" i="43"/>
  <c r="C112" i="43"/>
  <c r="B112" i="43"/>
  <c r="C81" i="43"/>
  <c r="B81" i="43"/>
  <c r="C105" i="43"/>
  <c r="B105" i="43"/>
  <c r="C66" i="43"/>
  <c r="B66" i="43"/>
  <c r="C52" i="43"/>
  <c r="B52" i="43"/>
  <c r="C43" i="43"/>
  <c r="B43" i="43"/>
  <c r="C28" i="43"/>
  <c r="B28" i="43"/>
  <c r="C33" i="43"/>
  <c r="B33" i="43"/>
  <c r="C17" i="43"/>
  <c r="B17" i="43"/>
  <c r="C95" i="43"/>
  <c r="B95" i="43"/>
  <c r="C10" i="43"/>
  <c r="B10" i="43"/>
  <c r="C1" i="43"/>
  <c r="B1" i="43"/>
  <c r="F21" i="43" l="1"/>
  <c r="E21" i="43"/>
  <c r="D21" i="43"/>
  <c r="C21" i="43"/>
  <c r="B21" i="43"/>
  <c r="F98" i="43"/>
  <c r="E98" i="43"/>
  <c r="D98" i="43"/>
  <c r="C98" i="43"/>
  <c r="B98" i="43"/>
  <c r="B36" i="43"/>
  <c r="F31" i="43" l="1"/>
  <c r="K2" i="43" s="1"/>
</calcChain>
</file>

<file path=xl/connections.xml><?xml version="1.0" encoding="utf-8"?>
<connections xmlns="http://schemas.openxmlformats.org/spreadsheetml/2006/main">
  <connection id="1" keepAlive="1" name="Consulta - PEDIDOS" description="Conexão com a consulta 'PEDIDOS' na pasta de trabalho." type="5" refreshedVersion="6" background="1" saveData="1">
    <dbPr connection="Provider=Microsoft.Mashup.OleDb.1;Data Source=$Workbook$;Location=PEDIDOS;Extended Properties=&quot;&quot;" command="SELECT * FROM [PEDIDOS]"/>
  </connection>
</connections>
</file>

<file path=xl/sharedStrings.xml><?xml version="1.0" encoding="utf-8"?>
<sst xmlns="http://schemas.openxmlformats.org/spreadsheetml/2006/main" count="16705" uniqueCount="2092">
  <si>
    <t>LOMBINHO</t>
  </si>
  <si>
    <t>CALABRESA</t>
  </si>
  <si>
    <t>M I S T A</t>
  </si>
  <si>
    <t>MUSSARELA</t>
  </si>
  <si>
    <t>T O T A L</t>
  </si>
  <si>
    <t>PG</t>
  </si>
  <si>
    <t>ENDEREÇO PARA ENTREGA</t>
  </si>
  <si>
    <t>TOTAL GERAL</t>
  </si>
  <si>
    <t>BAIRRO</t>
  </si>
  <si>
    <t>VENDEDOR</t>
  </si>
  <si>
    <t>STª MONICA</t>
  </si>
  <si>
    <t>MARIA LUCIA</t>
  </si>
  <si>
    <t>VAI BUSCAR</t>
  </si>
  <si>
    <t>BIA</t>
  </si>
  <si>
    <t>C L I E N T E / FONE</t>
  </si>
  <si>
    <t>R. RAUL PETRONILHO DE PÁDUA 187</t>
  </si>
  <si>
    <t>TINA/HELIO</t>
  </si>
  <si>
    <t>TINA</t>
  </si>
  <si>
    <t>IRÁ BUSCAR</t>
  </si>
  <si>
    <t>IRA BUSCAR</t>
  </si>
  <si>
    <t xml:space="preserve">ANA PAULA </t>
  </si>
  <si>
    <t>XANDE</t>
  </si>
  <si>
    <t xml:space="preserve"> CÁSSIA</t>
  </si>
  <si>
    <t>RODOLFO/GIOVANA</t>
  </si>
  <si>
    <t>RODOLFO</t>
  </si>
  <si>
    <t>FALE</t>
  </si>
  <si>
    <t>AUGUSTO ARDEL</t>
  </si>
  <si>
    <t>R. DOS PINHEIROS 369</t>
  </si>
  <si>
    <t>CID. JARDIM</t>
  </si>
  <si>
    <t>MARILENE 99145-7868</t>
  </si>
  <si>
    <t>R. ARNALDO TUCCI 1289 ANT34 - LIGAR ANTES</t>
  </si>
  <si>
    <t>BÁRBARA 99147-8758</t>
  </si>
  <si>
    <t xml:space="preserve"> PRISCILLA</t>
  </si>
  <si>
    <t>Priscilla</t>
  </si>
  <si>
    <t>PRISCILLA</t>
  </si>
  <si>
    <t>MICHELE/LEANDRO</t>
  </si>
  <si>
    <t>MICHELE</t>
  </si>
  <si>
    <t xml:space="preserve">VICENTINA </t>
  </si>
  <si>
    <t>ZÉ LUIZ</t>
  </si>
  <si>
    <t xml:space="preserve"> XANDE E LIZ</t>
  </si>
  <si>
    <t>CEDEL</t>
  </si>
  <si>
    <t>R. ANITA 125 PASSARELA AV. LIBERDADE ALTAMIRA</t>
  </si>
  <si>
    <t>Mª LUCIA</t>
  </si>
  <si>
    <t>CRISTIANE / CÉSAR</t>
  </si>
  <si>
    <t>JOSÉ LUIZ</t>
  </si>
  <si>
    <t>CRIS</t>
  </si>
  <si>
    <t>BURITIS</t>
  </si>
  <si>
    <t>VICENTINA</t>
  </si>
  <si>
    <t>FELIPE</t>
  </si>
  <si>
    <t>GABRIEL</t>
  </si>
  <si>
    <t>LEÔNIDAS</t>
  </si>
  <si>
    <t>R. DO PROFESSOR 320</t>
  </si>
  <si>
    <t>PLANALTO</t>
  </si>
  <si>
    <t xml:space="preserve"> Mª LUCIA </t>
  </si>
  <si>
    <t>SÍLVIA EVANGELIZADORA - 9.9979-5832</t>
  </si>
  <si>
    <t>CÉSAR / LAVINE</t>
  </si>
  <si>
    <t>LAVINE</t>
  </si>
  <si>
    <t>CÉSAR / LAVINE - FALE - 9.9979-3354</t>
  </si>
  <si>
    <t>ESPECIAL***</t>
  </si>
  <si>
    <t>Alameda Vila Rica 520</t>
  </si>
  <si>
    <t>LEVY</t>
  </si>
  <si>
    <t>BUSCA CEDEL</t>
  </si>
  <si>
    <t>Eline - 9996-4095</t>
  </si>
  <si>
    <t>End: rua Virgílio M. Franco, 340,  apto 32</t>
  </si>
  <si>
    <t>JANEIRO</t>
  </si>
  <si>
    <t>Franz - 99133-6005</t>
  </si>
  <si>
    <t>Rua Caxambu, 284 - ap 103</t>
  </si>
  <si>
    <t>Osvaldo Resende</t>
  </si>
  <si>
    <t>Gabriel</t>
  </si>
  <si>
    <t>Consuelo - 99212-4447</t>
  </si>
  <si>
    <t>Rua Marques Povoa, 223</t>
  </si>
  <si>
    <t>Douglas - 98803-5267</t>
  </si>
  <si>
    <t>Rua Campo Rupestre, 193</t>
  </si>
  <si>
    <t>Jd. Botanico</t>
  </si>
  <si>
    <t>Regina - 98845-0023</t>
  </si>
  <si>
    <t>José Augusto  - 99167-3677</t>
  </si>
  <si>
    <t>Av Dr Laerte viera Gonçalves, 2415 - ap 102</t>
  </si>
  <si>
    <t>Santa Monica</t>
  </si>
  <si>
    <t>FRANCISCO/9 9166-0731</t>
  </si>
  <si>
    <t>THAIS/ 9 9196-8079</t>
  </si>
  <si>
    <t>DANIEL/ 9 9913-9667</t>
  </si>
  <si>
    <t>WEBERSON/9 9262-7350</t>
  </si>
  <si>
    <t>RUA MARQUES POVOA, 456</t>
  </si>
  <si>
    <t>OSVALDO RESENDE</t>
  </si>
  <si>
    <t>SANTA MONICA</t>
  </si>
  <si>
    <t xml:space="preserve">R: FRANCISCA ALVES AZEVEDO, 35 </t>
  </si>
  <si>
    <t>IPANEMA</t>
  </si>
  <si>
    <t>R: Alberto Martins Ribeiro,232</t>
  </si>
  <si>
    <t>JD PATRICIA</t>
  </si>
  <si>
    <t>David Araújo (3219-8921)</t>
  </si>
  <si>
    <t>LEOBALDO</t>
  </si>
  <si>
    <t>Sérgio</t>
  </si>
  <si>
    <t>Xande e Liz</t>
  </si>
  <si>
    <t>Daniel Chadud (9973-9967)</t>
  </si>
  <si>
    <t>Sandra</t>
  </si>
  <si>
    <t>Patrícia Milazzo</t>
  </si>
  <si>
    <t>Zilma e Reginaldo</t>
  </si>
  <si>
    <t xml:space="preserve">Jausson </t>
  </si>
  <si>
    <t>xande vai levar</t>
  </si>
  <si>
    <t>Vai buscar no centro</t>
  </si>
  <si>
    <t>Fabiola Gomide</t>
  </si>
  <si>
    <r>
      <t xml:space="preserve">Rua Dom Almir Mrques Ferreira, 820 </t>
    </r>
    <r>
      <rPr>
        <b/>
        <sz val="9"/>
        <color rgb="FFFF0000"/>
        <rFont val="Calibri"/>
        <family val="2"/>
        <scheme val="minor"/>
      </rPr>
      <t>Eu entrego</t>
    </r>
  </si>
  <si>
    <t xml:space="preserve">Valéria De Carvalho </t>
  </si>
  <si>
    <t>EU ENTREGO</t>
  </si>
  <si>
    <t>Maria Helena 99690-8656</t>
  </si>
  <si>
    <t xml:space="preserve">Rua João Severiano Rodrigesda Cunha 879 casa 10  Eu entrego </t>
  </si>
  <si>
    <t>Samia Bitar  99942-3020</t>
  </si>
  <si>
    <t xml:space="preserve">Rua Cipriano Del Favero 659 Aptº 1200  </t>
  </si>
  <si>
    <t>Centro</t>
  </si>
  <si>
    <t>Manuel Denise</t>
  </si>
  <si>
    <t>REGINA HELENA 99286-0302</t>
  </si>
  <si>
    <t>TRAVESSA ANTONIO FONSECA SILVA, 11</t>
  </si>
  <si>
    <t>APARECIDA</t>
  </si>
  <si>
    <t>NEUSA GUEDES/RAFAEL GUERREIRO 9.9979-3545</t>
  </si>
  <si>
    <t>AV. BRASIL, 1607</t>
  </si>
  <si>
    <t>BRASIL</t>
  </si>
  <si>
    <t>FERNANDA - 9.9681-7418</t>
  </si>
  <si>
    <t>Liliane 9.9149-6210</t>
  </si>
  <si>
    <t>SALETE 9.9669-6170</t>
  </si>
  <si>
    <t xml:space="preserve">MILVAR 9.9676-2593 </t>
  </si>
  <si>
    <t>VICENTINA - 9.9128-4121</t>
  </si>
  <si>
    <t>RUA PEDRO JOSE SAMORA, 1468, ANT 17 - PORTAO MARROM</t>
  </si>
  <si>
    <t>GABRIEL ENTREGA</t>
  </si>
  <si>
    <t>VALIM/MARYANNE - 9 9666-3335</t>
  </si>
  <si>
    <t>AV. JOÃO PINHEIRO, 1073 APTO 1004</t>
  </si>
  <si>
    <t>CENTRO</t>
  </si>
  <si>
    <t>Meire Lúcia</t>
  </si>
  <si>
    <t>Santa Maria</t>
  </si>
  <si>
    <t>Luis Figueiredo /Ana Márcia - 9.9929.8875</t>
  </si>
  <si>
    <t>R.José Rodrigues Queiroz, 57, Apto. 401 (próx. Habbibs)</t>
  </si>
  <si>
    <t>FALE - ZÉ LUIZ</t>
  </si>
  <si>
    <t>MARIA JOSÉ - 9.9817-1174</t>
  </si>
  <si>
    <t>R. Caiapônia, 54</t>
  </si>
  <si>
    <t>Aparecida</t>
  </si>
  <si>
    <t>Diego P. Stod - 3234-3599</t>
  </si>
  <si>
    <t>Aparecida das Graças - 9.8878-1706</t>
  </si>
  <si>
    <t>R. Athos Paranhos Veloso, 1706</t>
  </si>
  <si>
    <t>Tubalina</t>
  </si>
  <si>
    <t>Fatinha</t>
  </si>
  <si>
    <t>Mª LUCIA ENTREGA</t>
  </si>
  <si>
    <t>Cleomara</t>
  </si>
  <si>
    <t>Márcia Rogélia</t>
  </si>
  <si>
    <t>R. Sebastião Rangel, 593</t>
  </si>
  <si>
    <t>Roberta/Fernando - 3237-4538/ 9.9129-2747</t>
  </si>
  <si>
    <t>Iná - 9.9195-9740</t>
  </si>
  <si>
    <t>Av. Belo Horizonte, 1786 - esquina c/ R. Lambari</t>
  </si>
  <si>
    <t>Osvaldo</t>
  </si>
  <si>
    <t>Onofre / Ana Lúcia - 9.9222-7189</t>
  </si>
  <si>
    <t>Av. José Fonseca e Silva, 210</t>
  </si>
  <si>
    <t>Luizote de Freitas</t>
  </si>
  <si>
    <t>Mariza Cabral - 9.9155-5564 / 3215-1758</t>
  </si>
  <si>
    <t>Av. Cesário Crosara, 3525</t>
  </si>
  <si>
    <t>Roosevelt</t>
  </si>
  <si>
    <t>Marilda Oliveira - 9.8856-2310</t>
  </si>
  <si>
    <t>R. Patrulheiro Osmar Tavares, 1331 apto 303 antiga 21</t>
  </si>
  <si>
    <t>Cida / Carlos Maurício -9.9960-3309</t>
  </si>
  <si>
    <t>R. dos Girassóis, 50</t>
  </si>
  <si>
    <t>Cidade Jardim</t>
  </si>
  <si>
    <t>Patrícia Prata - 9.9240-5393</t>
  </si>
  <si>
    <t>R. Rio de Janeiro, 932 apto 101</t>
  </si>
  <si>
    <t>Brasil</t>
  </si>
  <si>
    <t>Sandra/Rui - 3215-1659/9.9969-9388</t>
  </si>
  <si>
    <t xml:space="preserve">Av. Constelação, 791 - ligar, não tem campainha </t>
  </si>
  <si>
    <t>Jd. Brasília</t>
  </si>
  <si>
    <t>DEZEMBRO</t>
  </si>
  <si>
    <t>Alexsandra - 9.9661-5002</t>
  </si>
  <si>
    <t>Av. José Zacarias Junqueira, Ed Ile de France, 190 apto 1203</t>
  </si>
  <si>
    <t>Jéssica - 9.9148-4283</t>
  </si>
  <si>
    <t>R. Waldomira Resende, 315 apto 201</t>
  </si>
  <si>
    <t>Márcia Fernandes</t>
  </si>
  <si>
    <t>Busca Centro</t>
  </si>
  <si>
    <t>Carlos Simões - 9.9977-1556</t>
  </si>
  <si>
    <t>R. Vinícius Degane, 615</t>
  </si>
  <si>
    <t>Vigilato Pereira</t>
  </si>
  <si>
    <t>Tânia Squarise - 3214-4522 / 9.9996-0527</t>
  </si>
  <si>
    <t>R.Cel Antônio Alves Pereira, 1874</t>
  </si>
  <si>
    <t>Saraiva</t>
  </si>
  <si>
    <t>Liliane/Dione- 9.9632-5003</t>
  </si>
  <si>
    <t>R. Duque de Caxias, 1390</t>
  </si>
  <si>
    <t>Divina Faria - 3219-8591</t>
  </si>
  <si>
    <t>R. Francisco Vieira de Paiva, 320</t>
  </si>
  <si>
    <t>FALE / Baiano - 3213-2775</t>
  </si>
  <si>
    <t>R. Pedro Quirino Silva, 341</t>
  </si>
  <si>
    <t>N.Sra Graças</t>
  </si>
  <si>
    <t>Tabajaras</t>
  </si>
  <si>
    <t>CÁSSIA</t>
  </si>
  <si>
    <t>Alameda pauso cesar santana , 885 -bloco 7 , apto 406</t>
  </si>
  <si>
    <t>Jd Holanda</t>
  </si>
  <si>
    <t>TINA/HÉLIO</t>
  </si>
  <si>
    <t>R. JOÃO ANGELO SCHIAVINATO, 1423 - ANT 43</t>
  </si>
  <si>
    <t>TATIANE - 9.9656-4988</t>
  </si>
  <si>
    <t>Av Alexandre Ribeiro Guimarães, 603</t>
  </si>
  <si>
    <t>Marília / Jussara -9.8861-0155 / 3231-1098</t>
  </si>
  <si>
    <t>Telma - 9.9977-5669</t>
  </si>
  <si>
    <t>Jd. Patrícia</t>
  </si>
  <si>
    <t>R. Waterloo Pereira Alves, 73 - **Ligar antes</t>
  </si>
  <si>
    <t>Angelita - 9.9121-3187</t>
  </si>
  <si>
    <t>Apelido/Referência</t>
  </si>
  <si>
    <t xml:space="preserve">Telefone </t>
  </si>
  <si>
    <t>Outro Contato</t>
  </si>
  <si>
    <t>Bairro</t>
  </si>
  <si>
    <t>Endereço</t>
  </si>
  <si>
    <t xml:space="preserve">CÉSAR / LAVINE </t>
  </si>
  <si>
    <t xml:space="preserve">MILVAR </t>
  </si>
  <si>
    <t xml:space="preserve">BÁRBARA </t>
  </si>
  <si>
    <t xml:space="preserve">SALETE </t>
  </si>
  <si>
    <t xml:space="preserve">REGINA HELENA </t>
  </si>
  <si>
    <t xml:space="preserve">MARILENE </t>
  </si>
  <si>
    <t xml:space="preserve">MARIA JOSÉ  </t>
  </si>
  <si>
    <t xml:space="preserve">NEUSA GUEDES/RAFAEL GUERREIRO </t>
  </si>
  <si>
    <t xml:space="preserve">FERNANDA </t>
  </si>
  <si>
    <t>FRANCISCO</t>
  </si>
  <si>
    <t xml:space="preserve">THAIS </t>
  </si>
  <si>
    <t>DANIEL</t>
  </si>
  <si>
    <t>WEBERSON</t>
  </si>
  <si>
    <t xml:space="preserve">VALIM/MARYANNE </t>
  </si>
  <si>
    <t xml:space="preserve">TATIANE </t>
  </si>
  <si>
    <t xml:space="preserve">Produto </t>
  </si>
  <si>
    <t>Preço</t>
  </si>
  <si>
    <t xml:space="preserve">MISTA </t>
  </si>
  <si>
    <t>Endereço de Entrega</t>
  </si>
  <si>
    <t xml:space="preserve">MENU PRINCIPAL </t>
  </si>
  <si>
    <t xml:space="preserve">DEMONSTRATIVOS FINANCEIROS </t>
  </si>
  <si>
    <t>RELATÓRIOS</t>
  </si>
  <si>
    <t>CLIENTES</t>
  </si>
  <si>
    <t>CADASTRO</t>
  </si>
  <si>
    <t>VENDEDORES</t>
  </si>
  <si>
    <t>PIZZAS-PRODUTOS</t>
  </si>
  <si>
    <t>LANÇAR VENDAS/PEDIDOS</t>
  </si>
  <si>
    <t>LEONIDAS</t>
  </si>
  <si>
    <t>TINA / HÉLIO</t>
  </si>
  <si>
    <t>XANDE/ELIS</t>
  </si>
  <si>
    <t xml:space="preserve">Endereço </t>
  </si>
  <si>
    <t>CEP</t>
  </si>
  <si>
    <t>PRISCILLA CRISTINA ALVARENGA</t>
  </si>
  <si>
    <t xml:space="preserve">ESPECIAL </t>
  </si>
  <si>
    <t>Menu Principal</t>
  </si>
  <si>
    <t>Cliente</t>
  </si>
  <si>
    <t>MENU PRINCIPAL</t>
  </si>
  <si>
    <t xml:space="preserve">Código </t>
  </si>
  <si>
    <t>Valor Unitário</t>
  </si>
  <si>
    <t xml:space="preserve">Total </t>
  </si>
  <si>
    <t xml:space="preserve">VENDAS  - LANÇAMENTO </t>
  </si>
  <si>
    <t>Data do Pedido:</t>
  </si>
  <si>
    <t>Data do Pedido</t>
  </si>
  <si>
    <t>Vendedor</t>
  </si>
  <si>
    <t>IdPedido</t>
  </si>
  <si>
    <t>Telefone</t>
  </si>
  <si>
    <t>Qtde Produto</t>
  </si>
  <si>
    <t>Rótulos de Linha</t>
  </si>
  <si>
    <t>Rótulos de Coluna</t>
  </si>
  <si>
    <t>38400-454</t>
  </si>
  <si>
    <t>38400-438</t>
  </si>
  <si>
    <t>38400-418</t>
  </si>
  <si>
    <t>38412-102</t>
  </si>
  <si>
    <t>38412-140</t>
  </si>
  <si>
    <t>38414-162</t>
  </si>
  <si>
    <t>38414-172</t>
  </si>
  <si>
    <t xml:space="preserve">R. Waterloo Pereira Alves, 73 </t>
  </si>
  <si>
    <t>Obs/Ref.</t>
  </si>
  <si>
    <t>Ligar antes</t>
  </si>
  <si>
    <t>Entregador</t>
  </si>
  <si>
    <t xml:space="preserve">Bairro </t>
  </si>
  <si>
    <t>Obs/Referencia</t>
  </si>
  <si>
    <t>Valor do item pago</t>
  </si>
  <si>
    <t>R.José Rodrigues Queiroz, 57, Apto. 401</t>
  </si>
  <si>
    <t>LOMB</t>
  </si>
  <si>
    <t>CALAB</t>
  </si>
  <si>
    <t xml:space="preserve"> MIST</t>
  </si>
  <si>
    <t>MUSS</t>
  </si>
  <si>
    <t>ESPE</t>
  </si>
  <si>
    <t>TABELA PARA ENTREGAS (SETORIZAÇÃO)</t>
  </si>
  <si>
    <t>34.9948-0722</t>
  </si>
  <si>
    <t>34.99661-5002</t>
  </si>
  <si>
    <t>NOVA UBERLÂNDIA</t>
  </si>
  <si>
    <t>38412-757</t>
  </si>
  <si>
    <t>34.99133-6005</t>
  </si>
  <si>
    <t>34.99121-3187</t>
  </si>
  <si>
    <t>34.98878-1706</t>
  </si>
  <si>
    <t>34.99147-8758</t>
  </si>
  <si>
    <t>34.99977-1556</t>
  </si>
  <si>
    <t>34.99979-3354</t>
  </si>
  <si>
    <t>34.99960-3309</t>
  </si>
  <si>
    <t>34.99212-4447</t>
  </si>
  <si>
    <t>34.99913-9667</t>
  </si>
  <si>
    <t xml:space="preserve"> 34.9973-9967</t>
  </si>
  <si>
    <t>34.3219-8921</t>
  </si>
  <si>
    <t>34.3234-3599</t>
  </si>
  <si>
    <t>34.3219-8591</t>
  </si>
  <si>
    <t>34.98803-5267</t>
  </si>
  <si>
    <t>34.99996-4095</t>
  </si>
  <si>
    <t>34.3213-2775</t>
  </si>
  <si>
    <t>34.99681-7418</t>
  </si>
  <si>
    <t>34.99166-0731</t>
  </si>
  <si>
    <t>34.99195-9740</t>
  </si>
  <si>
    <t>34.99148-4283</t>
  </si>
  <si>
    <t>34.99167-3677</t>
  </si>
  <si>
    <t>34.99149-6210</t>
  </si>
  <si>
    <t>34.99632-5003</t>
  </si>
  <si>
    <t>34.99929-8875</t>
  </si>
  <si>
    <t>34.99690-8656</t>
  </si>
  <si>
    <t>34.99817-1174</t>
  </si>
  <si>
    <t>34.98856-2310</t>
  </si>
  <si>
    <t>34.99145-7868</t>
  </si>
  <si>
    <t>34.98861-0155  34.3231-1098</t>
  </si>
  <si>
    <t xml:space="preserve">34.99676-2593 </t>
  </si>
  <si>
    <t>34.99979-3545</t>
  </si>
  <si>
    <t>.</t>
  </si>
  <si>
    <t>34.99222-7189</t>
  </si>
  <si>
    <t>34.99240-5393</t>
  </si>
  <si>
    <t>34.99286-0302</t>
  </si>
  <si>
    <t xml:space="preserve"> 34.3237-4538/ 34.99129-2747</t>
  </si>
  <si>
    <t>34.99669-6170</t>
  </si>
  <si>
    <t>34.99942-3020</t>
  </si>
  <si>
    <t xml:space="preserve"> 34.3215-1659/ 34.99969-9388</t>
  </si>
  <si>
    <t>34.99979-5832</t>
  </si>
  <si>
    <t xml:space="preserve"> 3214-4522 / 34.99996-0527</t>
  </si>
  <si>
    <t>34.99656-4988</t>
  </si>
  <si>
    <t>34.99977-5669</t>
  </si>
  <si>
    <t>34.99196-8079</t>
  </si>
  <si>
    <t>34.99666-3335</t>
  </si>
  <si>
    <t>34.99128-4121</t>
  </si>
  <si>
    <t>34.99262-7350</t>
  </si>
  <si>
    <t xml:space="preserve"> 34.99155-5564 / 34.3215-1758</t>
  </si>
  <si>
    <t>34.98845-0023</t>
  </si>
  <si>
    <t>Rua Orozimbo</t>
  </si>
  <si>
    <t>Em frente ao SESC</t>
  </si>
  <si>
    <t>Vendedor - Colaborador</t>
  </si>
  <si>
    <t>NULO</t>
  </si>
  <si>
    <t>38402-075</t>
  </si>
  <si>
    <t xml:space="preserve">R. Pedro Quirino da Silva, 341 </t>
  </si>
  <si>
    <t>Observações:</t>
  </si>
  <si>
    <t>34.99148-0722</t>
  </si>
  <si>
    <t>THIAGO CAMPOS FURQUIM</t>
  </si>
  <si>
    <t>THIAGO FURQUIM</t>
  </si>
  <si>
    <t>VILA BRASILIA</t>
  </si>
  <si>
    <t>78911-110</t>
  </si>
  <si>
    <t xml:space="preserve">PRISCILLA </t>
  </si>
  <si>
    <t xml:space="preserve">ALEXSANDRA  </t>
  </si>
  <si>
    <t xml:space="preserve">ANGELITA </t>
  </si>
  <si>
    <t xml:space="preserve">APARECIDA DAS GRAÇAS </t>
  </si>
  <si>
    <t xml:space="preserve">CARLOS SIMÕES </t>
  </si>
  <si>
    <t>CIDA / CARLOS MAURÍCIO</t>
  </si>
  <si>
    <t>CLEOMARA</t>
  </si>
  <si>
    <t xml:space="preserve">CONSUELO  </t>
  </si>
  <si>
    <t>DANIEL CHADUD</t>
  </si>
  <si>
    <t xml:space="preserve">DAVID ARAÚJO </t>
  </si>
  <si>
    <t xml:space="preserve">DIEGO P. STOD </t>
  </si>
  <si>
    <t xml:space="preserve">DIVINA FARIA </t>
  </si>
  <si>
    <t xml:space="preserve">DOUGLAS  </t>
  </si>
  <si>
    <t>ELINE</t>
  </si>
  <si>
    <t>FABIOLA GOMIDE</t>
  </si>
  <si>
    <t xml:space="preserve">FALE / BAIANO </t>
  </si>
  <si>
    <t>FATINHA</t>
  </si>
  <si>
    <t xml:space="preserve">FRANZ  </t>
  </si>
  <si>
    <t xml:space="preserve">INÁ </t>
  </si>
  <si>
    <t xml:space="preserve">JAUSSON </t>
  </si>
  <si>
    <t xml:space="preserve">JÉSSICA </t>
  </si>
  <si>
    <t xml:space="preserve">JOSÉ AUGUSTO  </t>
  </si>
  <si>
    <t xml:space="preserve"> LILIANE  </t>
  </si>
  <si>
    <t>LILIANE/DIONE</t>
  </si>
  <si>
    <t xml:space="preserve">LUIS FIGUEIREDO /ANA MÁRCIA </t>
  </si>
  <si>
    <t>MANUEL DENISE</t>
  </si>
  <si>
    <t>MÁRCIA FERNANDES</t>
  </si>
  <si>
    <t>MÁRCIA ROGÉLIA</t>
  </si>
  <si>
    <t xml:space="preserve">MARIA HELENA </t>
  </si>
  <si>
    <t xml:space="preserve">MARILDA OLIVEIRA </t>
  </si>
  <si>
    <t>MARIZA CABRAL</t>
  </si>
  <si>
    <t>MEIRE LÚCIA</t>
  </si>
  <si>
    <t xml:space="preserve">ONOFRE / ANA LÚCIA </t>
  </si>
  <si>
    <t>PATRÍCIA MILAZZO</t>
  </si>
  <si>
    <t xml:space="preserve">PATRÍCIA PRATA </t>
  </si>
  <si>
    <t xml:space="preserve">REGINA  </t>
  </si>
  <si>
    <t xml:space="preserve">ROBERTA/FERNANDO </t>
  </si>
  <si>
    <t xml:space="preserve">SAMIA BITAR  </t>
  </si>
  <si>
    <t>SANDRA</t>
  </si>
  <si>
    <t xml:space="preserve">SANDRA/RUI </t>
  </si>
  <si>
    <t>SÉRGIO</t>
  </si>
  <si>
    <t>TÂNIA SQUARISE</t>
  </si>
  <si>
    <t xml:space="preserve">TELMA </t>
  </si>
  <si>
    <t xml:space="preserve">VALÉRIA DE CARVALHO </t>
  </si>
  <si>
    <t>XANDE E LIZ</t>
  </si>
  <si>
    <t>ZILMA E REGINALDO</t>
  </si>
  <si>
    <t xml:space="preserve">MARÍLIA / JUSSARA </t>
  </si>
  <si>
    <t>Vendedor:</t>
  </si>
  <si>
    <t>Bairro:</t>
  </si>
  <si>
    <t>CEP:</t>
  </si>
  <si>
    <t xml:space="preserve"> SANTA MARIA </t>
  </si>
  <si>
    <t xml:space="preserve"> TUBALINA </t>
  </si>
  <si>
    <t xml:space="preserve"> CIDADE JARDIM </t>
  </si>
  <si>
    <t xml:space="preserve"> OSVALDO RESENDE </t>
  </si>
  <si>
    <t xml:space="preserve"> APARECIDA </t>
  </si>
  <si>
    <t xml:space="preserve"> ROOSEVELT </t>
  </si>
  <si>
    <t xml:space="preserve"> JD. BOTANICO </t>
  </si>
  <si>
    <t xml:space="preserve"> TABAJARAS </t>
  </si>
  <si>
    <t xml:space="preserve"> N.SRA GRAÇAS </t>
  </si>
  <si>
    <t xml:space="preserve"> SANTA MONICA </t>
  </si>
  <si>
    <t xml:space="preserve"> SARAIVA </t>
  </si>
  <si>
    <t xml:space="preserve"> JD HOLANDA </t>
  </si>
  <si>
    <t xml:space="preserve"> MICHELE/LEANDRO </t>
  </si>
  <si>
    <t xml:space="preserve"> LUIZOTE DE FREITAS </t>
  </si>
  <si>
    <t xml:space="preserve"> BRASIL </t>
  </si>
  <si>
    <t xml:space="preserve"> CENTRO </t>
  </si>
  <si>
    <t xml:space="preserve"> JD. BRASÍLIA </t>
  </si>
  <si>
    <t xml:space="preserve"> JD. PATRÍCIA </t>
  </si>
  <si>
    <t xml:space="preserve">Rua Dom Almir Marques Ferreira, 820 </t>
  </si>
  <si>
    <t xml:space="preserve">MARTA HELENA </t>
  </si>
  <si>
    <t xml:space="preserve">Total Item </t>
  </si>
  <si>
    <t>Número do Pedido:</t>
  </si>
  <si>
    <t xml:space="preserve">Status do Item </t>
  </si>
  <si>
    <t>ENTREGA POR GABRIEL</t>
  </si>
  <si>
    <t>LEANDRO</t>
  </si>
  <si>
    <t>Nossa Sra. Aparecida</t>
  </si>
  <si>
    <t>38400-774</t>
  </si>
  <si>
    <t>R. Orozimbo José Ferreira</t>
  </si>
  <si>
    <t>38408-044</t>
  </si>
  <si>
    <t>38411-314</t>
  </si>
  <si>
    <t>38412-076</t>
  </si>
  <si>
    <t>38408-630</t>
  </si>
  <si>
    <t>38406-211</t>
  </si>
  <si>
    <t>JARDIM IPANEMA I</t>
  </si>
  <si>
    <t>38400-678</t>
  </si>
  <si>
    <t>38401-002</t>
  </si>
  <si>
    <t>38410-664</t>
  </si>
  <si>
    <t>38400-238</t>
  </si>
  <si>
    <t>GÁVEA</t>
  </si>
  <si>
    <t>38411-170</t>
  </si>
  <si>
    <t>38408-078</t>
  </si>
  <si>
    <t>38408-176</t>
  </si>
  <si>
    <t>38408-382</t>
  </si>
  <si>
    <t>38408-038</t>
  </si>
  <si>
    <t>38412-326</t>
  </si>
  <si>
    <t xml:space="preserve">Rua João Severiano Rodrigesda Cunha 879 casa 10 </t>
  </si>
  <si>
    <t>ITAPEMA SUL</t>
  </si>
  <si>
    <t>38411-356</t>
  </si>
  <si>
    <t>38400-676</t>
  </si>
  <si>
    <t>38408-294</t>
  </si>
  <si>
    <t xml:space="preserve">R. ARNALDO TUCCI 1289 ANT34 </t>
  </si>
  <si>
    <t xml:space="preserve"> LIGAR ANTES</t>
  </si>
  <si>
    <t>38408-256</t>
  </si>
  <si>
    <t>38408-050</t>
  </si>
  <si>
    <t>MORADA DA COLINA</t>
  </si>
  <si>
    <t>38411-014</t>
  </si>
  <si>
    <t>38400-716</t>
  </si>
  <si>
    <t>38414-348</t>
  </si>
  <si>
    <t>38400-658</t>
  </si>
  <si>
    <t>JARDIM DAS PALMEIRAS</t>
  </si>
  <si>
    <t>38412-296</t>
  </si>
  <si>
    <t>38408-250</t>
  </si>
  <si>
    <t>Av. Constelação, 791</t>
  </si>
  <si>
    <t>38401-478</t>
  </si>
  <si>
    <t>BELO HORIZONTE</t>
  </si>
  <si>
    <t>38408-370</t>
  </si>
  <si>
    <t>38408-272</t>
  </si>
  <si>
    <t>38408-224</t>
  </si>
  <si>
    <t xml:space="preserve">RUA PEDRO JOSE SAMORA, 1468, ANT 17 </t>
  </si>
  <si>
    <t>PORTAO MARROM</t>
  </si>
  <si>
    <t>38400-126</t>
  </si>
  <si>
    <t>38410-020</t>
  </si>
  <si>
    <t>GRANADA</t>
  </si>
  <si>
    <t xml:space="preserve">VIGILATO PEREIRA </t>
  </si>
  <si>
    <t>ROOSEVELT</t>
  </si>
  <si>
    <t>CITY UBERLANDIA</t>
  </si>
  <si>
    <t>CÉSAR</t>
  </si>
  <si>
    <t>Produto</t>
  </si>
  <si>
    <t>Presunto qtde</t>
  </si>
  <si>
    <t>Queijo Qtde</t>
  </si>
  <si>
    <t>Calabresa Qtde</t>
  </si>
  <si>
    <t>Lombinho Qtde</t>
  </si>
  <si>
    <t>Tomate</t>
  </si>
  <si>
    <t>Farinha</t>
  </si>
  <si>
    <t>BUSCAR NO CENTRO</t>
  </si>
  <si>
    <t xml:space="preserve"> </t>
  </si>
  <si>
    <t xml:space="preserve">SÍLVIA - EVANGELIZADORA </t>
  </si>
  <si>
    <t>Soma de Qtde Produto</t>
  </si>
  <si>
    <t>ESPECIAL ***</t>
  </si>
  <si>
    <t>PAULINHO</t>
  </si>
  <si>
    <t>MARIA LÚCIA</t>
  </si>
  <si>
    <t xml:space="preserve">LILIANE  </t>
  </si>
  <si>
    <t>NA FALE</t>
  </si>
  <si>
    <t>34-98849.6044</t>
  </si>
  <si>
    <t>(Tudo)</t>
  </si>
  <si>
    <t>ENDEREÇO DO CLIENTE</t>
  </si>
  <si>
    <t>Sabor</t>
  </si>
  <si>
    <t>Já Pago</t>
  </si>
  <si>
    <t>Itens Diferentes</t>
  </si>
  <si>
    <t>Valor Und</t>
  </si>
  <si>
    <t>Total</t>
  </si>
  <si>
    <t>ABERTO</t>
  </si>
  <si>
    <t>PAGO</t>
  </si>
  <si>
    <t>Período /Data</t>
  </si>
  <si>
    <t>Setorização</t>
  </si>
  <si>
    <t>De:</t>
  </si>
  <si>
    <t>Até:</t>
  </si>
  <si>
    <t>Quantidade  a entregar no período:</t>
  </si>
  <si>
    <t>Mª LÚCIA ENTREGA</t>
  </si>
  <si>
    <t xml:space="preserve"> 9.9969-1001</t>
  </si>
  <si>
    <t>9.8877-4323</t>
  </si>
  <si>
    <t>Jacqueline Boaventura / Osmar</t>
  </si>
  <si>
    <t>R.Judite Moreira, 280</t>
  </si>
  <si>
    <t>Av. Paulo Gracindo, 1000 - Cond. Gávea Paradiso - Alameda Gavião Real, 90</t>
  </si>
  <si>
    <t>COND. GÁVEA PARADISO</t>
  </si>
  <si>
    <t>Cond. Gávea Paradiso</t>
  </si>
  <si>
    <t>9.9171-4462</t>
  </si>
  <si>
    <t>R. Monlevade, 852</t>
  </si>
  <si>
    <t>DANIEL FONSECA</t>
  </si>
  <si>
    <t>LILIA LOPES</t>
  </si>
  <si>
    <t>JACQUELINE BOAVENTURA / OSMAR</t>
  </si>
  <si>
    <t>9.9186-6464</t>
  </si>
  <si>
    <t>9.9817-8007</t>
  </si>
  <si>
    <t>MÁRCIA HELENA (CEMIL) /ROGÉRIO</t>
  </si>
  <si>
    <t xml:space="preserve"> R. Virgílio Melo Franco, 490 apto 601</t>
  </si>
  <si>
    <t>TABAJARAS</t>
  </si>
  <si>
    <t xml:space="preserve">NEUZA MARGARIDA </t>
  </si>
  <si>
    <t>3213-3201/ 9.9211-0864</t>
  </si>
  <si>
    <t>Av. Clara Camarão, 427</t>
  </si>
  <si>
    <t>ENTREGAR 1/RECEBER 2</t>
  </si>
  <si>
    <t>3235-8012/9.9195-5802</t>
  </si>
  <si>
    <t>PERCLÍSIO</t>
  </si>
  <si>
    <t>R. Padre Pio, 224</t>
  </si>
  <si>
    <t>OSVALDO REZENDE</t>
  </si>
  <si>
    <t>9.9991-4357</t>
  </si>
  <si>
    <t>R. Michele Virno, 4093</t>
  </si>
  <si>
    <t>CUSTÓDIO PEREIRA</t>
  </si>
  <si>
    <t>TÂNIA UFU</t>
  </si>
  <si>
    <t>*LIGAR ANTES*</t>
  </si>
  <si>
    <t>1 - HIELEN / 1 JEAN / 1 LUCAS</t>
  </si>
  <si>
    <t>9.9656-9764</t>
  </si>
  <si>
    <t>CLAUDETE / HIELLEN</t>
  </si>
  <si>
    <t>R. Tiradentes, 300</t>
  </si>
  <si>
    <t>FUNDINHO</t>
  </si>
  <si>
    <t>ZELMA MAMEDE</t>
  </si>
  <si>
    <t>SANTA ROSA</t>
  </si>
  <si>
    <t>9.9120-9701/3225-2785</t>
  </si>
  <si>
    <t>ELENILDE CD</t>
  </si>
  <si>
    <t xml:space="preserve">R. Jade, 45 </t>
  </si>
  <si>
    <t>JD. BOTÂNICO</t>
  </si>
  <si>
    <t>9.8819-6028</t>
  </si>
  <si>
    <t xml:space="preserve">ROSÂNGELA/OSÓRIO </t>
  </si>
  <si>
    <t>9.9239-4287</t>
  </si>
  <si>
    <t>FRANCILENE</t>
  </si>
  <si>
    <t>R. Jerônimo Reis Silva, 492</t>
  </si>
  <si>
    <t>PATRIMÔNIO</t>
  </si>
  <si>
    <t>R. Salvador, 1541</t>
  </si>
  <si>
    <t>TIBERY</t>
  </si>
  <si>
    <t>99780-2006</t>
  </si>
  <si>
    <t>SONIA</t>
  </si>
  <si>
    <t>TANIA UFU</t>
  </si>
  <si>
    <t>Rua Perdizes,</t>
  </si>
  <si>
    <t>CIDADE JARDIM</t>
  </si>
  <si>
    <t>Av. França, 885</t>
  </si>
  <si>
    <t>9.9650-2257</t>
  </si>
  <si>
    <t>CLAUDIA ALVIM</t>
  </si>
  <si>
    <t>SUELI</t>
  </si>
  <si>
    <t>9.9660-9979</t>
  </si>
  <si>
    <t>R. Luiz Vieira Tavares, 85</t>
  </si>
  <si>
    <t>ELMER</t>
  </si>
  <si>
    <t>9.8864-5369</t>
  </si>
  <si>
    <t>R. Suécia, 207</t>
  </si>
  <si>
    <t>BEATRIZ (BIBLIOTECA)</t>
  </si>
  <si>
    <t>9.9996-3211</t>
  </si>
  <si>
    <t>R. Nova Ponte, 873</t>
  </si>
  <si>
    <t>NILZE</t>
  </si>
  <si>
    <t>9.8845-9424</t>
  </si>
  <si>
    <t>3227-6113</t>
  </si>
  <si>
    <t>R. Carvalho de Mendonça, 1361</t>
  </si>
  <si>
    <t>PAMPULHA</t>
  </si>
  <si>
    <t>AL. JOÃO PEREIRA DE CARVALHO 315</t>
  </si>
  <si>
    <t>R. LUIZ FUAD ABIB 105, BL26 AP304</t>
  </si>
  <si>
    <t>JD. DAS PALMEIRAS</t>
  </si>
  <si>
    <t>SHOPPING PARK</t>
  </si>
  <si>
    <t>9.9679-6465</t>
  </si>
  <si>
    <t>9.8421-2745</t>
  </si>
  <si>
    <t>9.9684-7889</t>
  </si>
  <si>
    <t>9.9971-2237</t>
  </si>
  <si>
    <t>9.9645-2096</t>
  </si>
  <si>
    <t>NADIA MEDEIROS</t>
  </si>
  <si>
    <t>VANESSA BEATRIZ</t>
  </si>
  <si>
    <t>MAURÍCIO CARLOS</t>
  </si>
  <si>
    <t>DEBORA AMANCIO</t>
  </si>
  <si>
    <t xml:space="preserve">R. LUIZ ROBERTO ALCANTARA 1310 </t>
  </si>
  <si>
    <t>ALTO UMUARAMA</t>
  </si>
  <si>
    <t>JARAGUÁ</t>
  </si>
  <si>
    <t>9.9780-2006</t>
  </si>
  <si>
    <t>FERNANDA SPOSITO</t>
  </si>
  <si>
    <t>9.9205-9575</t>
  </si>
  <si>
    <t>R. ROMA, 546 - CASA 2</t>
  </si>
  <si>
    <t>9.9647-8862</t>
  </si>
  <si>
    <t>MAURO JR / CAROL</t>
  </si>
  <si>
    <t>9.9967-0416</t>
  </si>
  <si>
    <t>9.9941-1412</t>
  </si>
  <si>
    <t>MIRIANE</t>
  </si>
  <si>
    <t>Av. Cleanto Vieira Gonçalves, 1.227</t>
  </si>
  <si>
    <t>PACAEMBU</t>
  </si>
  <si>
    <t>PRISCILLA ALVARENGA</t>
  </si>
  <si>
    <t>Rua Tuiuti 279, Tel: 99954-1904/ 98852-9621</t>
  </si>
  <si>
    <t>Rua José Lelis França, 1480 Apto 301</t>
  </si>
  <si>
    <t>SERGIO ROSA</t>
  </si>
  <si>
    <t>DR TÚLIO</t>
  </si>
  <si>
    <t>VER ENDEREÇO</t>
  </si>
  <si>
    <t>TIA LÚCIA</t>
  </si>
  <si>
    <t>R. JOSÉ EURÍPEDES DUARTE 547</t>
  </si>
  <si>
    <t>SEG PEREIRA</t>
  </si>
  <si>
    <t>9.9241-0181</t>
  </si>
  <si>
    <t>(vazio)</t>
  </si>
  <si>
    <t>(Vários itens)</t>
  </si>
  <si>
    <t>9.9215-5938</t>
  </si>
  <si>
    <t>SHIRLEY</t>
  </si>
  <si>
    <t>R. Joao Rodrigues Castro, 400</t>
  </si>
  <si>
    <t>JARDIM PATRÍCIA</t>
  </si>
  <si>
    <t>THAIS</t>
  </si>
  <si>
    <t>FRANZ</t>
  </si>
  <si>
    <t>CONSUELO</t>
  </si>
  <si>
    <t>JOSÉ AUGUSTO</t>
  </si>
  <si>
    <t>DOUGLAS</t>
  </si>
  <si>
    <t>REGINA</t>
  </si>
  <si>
    <t>Rua Prof. Ciro de Castro Almeida, 1576</t>
  </si>
  <si>
    <t>LUIS FIGUEIREDO /ANA MÁRCIA</t>
  </si>
  <si>
    <t>ELAINE</t>
  </si>
  <si>
    <t>9.8852-3585</t>
  </si>
  <si>
    <t xml:space="preserve">R. João Ângelo Schiavinatto, 2220, apto 302 </t>
  </si>
  <si>
    <t>AV. IMBAÚBA 2200 BL03 AP404</t>
  </si>
  <si>
    <t>COUTINHO</t>
  </si>
  <si>
    <t>9.9976-8255</t>
  </si>
  <si>
    <t>3219-6865</t>
  </si>
  <si>
    <t>R. Irene Rosa, 54</t>
  </si>
  <si>
    <t>ROBSON</t>
  </si>
  <si>
    <t>9.9673-3900</t>
  </si>
  <si>
    <t>R. Pirapuã, 275</t>
  </si>
  <si>
    <t>JD KARÍBA</t>
  </si>
  <si>
    <t>SALETE</t>
  </si>
  <si>
    <t>BUSCARÁ NA CASA DA REGINA MÃE GABRIEL</t>
  </si>
  <si>
    <t>VALÉRIA BIASI</t>
  </si>
  <si>
    <t xml:space="preserve">AV. CESARIO CROSARA 2507 </t>
  </si>
  <si>
    <t>(ESCOLA 1ª IDADE)</t>
  </si>
  <si>
    <t>VIRGINIA VIDAL</t>
  </si>
  <si>
    <t>99990-2430</t>
  </si>
  <si>
    <t xml:space="preserve">R. JOSÉ OLIVEIRA PINTO 34 </t>
  </si>
  <si>
    <t>PROXIMO PRAIA</t>
  </si>
  <si>
    <t>TUBALINA</t>
  </si>
  <si>
    <t>BRUNA BIASI</t>
  </si>
  <si>
    <t>9.9978-0317</t>
  </si>
  <si>
    <t>CÁRITAS FERNANDES</t>
  </si>
  <si>
    <t>9.9973-4397</t>
  </si>
  <si>
    <t xml:space="preserve">R. DYENIFER APARECIDA COSTA SANTOS 210 APÓS 15HRS </t>
  </si>
  <si>
    <t>JD EUROPA</t>
  </si>
  <si>
    <t>MESMO END VALÉRIA</t>
  </si>
  <si>
    <t>MARILENE</t>
  </si>
  <si>
    <t>MILVAR</t>
  </si>
  <si>
    <t>REGINA HELENA</t>
  </si>
  <si>
    <t>Rua Luiz Dela Pena, 382</t>
  </si>
  <si>
    <t>MARTINS</t>
  </si>
  <si>
    <t>38411-634</t>
  </si>
  <si>
    <t>38400-398</t>
  </si>
  <si>
    <t>38411-145</t>
  </si>
  <si>
    <t>38400-264</t>
  </si>
  <si>
    <t>38401-119</t>
  </si>
  <si>
    <t xml:space="preserve"> 38405-250</t>
  </si>
  <si>
    <t>38400-106</t>
  </si>
  <si>
    <t>38401-160</t>
  </si>
  <si>
    <t>38400-320</t>
  </si>
  <si>
    <t>38402-010</t>
  </si>
  <si>
    <t>38400-386</t>
  </si>
  <si>
    <t>38405-190</t>
  </si>
  <si>
    <t>38401-246</t>
  </si>
  <si>
    <t>38411-028</t>
  </si>
  <si>
    <t>38412-152</t>
  </si>
  <si>
    <t>38405-052</t>
  </si>
  <si>
    <t>38405-260</t>
  </si>
  <si>
    <t>38405-014</t>
  </si>
  <si>
    <t>38410-623</t>
  </si>
  <si>
    <t>38408-652</t>
  </si>
  <si>
    <t>38412-864</t>
  </si>
  <si>
    <t>38405-355</t>
  </si>
  <si>
    <t>38413-108</t>
  </si>
  <si>
    <t>38401-257</t>
  </si>
  <si>
    <t>38411-453</t>
  </si>
  <si>
    <t>38405-076</t>
  </si>
  <si>
    <t xml:space="preserve">38401-545 </t>
  </si>
  <si>
    <t>38408-234</t>
  </si>
  <si>
    <t>38408-304</t>
  </si>
  <si>
    <t>38414-122</t>
  </si>
  <si>
    <t>38400-480</t>
  </si>
  <si>
    <t>38411-364</t>
  </si>
  <si>
    <t>38412-098</t>
  </si>
  <si>
    <t>38414-620</t>
  </si>
  <si>
    <t>CLÓVIS</t>
  </si>
  <si>
    <t>Dra Lourdes</t>
  </si>
  <si>
    <t>9.9155-0999</t>
  </si>
  <si>
    <t>Rua Antônio Fortunato Silva, 691 Antiga 3</t>
  </si>
  <si>
    <t>38408-210</t>
  </si>
  <si>
    <t>Yuri Brito</t>
  </si>
  <si>
    <t>9.9663-4126</t>
  </si>
  <si>
    <t>Rua Arlindo Gomes Teixeira, 1459 Antiga 39</t>
  </si>
  <si>
    <t>38408-264</t>
  </si>
  <si>
    <t>Cassilda Borges</t>
  </si>
  <si>
    <t xml:space="preserve"> 9.9195-7693</t>
  </si>
  <si>
    <t>R. Corcovado, 174, apt 604</t>
  </si>
  <si>
    <t>38411-092</t>
  </si>
  <si>
    <t>Rua Francisco Rodrigues Serralha, 350 Condomínio Uchoa Bloco 27 apto 402</t>
  </si>
  <si>
    <t>9.9932-1907</t>
  </si>
  <si>
    <t>Chácaras Tubalina</t>
  </si>
  <si>
    <t>38413-297</t>
  </si>
  <si>
    <t>9.8876-6001</t>
  </si>
  <si>
    <t>Larissa Schiavinato</t>
  </si>
  <si>
    <t xml:space="preserve">SANDRA </t>
  </si>
  <si>
    <t>Alcântara</t>
  </si>
  <si>
    <t>9.8871-4546</t>
  </si>
  <si>
    <t xml:space="preserve">9.9643-9349 </t>
  </si>
  <si>
    <t>DANIEL / EDNA</t>
  </si>
  <si>
    <t>R: CONEGO PEDRO PEZZUTI, 29</t>
  </si>
  <si>
    <t>38405-258</t>
  </si>
  <si>
    <t>FERNANDO</t>
  </si>
  <si>
    <t>9.8822-2019</t>
  </si>
  <si>
    <t>R: DO AMENDOIN, 3100, CASA 08</t>
  </si>
  <si>
    <t>38402-206</t>
  </si>
  <si>
    <t>MINAS GERAIS</t>
  </si>
  <si>
    <t>9.9811-4187</t>
  </si>
  <si>
    <t xml:space="preserve">Sandra Mara </t>
  </si>
  <si>
    <t>Rua Tupaciguara 400 ap 701  - Entrega até 13h</t>
  </si>
  <si>
    <t>38400-618</t>
  </si>
  <si>
    <t>FRANCISCO (CÁSSIA)</t>
  </si>
  <si>
    <t xml:space="preserve">9.9202-4305 </t>
  </si>
  <si>
    <t>SARAIVA</t>
  </si>
  <si>
    <t>Rua Alfa, 195 apto 704</t>
  </si>
  <si>
    <t>38408-480</t>
  </si>
  <si>
    <t>Marlene Aguiar</t>
  </si>
  <si>
    <t>9.9665-8081</t>
  </si>
  <si>
    <t xml:space="preserve"> Rua José Zacarias Junqueira 384</t>
  </si>
  <si>
    <t xml:space="preserve">38408-044 </t>
  </si>
  <si>
    <t xml:space="preserve">Rua Perdizes, 222 casa 1 </t>
  </si>
  <si>
    <t>CASA REGINA</t>
  </si>
  <si>
    <t>FABIO MATOS</t>
  </si>
  <si>
    <t>9.9149-1390</t>
  </si>
  <si>
    <t>TIA DIVINA</t>
  </si>
  <si>
    <t>38405-250</t>
  </si>
  <si>
    <t>ABADIA YAMASHITA</t>
  </si>
  <si>
    <t>9.9977-6097</t>
  </si>
  <si>
    <t>Rua Bernardo Cupertino, 349 apto 401</t>
  </si>
  <si>
    <t>38400-444</t>
  </si>
  <si>
    <t>ENTREGA DOMINGO A NOITE</t>
  </si>
  <si>
    <t>RODRIGO</t>
  </si>
  <si>
    <t>9.9766-0500</t>
  </si>
  <si>
    <t>RODRIGO/ZÉ LUIZ</t>
  </si>
  <si>
    <t>EDNA</t>
  </si>
  <si>
    <t>9.998-8810</t>
  </si>
  <si>
    <t>EDMAR</t>
  </si>
  <si>
    <t>Rua África 1013</t>
  </si>
  <si>
    <t>MANSÕES AEROPORTO</t>
  </si>
  <si>
    <t>38406-407</t>
  </si>
  <si>
    <t>ROBERTO</t>
  </si>
  <si>
    <t>9.9237-0104</t>
  </si>
  <si>
    <t xml:space="preserve">Rua Olivia Almeida e Silva, 137, Condominio Uruguai </t>
  </si>
  <si>
    <t>JD AMÉRICA</t>
  </si>
  <si>
    <t>38401-788</t>
  </si>
  <si>
    <t>Raíssa</t>
  </si>
  <si>
    <t>Eudes Humberto</t>
  </si>
  <si>
    <t>Haendell</t>
  </si>
  <si>
    <t>Américo</t>
  </si>
  <si>
    <t>Giliard</t>
  </si>
  <si>
    <t>Oberdan</t>
  </si>
  <si>
    <t>Fabrício Siqueira</t>
  </si>
  <si>
    <t>Levy</t>
  </si>
  <si>
    <t>Entrega Levy</t>
  </si>
  <si>
    <t xml:space="preserve">Suemy </t>
  </si>
  <si>
    <t>Rodrigo Pires</t>
  </si>
  <si>
    <t>Juliguel Maranho</t>
  </si>
  <si>
    <t>Diego Costa</t>
  </si>
  <si>
    <t xml:space="preserve">Rodrigo Rodrigues </t>
  </si>
  <si>
    <t>9.9147-7656</t>
  </si>
  <si>
    <t xml:space="preserve">Vanessa </t>
  </si>
  <si>
    <t>9.9888-8193</t>
  </si>
  <si>
    <t>9.8876-0808</t>
  </si>
  <si>
    <t>9.8815-9291</t>
  </si>
  <si>
    <t>9.9971-1866</t>
  </si>
  <si>
    <t>9.9168-9131</t>
  </si>
  <si>
    <t>Av José Paes de Almeida, 463, apto 404</t>
  </si>
  <si>
    <t xml:space="preserve"> 031 9.7117-9777</t>
  </si>
  <si>
    <t>Rua Ronan Mendonça Ribeiro, 111 Bloco 5 apto 402</t>
  </si>
  <si>
    <t>LARANJEIRAS</t>
  </si>
  <si>
    <t>LUIZOTE</t>
  </si>
  <si>
    <t>Rua Monte Negro, 101 bloco 1 apto 103</t>
  </si>
  <si>
    <t>Rua José Lélis França, 90</t>
  </si>
  <si>
    <t>Rua Antônio Marciano de Ávila, 415  ant. 28</t>
  </si>
  <si>
    <t>JD DAS PALMEIRAS</t>
  </si>
  <si>
    <t>Rua das Rolinhas, 70 - Entrega Levy</t>
  </si>
  <si>
    <t>38408-140</t>
  </si>
  <si>
    <t>38405-364</t>
  </si>
  <si>
    <t>38410-265</t>
  </si>
  <si>
    <t>38412-220</t>
  </si>
  <si>
    <t>38414-299</t>
  </si>
  <si>
    <t>Rua José Quércia, 170</t>
  </si>
  <si>
    <t>38408-244</t>
  </si>
  <si>
    <t>38414-310</t>
  </si>
  <si>
    <t>Rua Esperança Naves Godoy, 184 ant. C57</t>
  </si>
  <si>
    <t>Av. dos Ferreiras, 475 casa 321- Condomínio Terra Nova 1</t>
  </si>
  <si>
    <t>38406-136</t>
  </si>
  <si>
    <t>JD CALIFÓRNIA</t>
  </si>
  <si>
    <t>9.8854-5588</t>
  </si>
  <si>
    <t>Tenente Neto</t>
  </si>
  <si>
    <t>9.8988-6436</t>
  </si>
  <si>
    <t>Rua Atenas, 69 apto 403</t>
  </si>
  <si>
    <t>38405-066</t>
  </si>
  <si>
    <t>9.9141-7904</t>
  </si>
  <si>
    <t xml:space="preserve">MARIA ADRIANA VIDIGAL </t>
  </si>
  <si>
    <t>9.9157-9400</t>
  </si>
  <si>
    <t>9.9197-7955</t>
  </si>
  <si>
    <t>ENTREGADOR:</t>
  </si>
  <si>
    <t>TOTAL:</t>
  </si>
  <si>
    <t>Tel</t>
  </si>
  <si>
    <t>Qtde</t>
  </si>
  <si>
    <t>QTE</t>
  </si>
  <si>
    <t>Obs.</t>
  </si>
  <si>
    <t>JÁ PG</t>
  </si>
  <si>
    <t>ENTREGADOR</t>
  </si>
  <si>
    <t>R. do Borracheiro, 221</t>
  </si>
  <si>
    <t>38413-222</t>
  </si>
  <si>
    <t>R. ONOFRE GONÇALVES BATISTA 260</t>
  </si>
  <si>
    <t>Rua José Pires Defensor, 600, Casa 28</t>
  </si>
  <si>
    <t>PAULA (CEDEL)</t>
  </si>
  <si>
    <t>9.9634-0246</t>
  </si>
  <si>
    <t>Rua José Miguel Saramago, 63, Casa 02</t>
  </si>
  <si>
    <t>SANTA MÔNICA</t>
  </si>
  <si>
    <t>MI/LEANDRO</t>
  </si>
  <si>
    <t>38408-222</t>
  </si>
  <si>
    <t>COUTINHO (2)</t>
  </si>
  <si>
    <t>9.8899-1860</t>
  </si>
  <si>
    <t>Dejamir Cristina</t>
  </si>
  <si>
    <t>9.9149-9388</t>
  </si>
  <si>
    <t>3238-8979</t>
  </si>
  <si>
    <t>Av. Araguari, 255 apto 101 Bloco 3</t>
  </si>
  <si>
    <t>38400-464</t>
  </si>
  <si>
    <t>9.9132-9676</t>
  </si>
  <si>
    <t>R. Melo Viana, 233 esq. R. Eduardo Marquês</t>
  </si>
  <si>
    <t>38400-376</t>
  </si>
  <si>
    <t>Nadia CD</t>
  </si>
  <si>
    <t>SÔNIA</t>
  </si>
  <si>
    <t>9.9969-9388</t>
  </si>
  <si>
    <t>3215-1659</t>
  </si>
  <si>
    <t>9.9830-2766</t>
  </si>
  <si>
    <t>Ana Maria Fernandes</t>
  </si>
  <si>
    <t>9.9683-8488</t>
  </si>
  <si>
    <t>3232-9033</t>
  </si>
  <si>
    <t>Rua Piauí, 2866</t>
  </si>
  <si>
    <t>38405-244</t>
  </si>
  <si>
    <t>Maria Helena</t>
  </si>
  <si>
    <t>9.9991-0073</t>
  </si>
  <si>
    <t>Rua Izídio Antônio da Silva, 47</t>
  </si>
  <si>
    <t>38401-132</t>
  </si>
  <si>
    <t>Terezinha UFU</t>
  </si>
  <si>
    <t>9.9992-1905</t>
  </si>
  <si>
    <t>Rua Patrulheiro Osmar Tavares, 989</t>
  </si>
  <si>
    <t>R. Tunísia, 114 casa 1</t>
  </si>
  <si>
    <t>38405-068</t>
  </si>
  <si>
    <t>Sonia Maria Nunes</t>
  </si>
  <si>
    <t>9.9182-4610</t>
  </si>
  <si>
    <t>3227-3048</t>
  </si>
  <si>
    <t>Rua do Feirante, 80 Fundos</t>
  </si>
  <si>
    <t>38413-153</t>
  </si>
  <si>
    <t>Geisiane Simões</t>
  </si>
  <si>
    <t>9.9662-0380</t>
  </si>
  <si>
    <t>3213-4980</t>
  </si>
  <si>
    <t>Rua Cristovão Marra, 810</t>
  </si>
  <si>
    <t>38405-106</t>
  </si>
  <si>
    <t>Marlene Abadia</t>
  </si>
  <si>
    <t>9.9293-4397</t>
  </si>
  <si>
    <t>3210-2374</t>
  </si>
  <si>
    <t>R. Joana Costa Ferreira, 253</t>
  </si>
  <si>
    <t>+ CESTA BÁSICA</t>
  </si>
  <si>
    <t>+ LEITE/FRALDA</t>
  </si>
  <si>
    <t>Jovenal Souza / Elza</t>
  </si>
  <si>
    <t>3232-9278</t>
  </si>
  <si>
    <t>R. Feliciano de Moraes, 139</t>
  </si>
  <si>
    <t>38400-684</t>
  </si>
  <si>
    <t>38411-114</t>
  </si>
  <si>
    <t>R. Engenheiro Hélvio Félici, 250</t>
  </si>
  <si>
    <t>9.9892-3746</t>
  </si>
  <si>
    <t>FATINHA / CLAUDIO</t>
  </si>
  <si>
    <t>Alameda Durval Carrijo, 550</t>
  </si>
  <si>
    <t>38411-138</t>
  </si>
  <si>
    <t>1/2 muss // 1/2 calabresa</t>
  </si>
  <si>
    <t>Entregar domingo à noite ou 2ª</t>
  </si>
  <si>
    <t>9.9670-9884</t>
  </si>
  <si>
    <t>R. Agesilau Paschoal Greco, 318</t>
  </si>
  <si>
    <t>38411-112</t>
  </si>
  <si>
    <t>LIGAR, NÃO TEM CAMPAINHA</t>
  </si>
  <si>
    <t>1/2 MUSS // 1/2 CALABRESA</t>
  </si>
  <si>
    <t>LIGAR ANTES</t>
  </si>
  <si>
    <t>Fleizer</t>
  </si>
  <si>
    <t xml:space="preserve"> 9.9244-8198</t>
  </si>
  <si>
    <t>R. dos Pandeiros, 101</t>
  </si>
  <si>
    <t>TAIAMAN</t>
  </si>
  <si>
    <t>38415-084</t>
  </si>
  <si>
    <t>LEVAR CESTA BÁSICA</t>
  </si>
  <si>
    <t>Isabel Cursino</t>
  </si>
  <si>
    <t>9.9665-5619</t>
  </si>
  <si>
    <t>R. Ismael Gomes de Oliveira, 72</t>
  </si>
  <si>
    <t>38405-380</t>
  </si>
  <si>
    <t>Solange Cemil AC</t>
  </si>
  <si>
    <t>9.9120-3519</t>
  </si>
  <si>
    <t>R. José Andraus, 738</t>
  </si>
  <si>
    <t>38400-340</t>
  </si>
  <si>
    <t>Renata Hotelzinho</t>
  </si>
  <si>
    <t>9.9694-0869</t>
  </si>
  <si>
    <t>R. Ibiá, 127</t>
  </si>
  <si>
    <t>38400-430</t>
  </si>
  <si>
    <t>Sheila Boaventura</t>
  </si>
  <si>
    <t>9.8873-8732</t>
  </si>
  <si>
    <t>38401-208</t>
  </si>
  <si>
    <t>R. Orozimbo Francisco Fernandes, 155 - Bloco 01 Apto 304</t>
  </si>
  <si>
    <t>9.9168-8081</t>
  </si>
  <si>
    <t>Paula Sousa UFU</t>
  </si>
  <si>
    <t>38405-307</t>
  </si>
  <si>
    <t>UMUARAMA</t>
  </si>
  <si>
    <t>Av João Pinheiro, 4670 Apto 103 D</t>
  </si>
  <si>
    <t>ENTREGAR 2ª FEIRA</t>
  </si>
  <si>
    <t>FÁBIO MATOS</t>
  </si>
  <si>
    <t>Dione</t>
  </si>
  <si>
    <t xml:space="preserve">Morada do Sol </t>
  </si>
  <si>
    <t>38415-516</t>
  </si>
  <si>
    <t>3215-5995</t>
  </si>
  <si>
    <t>Av ipê 198 b sol Iracema</t>
  </si>
  <si>
    <t>Tatiana</t>
  </si>
  <si>
    <t>ENTREGAR DOMINgo à noite</t>
  </si>
  <si>
    <t>9.9797-7352</t>
  </si>
  <si>
    <t>Alexandra</t>
  </si>
  <si>
    <t>Rua Guerra Junqueira, 430, bl 4 - ap 413</t>
  </si>
  <si>
    <t>38412-004</t>
  </si>
  <si>
    <t>CALABRESA METADE SEM MUSSARELA</t>
  </si>
  <si>
    <t>VALÉRIA DE CARVALHO</t>
  </si>
  <si>
    <t>9.8863-1720</t>
  </si>
  <si>
    <t>PATRICIA</t>
  </si>
  <si>
    <t>JUNTO COM A REGINA</t>
  </si>
  <si>
    <t>RECEBER 4 PIZZAS</t>
  </si>
  <si>
    <t>Vanderlene</t>
  </si>
  <si>
    <t>CASA EM FRENTE AO CEDEL</t>
  </si>
  <si>
    <t>38405-148</t>
  </si>
  <si>
    <t>Rua Armando Tucci, 1482, Apto 202 B</t>
  </si>
  <si>
    <t>Rayssa</t>
  </si>
  <si>
    <t>9.9139-0396</t>
  </si>
  <si>
    <t>Rua Santiago, 231</t>
  </si>
  <si>
    <t>Douglas Costa Moreira</t>
  </si>
  <si>
    <t>9.9192-2529</t>
  </si>
  <si>
    <t xml:space="preserve">Rua Sebastião Alves Nunes, 767 </t>
  </si>
  <si>
    <t>38408-318</t>
  </si>
  <si>
    <t>9.8803-9111</t>
  </si>
  <si>
    <t>9.9161-1233</t>
  </si>
  <si>
    <t>Jefferson Rodrigues de Almeida</t>
  </si>
  <si>
    <t>NILKENIA</t>
  </si>
  <si>
    <t>R. Horácio Rezende, 241</t>
  </si>
  <si>
    <t>38400-302</t>
  </si>
  <si>
    <t>9.9992-0097</t>
  </si>
  <si>
    <t>CLOVIS</t>
  </si>
  <si>
    <t>9.9164-5332</t>
  </si>
  <si>
    <t>CONFERIR IMPR</t>
  </si>
  <si>
    <t>MANUEL</t>
  </si>
  <si>
    <t>ZILMA</t>
  </si>
  <si>
    <t>Marcia Cristina</t>
  </si>
  <si>
    <t>VALERIA</t>
  </si>
  <si>
    <t>1/2 SEM MUSS</t>
  </si>
  <si>
    <t>PATRICIA MILAZZO</t>
  </si>
  <si>
    <t>ENTREGAR SEGUNDA</t>
  </si>
  <si>
    <t xml:space="preserve">Rua Luiz Dela Pena,382 </t>
  </si>
  <si>
    <t>REGINA HELENA 2</t>
  </si>
  <si>
    <t>talvez busque cedel</t>
  </si>
  <si>
    <t>ligar antes</t>
  </si>
  <si>
    <t>ZAIRA</t>
  </si>
  <si>
    <t>+CESTA BASICA</t>
  </si>
  <si>
    <t>CRISTINA/JOÃO</t>
  </si>
  <si>
    <t>9.9232-5605</t>
  </si>
  <si>
    <t>R. Edmundo Munir Arantes, 79</t>
  </si>
  <si>
    <t>38413-276</t>
  </si>
  <si>
    <t>+doações</t>
  </si>
  <si>
    <t>R. Athos Paranhos Veloso, 1146</t>
  </si>
  <si>
    <t>9.8878-1706</t>
  </si>
  <si>
    <t>BATER NO PORTÃO</t>
  </si>
  <si>
    <t>SEM MUSS</t>
  </si>
  <si>
    <t>RECEBER 3</t>
  </si>
  <si>
    <t>ANT 31</t>
  </si>
  <si>
    <t>1/2 MUSS /CAL</t>
  </si>
  <si>
    <t>CLAUDIA H. PEREIRA</t>
  </si>
  <si>
    <t>9.9657-6258</t>
  </si>
  <si>
    <t>Av. Portugal, 967</t>
  </si>
  <si>
    <t>38405-042</t>
  </si>
  <si>
    <t>TAYANNE FERRAZ</t>
  </si>
  <si>
    <t>9.9663-0071</t>
  </si>
  <si>
    <t>R. João Ângelo Schiavinatto, 1704</t>
  </si>
  <si>
    <t>DAYANE / FERNANDO</t>
  </si>
  <si>
    <t>3238-0561</t>
  </si>
  <si>
    <t>Alameda José de Oliveira Guimarães, 307 casa 04</t>
  </si>
  <si>
    <t>38412-324</t>
  </si>
  <si>
    <t>VIVIANE / CLEBER</t>
  </si>
  <si>
    <t>9.8430-7881</t>
  </si>
  <si>
    <t>3215-5386</t>
  </si>
  <si>
    <t>R. do Funcionário Público, 594</t>
  </si>
  <si>
    <t>38413-180</t>
  </si>
  <si>
    <t>VINICIUS MACHADO</t>
  </si>
  <si>
    <t>9.9657-5941</t>
  </si>
  <si>
    <t>R. Alaska, 277</t>
  </si>
  <si>
    <t>38405-104</t>
  </si>
  <si>
    <t>3222-5463</t>
  </si>
  <si>
    <t>Sheila / Hemerson Boaventura</t>
  </si>
  <si>
    <t>HELEN KARINA</t>
  </si>
  <si>
    <t>9.9876-0960</t>
  </si>
  <si>
    <t>R. Fádua Barcha Gustin, 445 BL 01 APTO 302</t>
  </si>
  <si>
    <t>38412-003</t>
  </si>
  <si>
    <t>+CESTA BÁSICA</t>
  </si>
  <si>
    <t>MªLÚCIA</t>
  </si>
  <si>
    <t>+DOAÇÕES</t>
  </si>
  <si>
    <t>EDIVANIA SANTOS</t>
  </si>
  <si>
    <t>R. Simão Pedro, 44</t>
  </si>
  <si>
    <t>38401-476</t>
  </si>
  <si>
    <t>9.9649-0308</t>
  </si>
  <si>
    <t>3215-3361</t>
  </si>
  <si>
    <t>VALIM</t>
  </si>
  <si>
    <t>AV Rondom pacheco 5715 ( Corpo de Bombeiros)</t>
  </si>
  <si>
    <t>38405-142</t>
  </si>
  <si>
    <t>AV: FLORIANO PEIXOTO, 5299</t>
  </si>
  <si>
    <t>38405-373</t>
  </si>
  <si>
    <t>Karitha</t>
  </si>
  <si>
    <t>9.8891-6721</t>
  </si>
  <si>
    <t>9.9178-6749</t>
  </si>
  <si>
    <t>SHIRLEY/EDMA</t>
  </si>
  <si>
    <t>R. ALFREDO MELO DE ABREU, 119</t>
  </si>
  <si>
    <t>38414-405</t>
  </si>
  <si>
    <t>JOSE LUIZ</t>
  </si>
  <si>
    <t>Mariela Queiroz</t>
  </si>
  <si>
    <t>Rua dos jardins 1500 condomínio Gênova 
Rua bouganville 481</t>
  </si>
  <si>
    <t>38412-639</t>
  </si>
  <si>
    <t>Adriana Quites</t>
  </si>
  <si>
    <t>9.98102-6788</t>
  </si>
  <si>
    <t>Monica Quites</t>
  </si>
  <si>
    <t>9.9219-4113</t>
  </si>
  <si>
    <t>9.9990-2430</t>
  </si>
  <si>
    <t>9.9262-7350</t>
  </si>
  <si>
    <t>ATÉ 13:30 - LIGAR ANTES</t>
  </si>
  <si>
    <t>+FRALDAS</t>
  </si>
  <si>
    <t>Lisiane Monteiro</t>
  </si>
  <si>
    <t>9.9204-1591</t>
  </si>
  <si>
    <t>38412-070</t>
  </si>
  <si>
    <t>Nicarlos</t>
  </si>
  <si>
    <t>9.9229-8477</t>
  </si>
  <si>
    <t>Av. Cesário Crosara, 4264</t>
  </si>
  <si>
    <t>Marcilene Ferreira</t>
  </si>
  <si>
    <t>9.9995-3438</t>
  </si>
  <si>
    <t>R. Graça Aranha, 480</t>
  </si>
  <si>
    <t>R. Marcelo Barbosa, 178</t>
  </si>
  <si>
    <t>38411-464</t>
  </si>
  <si>
    <t>Ana Cláudia</t>
  </si>
  <si>
    <t>9.9818-0707</t>
  </si>
  <si>
    <t>R. Raimundo Martins de Almeida Cavalcante, 181 casa 5</t>
  </si>
  <si>
    <t>38414-624</t>
  </si>
  <si>
    <t>Entregar domingo após as 18 hrs</t>
  </si>
  <si>
    <t>Daniela Medeiros</t>
  </si>
  <si>
    <t>9.9670-6155</t>
  </si>
  <si>
    <t>Pça Américo Ferreira de Abreu, 23</t>
  </si>
  <si>
    <t>38408-166</t>
  </si>
  <si>
    <t>RODRIGO/ZE LUIZ</t>
  </si>
  <si>
    <t>Maira</t>
  </si>
  <si>
    <t>Stelly Stefani</t>
  </si>
  <si>
    <t>9.9976-9126</t>
  </si>
  <si>
    <t>Rua Xavantes 1056, Apto 302 Edifício Costa Bela ou no Apto 303 no Apto da mãe.</t>
  </si>
  <si>
    <t>LÍDICE</t>
  </si>
  <si>
    <t>38400-082</t>
  </si>
  <si>
    <t>VER Nº</t>
  </si>
  <si>
    <t>9.9976-5102</t>
  </si>
  <si>
    <t>PAGAR 20,00</t>
  </si>
  <si>
    <t>CALABRESA, 1/2 SEM MUSSARELA</t>
  </si>
  <si>
    <t>ZE/RODRIGO</t>
  </si>
  <si>
    <t>Guilhermina Fonseca</t>
  </si>
  <si>
    <t>9.9971-6898</t>
  </si>
  <si>
    <t>Av. Cesar Finoti 555, Apt° 304 - após as 11hs</t>
  </si>
  <si>
    <t>38408-138</t>
  </si>
  <si>
    <t>9.9166-1547</t>
  </si>
  <si>
    <t>pagar 10,00</t>
  </si>
  <si>
    <t>Gabriel Alves</t>
  </si>
  <si>
    <t>9.9875-2981</t>
  </si>
  <si>
    <t>Rua Monte Carmelo 1915, casa 1</t>
  </si>
  <si>
    <t>38400-470</t>
  </si>
  <si>
    <t>9.9647-8862 / 9.9967-0416</t>
  </si>
  <si>
    <t>PAGAR 25,00</t>
  </si>
  <si>
    <t>Carla - Divino Pão</t>
  </si>
  <si>
    <t>9.9646-4482</t>
  </si>
  <si>
    <t>Av. Uirapuru, 1505</t>
  </si>
  <si>
    <t>38412-166</t>
  </si>
  <si>
    <t>RECEBER 10,00</t>
  </si>
  <si>
    <t>+ FRALDAS</t>
  </si>
  <si>
    <t>Denise</t>
  </si>
  <si>
    <t>9.9661-1352</t>
  </si>
  <si>
    <t>R. Prof Eunice Brandão de Paiva, 139</t>
  </si>
  <si>
    <t>38411-466</t>
  </si>
  <si>
    <t>Angela</t>
  </si>
  <si>
    <t>9.98414-3113/3216-0778</t>
  </si>
  <si>
    <t>R. Zâmbia, 54</t>
  </si>
  <si>
    <t>38410-482</t>
  </si>
  <si>
    <t>+CESTA</t>
  </si>
  <si>
    <t>1ª ENTREGA</t>
  </si>
  <si>
    <t>COBRAR 3 - 1 FALE</t>
  </si>
  <si>
    <t>Rosely Crosara</t>
  </si>
  <si>
    <t>9.9929-8010</t>
  </si>
  <si>
    <t>1/2 SEM MUSSARELA</t>
  </si>
  <si>
    <t>Bianca</t>
  </si>
  <si>
    <t>9.9998-8810</t>
  </si>
  <si>
    <t>Rua do Carteiro, 882</t>
  </si>
  <si>
    <t>38413-195</t>
  </si>
  <si>
    <t>PORTÃO MARROM</t>
  </si>
  <si>
    <t>ENTREGAR Nº500 - TINA</t>
  </si>
  <si>
    <t>Fernanda / Saulo</t>
  </si>
  <si>
    <t>9.8842-2300</t>
  </si>
  <si>
    <t>JUSSARA MORELI</t>
  </si>
  <si>
    <t>9.9142-0663</t>
  </si>
  <si>
    <t>Rua das Mães, 395</t>
  </si>
  <si>
    <t>38401-388</t>
  </si>
  <si>
    <t>JD BRASÍLIA</t>
  </si>
  <si>
    <t>Neide THD</t>
  </si>
  <si>
    <t>9.8440-0765</t>
  </si>
  <si>
    <t>R. Laura Guerra de Aquino, 146</t>
  </si>
  <si>
    <t>CARAJÁS</t>
  </si>
  <si>
    <t>38408-398</t>
  </si>
  <si>
    <t>1/2MUSS 1/2 CALAB</t>
  </si>
  <si>
    <t>+ CESTA</t>
  </si>
  <si>
    <t>Edivaldo Santos</t>
  </si>
  <si>
    <t>3235-9788</t>
  </si>
  <si>
    <t>R. Orestes Mendes Ferreira, 435</t>
  </si>
  <si>
    <t>Mauricia Carla Araujo</t>
  </si>
  <si>
    <t>9.9902-4252</t>
  </si>
  <si>
    <t>Ane Caroline</t>
  </si>
  <si>
    <t>9.9663-1746</t>
  </si>
  <si>
    <t>R. Santos Dumont, 900 Apto térreo</t>
  </si>
  <si>
    <t>R. Antônio Bento, 97</t>
  </si>
  <si>
    <t>R. Alfredo Tormin, 215, Apto 304</t>
  </si>
  <si>
    <t>FINOTTI</t>
  </si>
  <si>
    <t>ENY DOS REIS</t>
  </si>
  <si>
    <t>AL. JOSÉ OLIVEIRA GUIMARÃES, 51, CASA 45</t>
  </si>
  <si>
    <t>MARCIA</t>
  </si>
  <si>
    <t>9.98440-4224</t>
  </si>
  <si>
    <t>R. FADUA BARCHA GUSTIM 445 BL1 AP1401</t>
  </si>
  <si>
    <t>VALERIA DE CARVALHO</t>
  </si>
  <si>
    <t>R. Athos Paranhos Veloso, 1046</t>
  </si>
  <si>
    <t>BAIANO</t>
  </si>
  <si>
    <t>RECEBER R$160,00</t>
  </si>
  <si>
    <t>1/2 MUSS 1/2C CAL</t>
  </si>
  <si>
    <t>GERALDO PORTILHO</t>
  </si>
  <si>
    <t>9.0025-8945</t>
  </si>
  <si>
    <t>3213-8945</t>
  </si>
  <si>
    <t>R. PIAUÍ, 255</t>
  </si>
  <si>
    <t>38402-043</t>
  </si>
  <si>
    <t>IONE EULÁLIO</t>
  </si>
  <si>
    <t>9.9674-5665</t>
  </si>
  <si>
    <t>3216-5656</t>
  </si>
  <si>
    <t>R. JOÃO LIMÍRIO DOS ANJOS, 1053</t>
  </si>
  <si>
    <t>JOSÉ CARLOS</t>
  </si>
  <si>
    <t>9.8862-8595</t>
  </si>
  <si>
    <t>R. ALBERTO MARQUES, 128</t>
  </si>
  <si>
    <t>3210-2510</t>
  </si>
  <si>
    <t>38408-266</t>
  </si>
  <si>
    <t>39401-090</t>
  </si>
  <si>
    <t>AMAURY CAMPOS</t>
  </si>
  <si>
    <t>9.8861-2894</t>
  </si>
  <si>
    <t>3254-5934</t>
  </si>
  <si>
    <t>R. CLÉZIO MIGUELETO, 525, AP101, BL B</t>
  </si>
  <si>
    <t>38401-040</t>
  </si>
  <si>
    <t>MARIANA / SÉRGIO BOEL</t>
  </si>
  <si>
    <t>9.8819-4189</t>
  </si>
  <si>
    <t>R. CAETÉS, 580</t>
  </si>
  <si>
    <t>3227-8311</t>
  </si>
  <si>
    <t>38408-422</t>
  </si>
  <si>
    <t>LIZ/XANDE</t>
  </si>
  <si>
    <t>RECEBER 20</t>
  </si>
  <si>
    <t>ERIKA / HAMILTON</t>
  </si>
  <si>
    <t>9.9303-7802</t>
  </si>
  <si>
    <t>CIBELE</t>
  </si>
  <si>
    <t>9.9830-9676</t>
  </si>
  <si>
    <t>R. ANTILHAS, 438</t>
  </si>
  <si>
    <t>38405-176</t>
  </si>
  <si>
    <t>RODRIGO/ZÉ</t>
  </si>
  <si>
    <t>RECEBER 3(FALE)</t>
  </si>
  <si>
    <t>R. Irene Rosa, 54 OU R. do Borracheiro, 221</t>
  </si>
  <si>
    <t>ALAMEDA BENETIDO JOSÉ DE SOUZA, Nº 81</t>
  </si>
  <si>
    <t xml:space="preserve">JOSE CARLOS </t>
  </si>
  <si>
    <t>9.9222-2656</t>
  </si>
  <si>
    <t>38412-887</t>
  </si>
  <si>
    <t>38410-665</t>
  </si>
  <si>
    <t>CIDA / CARLOS MAURICIO</t>
  </si>
  <si>
    <t>R. PIAUI, 255</t>
  </si>
  <si>
    <t>JD BRASILIA</t>
  </si>
  <si>
    <t xml:space="preserve">MARILIA / JUSSARA </t>
  </si>
  <si>
    <t>MAURICIO CARLOS</t>
  </si>
  <si>
    <t xml:space="preserve">PATRICIA PRATA </t>
  </si>
  <si>
    <t>PERCLISIO</t>
  </si>
  <si>
    <t>AV. VEREADOR CARLITO CORDEIRO, Nº 2315 - CONDOMINIO SPLENDIDO - INTERNO: R. 09, N° 150.</t>
  </si>
  <si>
    <t>JARDIM PATRICIA</t>
  </si>
  <si>
    <t xml:space="preserve">SILVIA - EVANGELIZADORA </t>
  </si>
  <si>
    <t xml:space="preserve"> JD. BRASILIA </t>
  </si>
  <si>
    <t>LIDICE</t>
  </si>
  <si>
    <t xml:space="preserve"> JD. PATRICIA </t>
  </si>
  <si>
    <t>JD. BOTANICO</t>
  </si>
  <si>
    <t>NOVA UBERLANDIA</t>
  </si>
  <si>
    <t>TANIA SQUARISE</t>
  </si>
  <si>
    <t>CRISTINA/JOAO</t>
  </si>
  <si>
    <t>R. JOAO LIMIRIO DOS ANJOS, 1053</t>
  </si>
  <si>
    <t>AL. JOAO PEREIRA DE CARVALHO 315</t>
  </si>
  <si>
    <t>PATRIMONIO</t>
  </si>
  <si>
    <t xml:space="preserve">R. DYENIFER APARECIDA COSTA SANTOS 210 APOS 15HRS </t>
  </si>
  <si>
    <t>APOS 15HS</t>
  </si>
  <si>
    <t>CUSTODIO PEREIRA</t>
  </si>
  <si>
    <t xml:space="preserve">ROSANGELA/OSORIO </t>
  </si>
  <si>
    <t>JD CALIFORNIA</t>
  </si>
  <si>
    <t>99661-5002</t>
  </si>
  <si>
    <t>99121-3187</t>
  </si>
  <si>
    <t>99147-8758</t>
  </si>
  <si>
    <t>99977-1556</t>
  </si>
  <si>
    <t>99979-3354</t>
  </si>
  <si>
    <t>99960-3309</t>
  </si>
  <si>
    <t>99212-4447</t>
  </si>
  <si>
    <t>99913-9667</t>
  </si>
  <si>
    <t xml:space="preserve"> 9973-9967</t>
  </si>
  <si>
    <t>3219-8921</t>
  </si>
  <si>
    <t>3234-3599</t>
  </si>
  <si>
    <t>3219-8591</t>
  </si>
  <si>
    <t>98803-5267</t>
  </si>
  <si>
    <t>99996-4095</t>
  </si>
  <si>
    <t>3213-2775</t>
  </si>
  <si>
    <t>99681-7418</t>
  </si>
  <si>
    <t>99166-0731</t>
  </si>
  <si>
    <t>99133-6005</t>
  </si>
  <si>
    <t>99195-9740</t>
  </si>
  <si>
    <t>99148-4283</t>
  </si>
  <si>
    <t>99167-3677</t>
  </si>
  <si>
    <t>99149-6210</t>
  </si>
  <si>
    <t>99632-5003</t>
  </si>
  <si>
    <t>99929-8875</t>
  </si>
  <si>
    <t>99690-8656</t>
  </si>
  <si>
    <t>99817-1174</t>
  </si>
  <si>
    <t>98856-2310</t>
  </si>
  <si>
    <t>99145-7868</t>
  </si>
  <si>
    <t>98861-0155  3231-1098</t>
  </si>
  <si>
    <t xml:space="preserve"> 99155-5564 / 3215-1758</t>
  </si>
  <si>
    <t xml:space="preserve">99676-2593 </t>
  </si>
  <si>
    <t>99979-3545</t>
  </si>
  <si>
    <t>99222-7189</t>
  </si>
  <si>
    <t>99240-5393</t>
  </si>
  <si>
    <t>98845-0023</t>
  </si>
  <si>
    <t>99286-0302</t>
  </si>
  <si>
    <t xml:space="preserve"> 3237-4538/ 99129-2747</t>
  </si>
  <si>
    <t>99669-6170</t>
  </si>
  <si>
    <t>99942-3020</t>
  </si>
  <si>
    <t>99979-5832</t>
  </si>
  <si>
    <t xml:space="preserve"> 3214-4522 / 99996-0527</t>
  </si>
  <si>
    <t>99656-4988</t>
  </si>
  <si>
    <t>99977-5669</t>
  </si>
  <si>
    <t>99196-8079</t>
  </si>
  <si>
    <t>99666-3335</t>
  </si>
  <si>
    <t>99128-4121</t>
  </si>
  <si>
    <t>COND. GAVEA PARADISO</t>
  </si>
  <si>
    <t xml:space="preserve">BARBARA </t>
  </si>
  <si>
    <t>CASSIA</t>
  </si>
  <si>
    <t>GAVEA</t>
  </si>
  <si>
    <t>FRANCISCO (CASSIA)</t>
  </si>
  <si>
    <t xml:space="preserve">INA </t>
  </si>
  <si>
    <t>IONE EULALIO</t>
  </si>
  <si>
    <t>LUIS FIGUEIREDO /ANA MARCIA</t>
  </si>
  <si>
    <t>MARCIA FERNANDES</t>
  </si>
  <si>
    <t>JARAGUA</t>
  </si>
  <si>
    <t>CARAJAS</t>
  </si>
  <si>
    <t>R. RAUL PETRONILHO DE PADUA 187</t>
  </si>
  <si>
    <t>ZE LUIZ</t>
  </si>
  <si>
    <t>R. CLEZIO MIGUELETO, 525, AP101, BL B</t>
  </si>
  <si>
    <t xml:space="preserve">CESAR / LAVINE </t>
  </si>
  <si>
    <t>CRISTIANE / CESAR</t>
  </si>
  <si>
    <t>AL. JOSE OLIVEIRA GUIMARAES, 51, CASA 45</t>
  </si>
  <si>
    <t>FALE - ZE LUIZ</t>
  </si>
  <si>
    <t xml:space="preserve">JESSICA </t>
  </si>
  <si>
    <t xml:space="preserve">R. JADE, 45 </t>
  </si>
  <si>
    <t>JOSE AUGUSTO</t>
  </si>
  <si>
    <t>JOSE CARLOS</t>
  </si>
  <si>
    <t>ALAMEDA BENETIDO JOSE DE SOUZA, Nº 81</t>
  </si>
  <si>
    <t>MARCIA HELENA (CEMIL) /ROGERIO</t>
  </si>
  <si>
    <t>MARCIA ROGELIA</t>
  </si>
  <si>
    <t xml:space="preserve">MARIA JOSE  </t>
  </si>
  <si>
    <t>MARIANA / SERGIO BOEL</t>
  </si>
  <si>
    <t>R. CAETES, 580</t>
  </si>
  <si>
    <t>JD AMERICA</t>
  </si>
  <si>
    <t>SERGIO</t>
  </si>
  <si>
    <t>R. JOSE EURIPEDES DUARTE 547</t>
  </si>
  <si>
    <t>VALERIA BIASI</t>
  </si>
  <si>
    <t xml:space="preserve">VALERIA DE CARVALHO </t>
  </si>
  <si>
    <t xml:space="preserve">R. JOSE OLIVEIRA PINTO 34 </t>
  </si>
  <si>
    <t>NADIA CD</t>
  </si>
  <si>
    <t>NEIDE THD</t>
  </si>
  <si>
    <t>R. IBIA, 127</t>
  </si>
  <si>
    <t>ALAMEDA VILA RICA 520</t>
  </si>
  <si>
    <t>R. ZAMBIA, 54</t>
  </si>
  <si>
    <t>ANGELA</t>
  </si>
  <si>
    <t>BIANCA</t>
  </si>
  <si>
    <t>HAENDELL</t>
  </si>
  <si>
    <t xml:space="preserve">NOME </t>
  </si>
  <si>
    <t xml:space="preserve">TELEFONE </t>
  </si>
  <si>
    <t>DIONE</t>
  </si>
  <si>
    <t>SOLANGE CEMIL AC</t>
  </si>
  <si>
    <t>R. RONDONIA, 26</t>
  </si>
  <si>
    <t>R. CAIAPONIA, 54</t>
  </si>
  <si>
    <t>APELIDO/REFERêNCIA</t>
  </si>
  <si>
    <t>VENDEDOR PRINCIPAL</t>
  </si>
  <si>
    <t>AMERICO</t>
  </si>
  <si>
    <t>ANE CAROLINE</t>
  </si>
  <si>
    <t>R. DO BORRACHEIRO, 221</t>
  </si>
  <si>
    <t xml:space="preserve">MORADA DO SOL </t>
  </si>
  <si>
    <t>R. SIMAO PEDRO, 44</t>
  </si>
  <si>
    <t>GILIARD</t>
  </si>
  <si>
    <t>MAIRA</t>
  </si>
  <si>
    <t>MARCILENE FERREIRA</t>
  </si>
  <si>
    <t>MARIA HELENA</t>
  </si>
  <si>
    <t>MARLENE ABADIA</t>
  </si>
  <si>
    <t>OBERDAN</t>
  </si>
  <si>
    <t>R. PADRE PIO, 224</t>
  </si>
  <si>
    <t xml:space="preserve">SANDRA MARA </t>
  </si>
  <si>
    <t>R. MICHELE VIRNO, 4093</t>
  </si>
  <si>
    <t>VANDERLENE</t>
  </si>
  <si>
    <t>OBS/REF.</t>
  </si>
  <si>
    <t>ANA MARIA FERNANDES</t>
  </si>
  <si>
    <t>CASSILDA BORGES</t>
  </si>
  <si>
    <t>R. DOS GIRASSOIS, 50</t>
  </si>
  <si>
    <t>R. IRENE ROSA, 54 OU R. DO BORRACHEIRO, 221</t>
  </si>
  <si>
    <t>CASA DELE</t>
  </si>
  <si>
    <t>DANIELA MEDEIROS</t>
  </si>
  <si>
    <t>DENISE</t>
  </si>
  <si>
    <t>R. DOS PANDEIROS, 101</t>
  </si>
  <si>
    <t>R. FELICIANO DE MORAES, 139</t>
  </si>
  <si>
    <t>R. MARCELO BARBOSA, 178</t>
  </si>
  <si>
    <t>N.SRA GRAçAS</t>
  </si>
  <si>
    <t>NICARLOS</t>
  </si>
  <si>
    <t>RODRIGO PIRES</t>
  </si>
  <si>
    <t xml:space="preserve">VANESSA </t>
  </si>
  <si>
    <t>R. ALASKA, 277</t>
  </si>
  <si>
    <t>ALCANTARA</t>
  </si>
  <si>
    <t>R. ALFREDO TORMIN, 215, APTO 304</t>
  </si>
  <si>
    <t xml:space="preserve">R. JOANA COSTA FERREIRA, 73 </t>
  </si>
  <si>
    <t>CASA DA MAE DELE - ENTREGA ENTRE 11 E 12:30H</t>
  </si>
  <si>
    <t>DEJAMIR CRISTINA</t>
  </si>
  <si>
    <t>DIEGO COSTA</t>
  </si>
  <si>
    <t>R. ORESTES MENDES FERREIRA, 435</t>
  </si>
  <si>
    <t>APTO 2</t>
  </si>
  <si>
    <t>BATER NO PORTAO</t>
  </si>
  <si>
    <t>KARITHA</t>
  </si>
  <si>
    <t>LISIANE MONTEIRO</t>
  </si>
  <si>
    <t>MARCIA CRISTINA</t>
  </si>
  <si>
    <t xml:space="preserve"> R. VIRGILIO MELO FRANCO, 490 APTO 601</t>
  </si>
  <si>
    <t>R. JOANA COSTA FERREIRA, 253</t>
  </si>
  <si>
    <t>R. ANTONIO BENTO, 97</t>
  </si>
  <si>
    <t>R. RIO DE JANEIRO, 932 APTO 101</t>
  </si>
  <si>
    <t>R. SEBASTIAO RANGEL, 593</t>
  </si>
  <si>
    <t xml:space="preserve">LIGAR, NAO TEM CAMPAINHA </t>
  </si>
  <si>
    <t>TATIANA</t>
  </si>
  <si>
    <t>TENENTE NETO</t>
  </si>
  <si>
    <t>R: ALBERTO MARTINS RIBEIRO,232</t>
  </si>
  <si>
    <t>OUTRO CONTATO</t>
  </si>
  <si>
    <t>ADRIANA QUITES</t>
  </si>
  <si>
    <t>ANA CLAUDIA</t>
  </si>
  <si>
    <t>R. SANTOS DUMONT, 900 APTO TERREO</t>
  </si>
  <si>
    <t>R. VINICIUS DEGANE, 615</t>
  </si>
  <si>
    <t>R. EDMUNDO MUNIR ARANTES, 79</t>
  </si>
  <si>
    <t>RUA TUIUTI 279, TEL: 99954-1904/ 98852-9621</t>
  </si>
  <si>
    <t>RUA CAMPO RUPESTRE, 193</t>
  </si>
  <si>
    <t>DOUGLAS COSTA MOREIRA</t>
  </si>
  <si>
    <t>DRA LOURDES</t>
  </si>
  <si>
    <t>END: RUA VIRGILIO M. FRANCO, 340,  APTO 32</t>
  </si>
  <si>
    <t>R. SUECIA, 207</t>
  </si>
  <si>
    <t>EUDES HUMBERTO</t>
  </si>
  <si>
    <t xml:space="preserve">RUA DOM ALMIR MARQUES FERREIRA, 820 </t>
  </si>
  <si>
    <t>FABRICIO SIQUEIRA</t>
  </si>
  <si>
    <t>FERNANDA / SAULO</t>
  </si>
  <si>
    <t>R. TUNISIA, 114 CASA 1</t>
  </si>
  <si>
    <t>GUILHERMINA FONSECA</t>
  </si>
  <si>
    <t>R. FADUA BARCHA GUSTIN, 445 BL 01 APTO 302</t>
  </si>
  <si>
    <t>ISABEL CURSINO</t>
  </si>
  <si>
    <t>R.JUDITE MOREIRA, 280</t>
  </si>
  <si>
    <t>RUA FRANCISCO RODRIGUES SERRALHA, 350 CONDOMINIO UCHOA BLOCO 27 APTO 402</t>
  </si>
  <si>
    <t>CHACARAS TUBALINA</t>
  </si>
  <si>
    <t>JEFFERSON RODRIGUES DE ALMEIDA</t>
  </si>
  <si>
    <t>JULIGUEL MARANHO</t>
  </si>
  <si>
    <t>ALAMEDA PAUSO CESAR SANTANA , 885 -BLOCO 7 , APTO 406</t>
  </si>
  <si>
    <t>R. AGESILAU PASCHOAL GRECO, 318</t>
  </si>
  <si>
    <t>MARLENE AGUIAR</t>
  </si>
  <si>
    <t>MATHEUS/JULIO CESAR/RUDSON</t>
  </si>
  <si>
    <t>MAURICIA CARLA ARAUJO</t>
  </si>
  <si>
    <t>RUA JOSE PIRES DEFENSOR, 600, CASA 28</t>
  </si>
  <si>
    <t>MONICA QUITES</t>
  </si>
  <si>
    <t>R. MELO VIANA, 233 ESQ. R. EDUARDO MARQUêS</t>
  </si>
  <si>
    <t>R. LAURA GUERRA DE AQUINO, 146</t>
  </si>
  <si>
    <t>RUA JOSE MIGUEL SARAMAGO, 63, CASA 02</t>
  </si>
  <si>
    <t>PAULA SOUSA UFU</t>
  </si>
  <si>
    <t>RUA PROF. CIRO DE CASTRO ALMEIDA, 1576</t>
  </si>
  <si>
    <t xml:space="preserve">RODRIGO RODRIGUES </t>
  </si>
  <si>
    <t>RUA TUPACIGUARA 400 AP 701  - ENTREGA ATE 13H</t>
  </si>
  <si>
    <t>R. JOAO RODRIGUES CASTRO, 400</t>
  </si>
  <si>
    <t>R. JOSE ANDRAUS, 738</t>
  </si>
  <si>
    <t>SONIA MARIA NUNES</t>
  </si>
  <si>
    <t>R. DO FUNCIONARIO PúBLICO, 594</t>
  </si>
  <si>
    <t>YURI BRITO</t>
  </si>
  <si>
    <t>AV. PAULO GRACINDO, 1000 - COND. GAVEA PARADISO - ALAMEDA GAVIAO REAL, 90</t>
  </si>
  <si>
    <t>R. NOVA PONTE, 873</t>
  </si>
  <si>
    <t>CARLA - DIVINO PAO</t>
  </si>
  <si>
    <t>R. CORCOVADO, 174, APT 604</t>
  </si>
  <si>
    <t>R. ENGENHEIRO HELVIO FELICI, 250</t>
  </si>
  <si>
    <t>ALAMEDA JOSE DE OLIVEIRA GUIMARAES, 307 CASA 04 COND FELICIDADE</t>
  </si>
  <si>
    <t>AV. ARAGUARI, 255 APTO 101 BLOCO 3</t>
  </si>
  <si>
    <t>R. PROF EUNICE BRANDAO DE PAIVA, 139</t>
  </si>
  <si>
    <t>R. FRANCISCO VIEIRA DE PAIVA, 320</t>
  </si>
  <si>
    <t>EDIVALDO SANTOS</t>
  </si>
  <si>
    <t xml:space="preserve">R. JOAO ANGELO SCHIAVINATTO, 2220, APTO 302 </t>
  </si>
  <si>
    <t xml:space="preserve">R. PEDRO QUIRINO DA SILVA, 341 </t>
  </si>
  <si>
    <t>R. PEDRO QUIRINO SILVA, 341</t>
  </si>
  <si>
    <t>ALAMEDA DURVAL CARRIJO, 550</t>
  </si>
  <si>
    <t>GABRIEL ALVES</t>
  </si>
  <si>
    <t>R. ISMAEL GOMES DE OLIVEIRA, 72</t>
  </si>
  <si>
    <t>R. MONLEVADE, 852</t>
  </si>
  <si>
    <t>R. PATRULHEIRO OSMAR TAVARES, 1331 APTO 303 ANTIGA 21</t>
  </si>
  <si>
    <t>AV. CESARIO CROSARA, 3525</t>
  </si>
  <si>
    <t>AV. CLARA CAMARAO, 427</t>
  </si>
  <si>
    <t>AV. JOSE FONSECA E SILVA, 210</t>
  </si>
  <si>
    <t>R. JERONIMO REIS SILVA, 492</t>
  </si>
  <si>
    <t xml:space="preserve">RUA CIPRIANO DEL FAVERO 659 APTº 1200  </t>
  </si>
  <si>
    <t>SHEILA / HEMERSON BOAVENTURA</t>
  </si>
  <si>
    <t>R.CEL ANTONIO ALVES PEREIRA, 1874</t>
  </si>
  <si>
    <t xml:space="preserve">R. WATERLOO PEREIRA ALVES, 73 </t>
  </si>
  <si>
    <t>ALEXANDRA BONES</t>
  </si>
  <si>
    <t>PROXIMO AO PQ SABIA</t>
  </si>
  <si>
    <t>XANDE VAI LEVAR</t>
  </si>
  <si>
    <t>RUA CAXAMBU, 284 - AP 103</t>
  </si>
  <si>
    <t>R. DUQUE DE CAXIAS, 1390</t>
  </si>
  <si>
    <t xml:space="preserve"> (PROX. HABBIBS) (PROX. HABBIBS)</t>
  </si>
  <si>
    <t>*LIGAR ANTES* - QUASE ESQUINA EXTRA</t>
  </si>
  <si>
    <t>AV ALEXANDRE RIBEIRO GUIMARAES, 603</t>
  </si>
  <si>
    <t>ENTREGA LEVY</t>
  </si>
  <si>
    <t>RAYSSA</t>
  </si>
  <si>
    <t>ROSELY CROSARA</t>
  </si>
  <si>
    <t>STELLY STEFANI</t>
  </si>
  <si>
    <t xml:space="preserve">SUEMY </t>
  </si>
  <si>
    <t>FLEIZER</t>
  </si>
  <si>
    <t>AV. BELO HORIZONTE, 1786 - ESQUINA C/ R. LAMBARI</t>
  </si>
  <si>
    <t>JOVENAL SOUZA / ELZA</t>
  </si>
  <si>
    <t>R.JOSE RODRIGUES QUEIROZ, 57, APTO. 401</t>
  </si>
  <si>
    <t>MARIELA QUEIROZ</t>
  </si>
  <si>
    <t>R. HORACIO REZENDE, 241</t>
  </si>
  <si>
    <t>R. OROZIMBO JOSE FERREIRA</t>
  </si>
  <si>
    <t>RENATA HOTELZINHO</t>
  </si>
  <si>
    <t>R. OROZIMBO FRANCISCO FERNANDES, 155 - BLOCO 01 APTO 304</t>
  </si>
  <si>
    <t>TEREZINHA UFU</t>
  </si>
  <si>
    <t>9.9148-0722</t>
  </si>
  <si>
    <t>JD KARAIBA</t>
  </si>
  <si>
    <t>ROBSON (PRUDENTIAL)</t>
  </si>
  <si>
    <t>ENDEREÇO</t>
  </si>
  <si>
    <t>PÇA AMERICO FERREIRA DE ABREU, 23</t>
  </si>
  <si>
    <t>R. GRAÇA ARANHA, 480</t>
  </si>
  <si>
    <t>N.SRA GRAÇAS</t>
  </si>
  <si>
    <t>RUA JOSE LELIS FRANÇA, 1480 APTO 301</t>
  </si>
  <si>
    <t>AV. PRINCESSA ISABEL, Nº 505</t>
  </si>
  <si>
    <t>38400-192</t>
  </si>
  <si>
    <t>GEISIANE SIMÕES</t>
  </si>
  <si>
    <t>MARCELO</t>
  </si>
  <si>
    <t>JOSE CARLOS (LEANDRO)</t>
  </si>
  <si>
    <t>R. ATHOS PARANHOS VELOSO, 1046 (ESTÁ CORRETO)</t>
  </si>
  <si>
    <t>ALVARO</t>
  </si>
  <si>
    <t>9.9129-9265</t>
  </si>
  <si>
    <t>R. AGESILAU PASCHOAL GRECO, 256</t>
  </si>
  <si>
    <t>MARGARIDA</t>
  </si>
  <si>
    <t>9.9994-8453</t>
  </si>
  <si>
    <t>AV. CONCORDIA, 581</t>
  </si>
  <si>
    <t>VASCO</t>
  </si>
  <si>
    <t>GUSTAVO GUIMARAES</t>
  </si>
  <si>
    <t>ALBA REGINA REIS</t>
  </si>
  <si>
    <t>ADRIANA RODRIGUES</t>
  </si>
  <si>
    <t>ADRIANA LUZIA ROSA PEREIRA</t>
  </si>
  <si>
    <t>9.9811-0013</t>
  </si>
  <si>
    <t>9.9971-2121</t>
  </si>
  <si>
    <t>9.9652-9940</t>
  </si>
  <si>
    <t>9.9108-2161</t>
  </si>
  <si>
    <t>9.9137-4072</t>
  </si>
  <si>
    <t>R. AGESILAU PASCHOAL GRECO, 200</t>
  </si>
  <si>
    <t>AV. CONCORDIA, 365</t>
  </si>
  <si>
    <t>R. BERNARDO CUPERTINO, 965 APTO 304 PODE DEIXAR PORTARIA</t>
  </si>
  <si>
    <t>R. ANTONIO CARRIJO, 114</t>
  </si>
  <si>
    <t>38408-158</t>
  </si>
  <si>
    <t>AV. MARCOS BORGES DE MIRANDA, 168 (ANT F, ENTRE 37/38)</t>
  </si>
  <si>
    <t>38401-120</t>
  </si>
  <si>
    <t>38400-323</t>
  </si>
  <si>
    <t>38411-122</t>
  </si>
  <si>
    <t>Av. Paes Leme, 676</t>
  </si>
  <si>
    <t>ROGERIO ARAUJO</t>
  </si>
  <si>
    <t>Cod</t>
  </si>
  <si>
    <t>9.9135-7263</t>
  </si>
  <si>
    <t>Rua Pica Paus 1750, condomínio Jardins Roma, Rua Copaibeiras 95</t>
  </si>
  <si>
    <t>38412-641</t>
  </si>
  <si>
    <t>ZÉ/RODRIGO</t>
  </si>
  <si>
    <t>SAMANTA</t>
  </si>
  <si>
    <t>JULIS/FRANYA</t>
  </si>
  <si>
    <t>9.9971-2853/ 9.9997-2853</t>
  </si>
  <si>
    <t>MARCOS/NAGILA</t>
  </si>
  <si>
    <t>9.9695-0909</t>
  </si>
  <si>
    <t>R.MICHELE VIRNO, 3.777 (SOGRA SONIA 9.9168-7384)</t>
  </si>
  <si>
    <t>CESTA</t>
  </si>
  <si>
    <t>RECEBER 160</t>
  </si>
  <si>
    <t>RECEBER 50</t>
  </si>
  <si>
    <t>38411-200</t>
  </si>
  <si>
    <t>ALAMEDA ALFREDO PETRI, 161</t>
  </si>
  <si>
    <t>JUNTO COM BIA</t>
  </si>
  <si>
    <t>MARIA JOSE 2</t>
  </si>
  <si>
    <t>9.9817-1174</t>
  </si>
  <si>
    <t>RUA BENJAMIM CONSTANT, 296</t>
  </si>
  <si>
    <t>ENTREGAR DE MANHÃ</t>
  </si>
  <si>
    <t>AV. CONSTELAÇAO, 234</t>
  </si>
  <si>
    <t>38401-127</t>
  </si>
  <si>
    <t>9.9895-9932</t>
  </si>
  <si>
    <t>MARIA HELENA 2</t>
  </si>
  <si>
    <t>MARIA HELENA (ZÉ LUIZ)</t>
  </si>
  <si>
    <t>SEM ORÉGANO</t>
  </si>
  <si>
    <t>LUIZA</t>
  </si>
  <si>
    <t>CASA DE ACOLHIMENTO FRATERNO SANTA CECÍLIA</t>
  </si>
  <si>
    <t>9.9140-5267</t>
  </si>
  <si>
    <t>AV. VIRGILIO CARRIJO, 290</t>
  </si>
  <si>
    <t>38402-248</t>
  </si>
  <si>
    <t>RECEBER 80</t>
  </si>
  <si>
    <t>COBRAR 3 - FALE</t>
  </si>
  <si>
    <t>ROBERTO (2)</t>
  </si>
  <si>
    <t>Rua EmIlia Fernandes de Brito, 113</t>
  </si>
  <si>
    <t>38401-768</t>
  </si>
  <si>
    <t>QUEBRAR LINHA</t>
  </si>
  <si>
    <t>Quantidade</t>
  </si>
  <si>
    <t>quebrar linha</t>
  </si>
  <si>
    <t>1/2muss/ 1/2calab</t>
  </si>
  <si>
    <t>SÓ A CESTA</t>
  </si>
  <si>
    <t>1/2calab/ 1/2muss</t>
  </si>
  <si>
    <t>ARTUR / RAQUEL</t>
  </si>
  <si>
    <t>9.8806-1008</t>
  </si>
  <si>
    <t>Av Joao XXIII, 686, apto 602</t>
  </si>
  <si>
    <t>SANTA MARIA</t>
  </si>
  <si>
    <t>38408-056</t>
  </si>
  <si>
    <t xml:space="preserve">NEUSA GUEDES/RAFAEL GUERREIRO 2 </t>
  </si>
  <si>
    <t xml:space="preserve"> Av. Getúlio Vargas, 1105</t>
  </si>
  <si>
    <t>38413-023</t>
  </si>
  <si>
    <t>Zé/Rodrigo</t>
  </si>
  <si>
    <t>Total Geral</t>
  </si>
  <si>
    <t>BIBIANE</t>
  </si>
  <si>
    <t xml:space="preserve">9.9210-8870 </t>
  </si>
  <si>
    <t>Av Adelia Miguel Abraao, 96</t>
  </si>
  <si>
    <t>38405-381</t>
  </si>
  <si>
    <t>RUDIMAR / ALLYNNY</t>
  </si>
  <si>
    <t>9.8848-0037</t>
  </si>
  <si>
    <t xml:space="preserve"> Rua Marinho Lozzi, 165</t>
  </si>
  <si>
    <t>38414-106</t>
  </si>
  <si>
    <t>MARIA LUIZA BORGES</t>
  </si>
  <si>
    <t>CECILIA</t>
  </si>
  <si>
    <t>+cesta</t>
  </si>
  <si>
    <t>cedel</t>
  </si>
  <si>
    <t>VICTOR</t>
  </si>
  <si>
    <t>9.8408-2408</t>
  </si>
  <si>
    <t>R. IGUAÇU, 729</t>
  </si>
  <si>
    <t>38405-328</t>
  </si>
  <si>
    <t xml:space="preserve">ANDREA </t>
  </si>
  <si>
    <t>R. Ten. Rafael de Freitas, 513</t>
  </si>
  <si>
    <t>38411-066</t>
  </si>
  <si>
    <t>Rua João Rodrigues piedade, 35</t>
  </si>
  <si>
    <t>38413-375</t>
  </si>
  <si>
    <t>9.9189-7206</t>
  </si>
  <si>
    <t>9.9229-3432</t>
  </si>
  <si>
    <t>MARINA</t>
  </si>
  <si>
    <t xml:space="preserve">Rua 14 de julho 844 </t>
  </si>
  <si>
    <t>38401-515</t>
  </si>
  <si>
    <t>AV. DOS JARDINS, 250 - ALAMEDA DAS FENIX, 350 - COND JD BARCELONA</t>
  </si>
  <si>
    <t>POLLYANA VALERIA</t>
  </si>
  <si>
    <t>9.9683-2245</t>
  </si>
  <si>
    <t>R. do Paiol, 1603</t>
  </si>
  <si>
    <t>38402-194</t>
  </si>
  <si>
    <t>RONALDO</t>
  </si>
  <si>
    <t>9.9121-6880</t>
  </si>
  <si>
    <t>R. Maria das Dores Dias, 472, apto 202</t>
  </si>
  <si>
    <t>38408-206</t>
  </si>
  <si>
    <t>FALE JÁ SETORIZADA</t>
  </si>
  <si>
    <t>CIDA / JOAO ALBERTO</t>
  </si>
  <si>
    <t>9.9173-6382 / 3213-2148</t>
  </si>
  <si>
    <t>R. Dolores Duran, 86</t>
  </si>
  <si>
    <t>38401-288</t>
  </si>
  <si>
    <t>SIMAO</t>
  </si>
  <si>
    <t>SANDOVAL</t>
  </si>
  <si>
    <t>9.8409-2820</t>
  </si>
  <si>
    <t>Av. Fernando Vilela, 1207</t>
  </si>
  <si>
    <t>38400-456</t>
  </si>
  <si>
    <t>FERNANDO / KELY</t>
  </si>
  <si>
    <t>9.8400-6957</t>
  </si>
  <si>
    <t xml:space="preserve">R. MELO VIANA, 514  apto 702 -PEDIDO MANUEL </t>
  </si>
  <si>
    <t>RODRIGO/VALERIA</t>
  </si>
  <si>
    <t>MARIA CARDOSO</t>
  </si>
  <si>
    <t>9.9971-3460</t>
  </si>
  <si>
    <t>R. ANTONIO CRESCENCIO, 839 APTO 201</t>
  </si>
  <si>
    <t>38400-707</t>
  </si>
  <si>
    <t>CLAUDIA</t>
  </si>
  <si>
    <t>9.8438-2158</t>
  </si>
  <si>
    <t>R. MARIA CRISTINA RODRIGUES, 431</t>
  </si>
  <si>
    <t>38405-379</t>
  </si>
  <si>
    <t>UENDER</t>
  </si>
  <si>
    <t>COBRAR 2 - 1 FALE</t>
  </si>
  <si>
    <t>LIGAR PARA ELA - OBRAS</t>
  </si>
  <si>
    <t>RAFAEL IGNACIO</t>
  </si>
  <si>
    <t>ENTREGA MARCIA</t>
  </si>
  <si>
    <t>DATA CADASTRO</t>
  </si>
  <si>
    <t>ARIANE</t>
  </si>
  <si>
    <t>ANGELICA QUITES</t>
  </si>
  <si>
    <t>TRABALHARÁ</t>
  </si>
  <si>
    <t>TIA LUCIA</t>
  </si>
  <si>
    <t>TINA / HELIO</t>
  </si>
  <si>
    <t>CESAR</t>
  </si>
  <si>
    <t>ALEXANDRE / MIRIAM</t>
  </si>
  <si>
    <t>9.8403-3071</t>
  </si>
  <si>
    <t>9.9977-5668</t>
  </si>
  <si>
    <t>9.9121-7971</t>
  </si>
  <si>
    <t>9.9888-6094</t>
  </si>
  <si>
    <t>9.9977-8897</t>
  </si>
  <si>
    <t>ALZIRA ELCIO</t>
  </si>
  <si>
    <t>DENISE (JOSE LUIZ)</t>
  </si>
  <si>
    <t>JOAO HENRIQUE</t>
  </si>
  <si>
    <t>ROSA (JOSE LUIZ)</t>
  </si>
  <si>
    <t>LUCIVONE</t>
  </si>
  <si>
    <t>CLAUDIA (JOSE LUIZ)</t>
  </si>
  <si>
    <t>Av. Princesa Isabel, 505</t>
  </si>
  <si>
    <t>38411-102</t>
  </si>
  <si>
    <t>AV. Oscarina Cunha Chaves, 510 Apto 1005 bl 4</t>
  </si>
  <si>
    <t>38413-291</t>
  </si>
  <si>
    <t xml:space="preserve">Av.Dimas Machado, 642 -J &amp; M Centro Automotivo </t>
  </si>
  <si>
    <t>38411-552</t>
  </si>
  <si>
    <t>Rua Ana Valentina Nogueira, 820</t>
  </si>
  <si>
    <t xml:space="preserve">Rua Maria Cristina Rodrigues, 431 Obs. ligar antes. </t>
  </si>
  <si>
    <t>Rua Rio de Janeiro, 903 Obs: sem queijo 
Entre Av.Mato Grosso e  Prof. José Ignácio.</t>
  </si>
  <si>
    <t>SEM QUEIJO</t>
  </si>
  <si>
    <t>+FRALDA</t>
  </si>
  <si>
    <t>MªLOURDES</t>
  </si>
  <si>
    <t>3238-0561 / 9.9179-1612</t>
  </si>
  <si>
    <t>1/2CAL 1/2 MUSS</t>
  </si>
  <si>
    <t>9.8873-8732 / 9.9136-4226</t>
  </si>
  <si>
    <t>R. OROZIMBO FRANCISCO FERNANDES, 115 - BLOCO A APTO 304</t>
  </si>
  <si>
    <t>R. ERNESTO VICENTINI, 430 FUNDOS</t>
  </si>
  <si>
    <t>38401-062</t>
  </si>
  <si>
    <t>ADRIANA FISIOTERAPEUTA</t>
  </si>
  <si>
    <t>R. IPANEMA, 410</t>
  </si>
  <si>
    <t>MARTA VIZINHA</t>
  </si>
  <si>
    <t>9.9979-1316</t>
  </si>
  <si>
    <t>FLORENCE</t>
  </si>
  <si>
    <t>9.9997-1216</t>
  </si>
  <si>
    <t>VIRGINIA (GIL)</t>
  </si>
  <si>
    <t>9.9817-7487</t>
  </si>
  <si>
    <t>R. LOURDES DE CARVALHO, 1364</t>
  </si>
  <si>
    <t>38411-038</t>
  </si>
  <si>
    <t>38408-268</t>
  </si>
  <si>
    <t>NALDENIO (ENGENHEIRO)</t>
  </si>
  <si>
    <t>9.9799-9784</t>
  </si>
  <si>
    <t>R. BELARMINO COTA PACHECO, 1461 APTO 101</t>
  </si>
  <si>
    <t>38408-168</t>
  </si>
  <si>
    <t>CRISTIANE MELO CARAN</t>
  </si>
  <si>
    <t>9.9925-0260</t>
  </si>
  <si>
    <t>R. AGESILAU PASCHOAL GRECO, 136</t>
  </si>
  <si>
    <t>GLAUCIA GOMIDE</t>
  </si>
  <si>
    <t>9.9634-9292</t>
  </si>
  <si>
    <t>KENEDY</t>
  </si>
  <si>
    <t>9.9667-9998</t>
  </si>
  <si>
    <t>R. JOSÉ HUMBERTO ALCANTARA, 670</t>
  </si>
  <si>
    <t>38405-368</t>
  </si>
  <si>
    <t>EDITE (D.MARIA)</t>
  </si>
  <si>
    <t>9.9132-8720</t>
  </si>
  <si>
    <t>AV. FLORIANO PEIXOTO, 2093 APTO 01</t>
  </si>
  <si>
    <t>38405-184</t>
  </si>
  <si>
    <t>ALEXANDRE VIEIRA (PAI HELIO)</t>
  </si>
  <si>
    <t>9.9971-4647</t>
  </si>
  <si>
    <t>AV. PAES LEME, 145 APTO 602</t>
  </si>
  <si>
    <t>38400-392</t>
  </si>
  <si>
    <t>SHIRLEY (100% BONITIN)</t>
  </si>
  <si>
    <t>9.9879-2212</t>
  </si>
  <si>
    <t>R. PROMISSÃO, 85 BLOCO 10 APTO 203</t>
  </si>
  <si>
    <t>38410-543</t>
  </si>
  <si>
    <t>Contagem</t>
  </si>
  <si>
    <t/>
  </si>
  <si>
    <t>RAFAEL/FRANCISCA</t>
  </si>
  <si>
    <t>38414-419</t>
  </si>
  <si>
    <t>R. JAMILE CALIL ATIE, 451</t>
  </si>
  <si>
    <t>KATYA CANUTO</t>
  </si>
  <si>
    <t>AV. CESARIO ALVIM, 1.428</t>
  </si>
  <si>
    <t>38400-694</t>
  </si>
  <si>
    <t>GABRIEL ENTREGA ATE 11:30</t>
  </si>
  <si>
    <t>9.9119-5618</t>
  </si>
  <si>
    <t>YANNA RIBEIRO</t>
  </si>
  <si>
    <t>9.9219-9467</t>
  </si>
  <si>
    <t>LIGAR - INTERFONE Ñ FUNCIONA</t>
  </si>
  <si>
    <t>9.9860-0086</t>
  </si>
  <si>
    <t>MARCELO AUGUSTO</t>
  </si>
  <si>
    <t>9.9678-7649</t>
  </si>
  <si>
    <t>KELYN</t>
  </si>
  <si>
    <t>AVISAR QUANDO ESTIVER PRONTO</t>
  </si>
  <si>
    <t>9.9656-9977</t>
  </si>
  <si>
    <t>R. CARVALHO DE MENDONÇA, 361</t>
  </si>
  <si>
    <t>9.8845-9422</t>
  </si>
  <si>
    <t>DEUSMAR CAETANO</t>
  </si>
  <si>
    <t>9.8854-1569</t>
  </si>
  <si>
    <t>R. FRANCISCO CANDIDO XAVIER, 1.071</t>
  </si>
  <si>
    <t>38405-352</t>
  </si>
  <si>
    <t>ANDREA GOMES</t>
  </si>
  <si>
    <t>ADRIENE</t>
  </si>
  <si>
    <t>VALESKA E FLAVIO</t>
  </si>
  <si>
    <t>LEONARDO LACERDA</t>
  </si>
  <si>
    <t>ALICE / MARILDA</t>
  </si>
  <si>
    <t>9.9644-7144/9.9999-2219</t>
  </si>
  <si>
    <t>R. SÃO JUDAS TADEU, 193</t>
  </si>
  <si>
    <t>38408-562</t>
  </si>
  <si>
    <t>COBRAR SÓ 30,00</t>
  </si>
  <si>
    <t>DALMA</t>
  </si>
  <si>
    <t>9.8843-2819</t>
  </si>
  <si>
    <t>R. LUPICINIO RODRIGUES, 399</t>
  </si>
  <si>
    <t>38401-282</t>
  </si>
  <si>
    <t>DEPOIS DAS 14H</t>
  </si>
  <si>
    <t>WALDENIO (ENGENHEIRO)</t>
  </si>
  <si>
    <t>KARLA CARITAS</t>
  </si>
  <si>
    <t>VIVIANE (MARCIA)</t>
  </si>
  <si>
    <t>AV DOS VINHEDOS, 900 ALAMEDA BELA EMILIA, 185 CONDOM. GAVEA 2</t>
  </si>
  <si>
    <t>38411-159</t>
  </si>
  <si>
    <t>QUEBRAR LINHA PEGAR TELEFONE</t>
  </si>
  <si>
    <t>R. SALVADOR, 1029</t>
  </si>
  <si>
    <t>38400-757</t>
  </si>
  <si>
    <t>GIOVANA</t>
  </si>
  <si>
    <t>9.9927-6276</t>
  </si>
  <si>
    <t>R. ODORICO ANTONIO LIMA, 59</t>
  </si>
  <si>
    <t>38401-204</t>
  </si>
  <si>
    <t>9.9976-2093</t>
  </si>
  <si>
    <t>KARLA CARITAS FERNANDES</t>
  </si>
  <si>
    <t>LIGIA</t>
  </si>
  <si>
    <t>9.9678-5568</t>
  </si>
  <si>
    <t>R. BENJAMIN CONSTANT, 270, APTO 104</t>
  </si>
  <si>
    <t>+2FALE</t>
  </si>
  <si>
    <t>AGOSTINHO</t>
  </si>
  <si>
    <t>9.9277-2761</t>
  </si>
  <si>
    <t>R. ODORICO ANTONIO LIMA, 59 OU 39 (CASA BARBARA)</t>
  </si>
  <si>
    <t>PAULA</t>
  </si>
  <si>
    <t>DANI</t>
  </si>
  <si>
    <t>CAMILA</t>
  </si>
  <si>
    <t>UENDER/VANIA</t>
  </si>
  <si>
    <t>9.8848-0036</t>
  </si>
  <si>
    <t>R.DO POETA, 931</t>
  </si>
  <si>
    <t>38412-276</t>
  </si>
  <si>
    <t>R.NORDAU GONÇALVES DE MELO, 1232</t>
  </si>
  <si>
    <t>38408-218</t>
  </si>
  <si>
    <t>LAZARA (MAE ROBERTO)</t>
  </si>
  <si>
    <t>9.3255-6765</t>
  </si>
  <si>
    <t>R.PAULO MAIA, 146</t>
  </si>
  <si>
    <t>SAO JORGE</t>
  </si>
  <si>
    <t>38410-046</t>
  </si>
  <si>
    <t>JOAO CARDOSO/LURDES</t>
  </si>
  <si>
    <t>9.8414-0925</t>
  </si>
  <si>
    <t>AV.CESARIO CROSARA, 4400</t>
  </si>
  <si>
    <t>38401-188</t>
  </si>
  <si>
    <t>ROSELY</t>
  </si>
  <si>
    <t>9.9182-8324</t>
  </si>
  <si>
    <t>R.BERENICE REZENDE DINIZ,15</t>
  </si>
  <si>
    <t>38411-162</t>
  </si>
  <si>
    <t>BRUNA CASTANHEIRA</t>
  </si>
  <si>
    <t>9.8224-7769</t>
  </si>
  <si>
    <t>R.CEL ANTONIO ALVES PEREIRA, 1590 APTO 13</t>
  </si>
  <si>
    <t>HELIO - 2 CALABRESAS</t>
  </si>
  <si>
    <t>R.ALBERTO GOMES, 213</t>
  </si>
  <si>
    <t>38405-360</t>
  </si>
  <si>
    <t>AV.MISAEL RODRIGUES DE CASTRO, 1177 APTO 101</t>
  </si>
  <si>
    <t>38408-184</t>
  </si>
  <si>
    <t>CAROL/MAURO JR</t>
  </si>
  <si>
    <t>R. OROZIMBO JOSE FERREIRA,25</t>
  </si>
  <si>
    <t>R. DA TERNURA, 281</t>
  </si>
  <si>
    <t>INTEGRAÇÃO</t>
  </si>
  <si>
    <t>38407-503</t>
  </si>
  <si>
    <t>DENISE / MANUEL</t>
  </si>
  <si>
    <t>9.9800-1285</t>
  </si>
  <si>
    <t>DENISE (Mª LUCIA)</t>
  </si>
  <si>
    <t>SÁB ATÉ 10H OU DOMINGO APÓS 19H</t>
  </si>
  <si>
    <t>Rodrigo/Valéria</t>
  </si>
  <si>
    <t>MICHELE HONORATO</t>
  </si>
  <si>
    <t>SIRLEIDES</t>
  </si>
  <si>
    <t>LUCIMEIRE</t>
  </si>
  <si>
    <t>9.9212-9093</t>
  </si>
  <si>
    <t>9.9673-6262</t>
  </si>
  <si>
    <t xml:space="preserve">R. IRAEL PINHEIRO, 156 </t>
  </si>
  <si>
    <t>38411-144</t>
  </si>
  <si>
    <t>ANDRE MAURICIO</t>
  </si>
  <si>
    <t>9.9990-5569</t>
  </si>
  <si>
    <t>AV. AMAZONAS, 236</t>
  </si>
  <si>
    <t>38400-734</t>
  </si>
  <si>
    <t>EVERTON FERNANDES</t>
  </si>
  <si>
    <t>9.9971-2858</t>
  </si>
  <si>
    <t>Av. dos Vinhedos, 100 / R. FLOR DO EGITO, 160 COND GAVEA HILL 1</t>
  </si>
  <si>
    <t>PAULO ALMEIDA</t>
  </si>
  <si>
    <t>9.9966-4650</t>
  </si>
  <si>
    <t>R. PAINEIRA, 296</t>
  </si>
  <si>
    <t>38415-168</t>
  </si>
  <si>
    <t>VANIA</t>
  </si>
  <si>
    <t>9.9192-9792</t>
  </si>
  <si>
    <t>R. MARCOLINO RIBEIRO, 495</t>
  </si>
  <si>
    <t>KARAIBA</t>
  </si>
  <si>
    <t>38411-382</t>
  </si>
  <si>
    <t>ERIC PALESTRANTE</t>
  </si>
  <si>
    <t>9.9966-0044</t>
  </si>
  <si>
    <t>R. IPANEMA, 1033</t>
  </si>
  <si>
    <t>GRAÇA</t>
  </si>
  <si>
    <t>9.9806-2250</t>
  </si>
  <si>
    <t>AL. SOSTHENES GUIMARAES, 129</t>
  </si>
  <si>
    <t>38411-160</t>
  </si>
  <si>
    <t>TANIA MARA</t>
  </si>
  <si>
    <t>99143-7767</t>
  </si>
  <si>
    <t>38400-679</t>
  </si>
  <si>
    <t>R. JATAI, 730 - ENTRE AV JOAO  PINHEIRO E BRASIL</t>
  </si>
  <si>
    <t>TOTAL 5  - 2 FALE</t>
  </si>
  <si>
    <t>CASA</t>
  </si>
  <si>
    <t>R. Maria das Dores Dias, 472, apto 202 (ANT 5)</t>
  </si>
  <si>
    <t>AV. SACRAMENTO, 2047</t>
  </si>
  <si>
    <t>38400-466</t>
  </si>
  <si>
    <t>RECEBER 70,00</t>
  </si>
  <si>
    <t>R. PROF JOAO BASILIO, 41</t>
  </si>
  <si>
    <t>38400-460</t>
  </si>
  <si>
    <t>WALDENIO (ENGENHEIRO) 2</t>
  </si>
  <si>
    <t>AL. JOSE OLIVEIRA GUIMARAES, 371, CASA 29</t>
  </si>
  <si>
    <t>JD HOLANDA</t>
  </si>
  <si>
    <t>VITORIA</t>
  </si>
  <si>
    <t>TONI/LOURDES</t>
  </si>
  <si>
    <t>9.9654-5772</t>
  </si>
  <si>
    <t>9.9775-4246</t>
  </si>
  <si>
    <t>AV. CHAD FAD, 05</t>
  </si>
  <si>
    <t>CANAA</t>
  </si>
  <si>
    <t>38412-474</t>
  </si>
  <si>
    <t>R. PETROPOLIS, 406 FRENTE</t>
  </si>
  <si>
    <t>38405-218</t>
  </si>
  <si>
    <t>DOAÇÃO MªLUCIA</t>
  </si>
  <si>
    <t>RONALDO / LIGIA</t>
  </si>
  <si>
    <t>9.8884-2276</t>
  </si>
  <si>
    <t>R. NITEROI, 1366</t>
  </si>
  <si>
    <t>38400-769</t>
  </si>
  <si>
    <t>9.9680-4728</t>
  </si>
  <si>
    <t>38415-108</t>
  </si>
  <si>
    <t>R. DOS TROMPETES, 51</t>
  </si>
  <si>
    <t>ANA PAULA</t>
  </si>
  <si>
    <t>R. MARIA CONCEIÇAO DE ANDRADE, 10, APTO 01</t>
  </si>
  <si>
    <t>38411-336</t>
  </si>
  <si>
    <t>9.9961-5416</t>
  </si>
  <si>
    <t>RODRIGO/VALÉRIA</t>
  </si>
  <si>
    <t>ANA BEATRIZ</t>
  </si>
  <si>
    <t>9.9781-0678</t>
  </si>
  <si>
    <t>Av dos Jardins,1500 // Condomínio Jardins Gênova // Alameda das Carolinas, 210</t>
  </si>
  <si>
    <t>VANILZE PIMENTA</t>
  </si>
  <si>
    <t>9.9979 1518</t>
  </si>
  <si>
    <t>38408-391</t>
  </si>
  <si>
    <t>R. TABAJARAS, 200 esq. R. URUCANIA</t>
  </si>
  <si>
    <t>casa</t>
  </si>
  <si>
    <t>RUDIMAR</t>
  </si>
  <si>
    <t>MISTA-LILIAN</t>
  </si>
  <si>
    <t>JOYCE RABIB</t>
  </si>
  <si>
    <t>9.9233-2040</t>
  </si>
  <si>
    <t>RUA JUVENAL TERTULIANO SILVA, 62</t>
  </si>
  <si>
    <t>38401-838</t>
  </si>
  <si>
    <t>NADIA/RENATO</t>
  </si>
  <si>
    <t>Seus pedidos. Por favor conferir.</t>
  </si>
  <si>
    <t>ACERTARÁ COM LEANDRO</t>
  </si>
  <si>
    <t>RECEBER 30,00 / LEVAR TROCO</t>
  </si>
  <si>
    <t>9.9115-9445</t>
  </si>
  <si>
    <t>AV LAZARA ALVES FERREIRA, 80, APTO 1202 BLOCO C - COND.IMPERIAL RESIDENCE</t>
  </si>
  <si>
    <t>38408-092</t>
  </si>
  <si>
    <t>R. JOSE ELIAS, 50, TORRE B , APTO 202</t>
  </si>
  <si>
    <t>38411-201</t>
  </si>
  <si>
    <t>LILIAN FERNANDES</t>
  </si>
  <si>
    <t>[12:39, 02/09/2020] Michelle Borges: Mussarela: 11</t>
  </si>
  <si>
    <t>[12:39, 02/09/2020] Michelle Borges: Lombinho: 08</t>
  </si>
  <si>
    <t>[12:39, 02/09/2020] Michelle Borges: Mista: 40</t>
  </si>
  <si>
    <t>[12:39, 02/09/2020] Michelle Borges: Calabresa: 38</t>
  </si>
  <si>
    <t>[12:39, 02/09/2020] Michelle Borges: Total final: 97</t>
  </si>
  <si>
    <t>JOSE EDUARDO DA SILVA</t>
  </si>
  <si>
    <t>9.9992-1956</t>
  </si>
  <si>
    <t>AV.ESTRELA DO SUL, 1419</t>
  </si>
  <si>
    <t>38400-389</t>
  </si>
  <si>
    <t>SONIA MILAZZO</t>
  </si>
  <si>
    <t>9.9996-5006</t>
  </si>
  <si>
    <t>inserir bloco e apto</t>
  </si>
  <si>
    <t>cobrar 5 - 2 FALE</t>
  </si>
  <si>
    <t>R. CAULE, 980</t>
  </si>
  <si>
    <t>38410-653</t>
  </si>
  <si>
    <t>JD BOTANICO</t>
  </si>
  <si>
    <t>JESSICA (2)</t>
  </si>
  <si>
    <t>ZILDA (MAIZA)</t>
  </si>
  <si>
    <t>MARCIA PRATA</t>
  </si>
  <si>
    <t>9.9148-4283</t>
  </si>
  <si>
    <t>9.9648-8576</t>
  </si>
  <si>
    <t>9.9123-8415</t>
  </si>
  <si>
    <t>R. ILMA MARIA DE JESUS, 32</t>
  </si>
  <si>
    <t>38402-678</t>
  </si>
  <si>
    <t>R.CLAUDEMIRO JOSE DE SOUZA, 605 APTO 102C</t>
  </si>
  <si>
    <t>38400-664</t>
  </si>
  <si>
    <t>JOSE CARLOS/NILLYANE</t>
  </si>
  <si>
    <t>RUA QUINTINO BOCAIUVA, 994</t>
  </si>
  <si>
    <t>99154-7699</t>
  </si>
  <si>
    <t>R. ENGENHEIRO HELVIO FELICI, 360</t>
  </si>
  <si>
    <t>9.9137-0301</t>
  </si>
  <si>
    <t>VANIA (XANDE)</t>
  </si>
  <si>
    <t>99922-1882</t>
  </si>
  <si>
    <t>38411-229</t>
  </si>
  <si>
    <t>JD INCONFIDENCIA</t>
  </si>
  <si>
    <t>AV.GERALDO ABRAO, 611 COND.ROYAL PARK - DENTRO: ALAMEDA OCEANO ATLANTICO, 295</t>
  </si>
  <si>
    <t>9.9251-0220</t>
  </si>
  <si>
    <t>ALAMEDA DOS PIRINEUS, 270</t>
  </si>
  <si>
    <t>38406-419</t>
  </si>
  <si>
    <t>JOSIANE</t>
  </si>
  <si>
    <t>9.9162-2002</t>
  </si>
  <si>
    <t>9.9922-1882</t>
  </si>
  <si>
    <t>AV. DIMAS MACHADO, 1055 APTO 403 BL03</t>
  </si>
  <si>
    <t>LEVAR TROCO</t>
  </si>
  <si>
    <t>2  - FALE</t>
  </si>
  <si>
    <t>R. JAMILE CALIL ATIE, 451 BLOCO 3 APTO 05</t>
  </si>
  <si>
    <t>2 GABRIEL MÊS ANTERIOR(BIA)</t>
  </si>
  <si>
    <t>MARIANNE BIASI</t>
  </si>
  <si>
    <t>9.9667-9300</t>
  </si>
  <si>
    <t>AV. RODRIGO PEREIRA JR, 205 APTO 504 TORRE 3</t>
  </si>
  <si>
    <t>38401-018</t>
  </si>
  <si>
    <t>IGOR</t>
  </si>
  <si>
    <t>RUA JOAO BORGES, 437 CASA 01</t>
  </si>
  <si>
    <t>38401-056</t>
  </si>
  <si>
    <t>JEANDERSON</t>
  </si>
  <si>
    <t>ATINA</t>
  </si>
  <si>
    <t>FERNANDA/MARCOS</t>
  </si>
  <si>
    <t>9.9262-2729</t>
  </si>
  <si>
    <t>R. LUZIA NEVES FLECK, 150 - BK 14 APTO 202</t>
  </si>
  <si>
    <t>38425-376</t>
  </si>
  <si>
    <t>GAVEA SUL</t>
  </si>
  <si>
    <t xml:space="preserve">LETICIA </t>
  </si>
  <si>
    <t>9.9677-6107</t>
  </si>
  <si>
    <t>R. ADALBERTO ALBUQUERQUE PAJUABA, 225</t>
  </si>
  <si>
    <t>38413-270</t>
  </si>
  <si>
    <t>EXCEDENTES</t>
  </si>
  <si>
    <t>receber 70,00</t>
  </si>
  <si>
    <t>MªLUCIA</t>
  </si>
  <si>
    <t>RECEBER 105,00</t>
  </si>
  <si>
    <t>NÁDIA</t>
  </si>
  <si>
    <t>FRANCIELE DENTISTA</t>
  </si>
  <si>
    <t>9.8409-2161</t>
  </si>
  <si>
    <t>R. JOÃO PEREIRA DA SILVA, 395</t>
  </si>
  <si>
    <t>38408-198</t>
  </si>
  <si>
    <t>NEIDE FLORIANO</t>
  </si>
  <si>
    <t>9.9123-2003</t>
  </si>
  <si>
    <t>CAZECA</t>
  </si>
  <si>
    <t>38400-044 </t>
  </si>
  <si>
    <t>R. PEDRO CROSARA CHERULLI, 41</t>
  </si>
  <si>
    <t>FERNANDA VITOR</t>
  </si>
  <si>
    <t>RUA DAS PRIMAVERAS, 655</t>
  </si>
  <si>
    <t>38412-146</t>
  </si>
  <si>
    <t>SIMONE</t>
  </si>
  <si>
    <t>SILVIA</t>
  </si>
  <si>
    <t>MASSA EXTRA</t>
  </si>
  <si>
    <t>R. VIRGILIO MELO FRANCO, 340,  APTO 32</t>
  </si>
  <si>
    <t>R. PROF. CIRO DE CASTRO ALMEIDA, 1576</t>
  </si>
  <si>
    <t>R. BERNARDO CUPERTINO, 349 APTO 401</t>
  </si>
  <si>
    <t>R. GUERRA JUNQUEIRA, 430, BL 4 - AP 413</t>
  </si>
  <si>
    <t>R. Pica Paus 1750, condomínio Jardins Roma, R. Copaibeiras 95</t>
  </si>
  <si>
    <t xml:space="preserve">R. Maria Cristina Rodrigues, 431 Obs. ligar antes. </t>
  </si>
  <si>
    <t>R. MARQUES POVOA, 223</t>
  </si>
  <si>
    <t>R. TUIUTI 279, TEL: 99954-1904/ 98852-9621</t>
  </si>
  <si>
    <t>R. JOSE LELIS FRANÇA, 90</t>
  </si>
  <si>
    <t>R. CAMPO RUPESTRE, 193</t>
  </si>
  <si>
    <t xml:space="preserve">R. SEBASTIAO ALVES NUNES, 767 </t>
  </si>
  <si>
    <t>R. ANTONIO FORTUNATO SILVA, 691 ANTIGA 3</t>
  </si>
  <si>
    <t>R. AFRICA 1013</t>
  </si>
  <si>
    <t xml:space="preserve">R. DOM ALMIR MARQUES FERREIRA, 820 </t>
  </si>
  <si>
    <t>R. DAS ROLINHAS, 70 - ENTREGA LEVY</t>
  </si>
  <si>
    <t>R. MARQUES POVOA, 456</t>
  </si>
  <si>
    <t>R. ALFA, 195 APTO 704</t>
  </si>
  <si>
    <t>R. CAXAMBU, 284 - AP 103</t>
  </si>
  <si>
    <t>R. MONTE CARMELO 1915, CASA 1</t>
  </si>
  <si>
    <t>R. CRISTOVAO MARRA, 810</t>
  </si>
  <si>
    <t>R. JOSE QUERCIA, 170</t>
  </si>
  <si>
    <t>R. ARMANDO TUCCI, 1482, APTO 202 B</t>
  </si>
  <si>
    <t>R. FRANCISCO RODRIGUES SERRALHA, 350 CONDOMINIO UCHOA BLOCO 27 APTO 402</t>
  </si>
  <si>
    <t>R. JUVENAL TERTULIANO SILVA, 62</t>
  </si>
  <si>
    <t>R. MONTE NEGRO, 101 BLOCO 1 APTO 103</t>
  </si>
  <si>
    <t>R. DAS MAES, 395</t>
  </si>
  <si>
    <t>R. IZIDIO ANTONIO DA SILVA, 47</t>
  </si>
  <si>
    <t xml:space="preserve">R. JOAO SEVERIANO RODRIGESDA CUNHA 879 CASA 10 </t>
  </si>
  <si>
    <t>R. BENJAMIM CONSTANT, 296</t>
  </si>
  <si>
    <t>R. DOS JARDINS 1500 CONDOMINIO GêNOVA 
R. BOUGANVILLE 481</t>
  </si>
  <si>
    <t>R. João Rodrigues piedade, 35</t>
  </si>
  <si>
    <t xml:space="preserve"> R. JOSE ZACARIAS JUNQUEIRA 384</t>
  </si>
  <si>
    <t>R. PIAUI, 2866</t>
  </si>
  <si>
    <t>R. JOSE PIRES DEFENSOR, 600, CASA 28</t>
  </si>
  <si>
    <t>R. JOAO BORGES, 437 CASA 01</t>
  </si>
  <si>
    <t>R. JOSE MIGUEL SARAMAGO, 63, CASA 02</t>
  </si>
  <si>
    <t>R. SANTIAGO, 231</t>
  </si>
  <si>
    <t xml:space="preserve">R. LUIZ DELA PENA,382 </t>
  </si>
  <si>
    <t xml:space="preserve">R. OLIVIA ALMEIDA E SILVA, 137, CONDOMINIO URUGUAI </t>
  </si>
  <si>
    <t>R. EmIlia Fernandes de Brito, 113</t>
  </si>
  <si>
    <t>R. RONAN MENDONÇA RIBEIRO, 111 BLOCO 5 APTO 402</t>
  </si>
  <si>
    <t>R. Ana Valentina Nogueira, 820</t>
  </si>
  <si>
    <t xml:space="preserve"> R. Marinho Lozzi, 165</t>
  </si>
  <si>
    <t>R. TUPACIGUARA 400 AP 701  - ENTREGA ATE 13H</t>
  </si>
  <si>
    <t>R. JOSE LELIS FRANÇA, 1480 APTO 301</t>
  </si>
  <si>
    <t xml:space="preserve">R. PERDIZES, 222 CASA 1 </t>
  </si>
  <si>
    <t>R. DO FEIRANTE, 80 FUNDOS</t>
  </si>
  <si>
    <t>R. ATENAS, 69 APTO 403</t>
  </si>
  <si>
    <t xml:space="preserve">R. PEDRO JOSE SAMORA, 1468, ANT 17 </t>
  </si>
  <si>
    <t>R. 12, N 01; APARECIDA DE GOIANIA</t>
  </si>
  <si>
    <t>R. ARLINDO GOMES TEIXEIRA, 1459 ANTIGA 39</t>
  </si>
  <si>
    <t>AV. . MARCOS BORGES DE MIRANDA, 168 (ANT F, ENTRE 37/38)</t>
  </si>
  <si>
    <t>AV. . PAES LEME, 145 APTO 602</t>
  </si>
  <si>
    <t>AV. . PAULO GRACINDO, 1000 - COND. GAV. EA PARADISO - ALAMEDA GAV. IAO REAL, 90</t>
  </si>
  <si>
    <t>COND. GAV. EA PARADISO</t>
  </si>
  <si>
    <t>AV. . Princesa Isabel, 505</t>
  </si>
  <si>
    <t>AV.  dos Jardins,1500 // Condomínio Jardins Gênova // Alameda das Carolinas, 210</t>
  </si>
  <si>
    <t>R. RAIMUNDO MARTINS DE ALMEIDA CAV. ALCANTE, 181 CASA 5</t>
  </si>
  <si>
    <t>AV. . AMAZONAS, 236</t>
  </si>
  <si>
    <t>AV.  Joao XXIII, 686, apto 602</t>
  </si>
  <si>
    <t>AV.  Adelia Miguel Abraao, 96</t>
  </si>
  <si>
    <t xml:space="preserve">AV. . CESARIO CROSARA 2507 </t>
  </si>
  <si>
    <t>AV. . UIRAPURU, 1505</t>
  </si>
  <si>
    <t>AV. . VIRGILIO CARRIJO, 290</t>
  </si>
  <si>
    <t xml:space="preserve">CESAR / LAV. INE </t>
  </si>
  <si>
    <t>AV. . DOS JARDINS, 250 - ALAMEDA DAS FENIX, 350 - COND JD BARCELONA</t>
  </si>
  <si>
    <t>LAV. INE</t>
  </si>
  <si>
    <t>AV. . SACRAMENTO, 2047</t>
  </si>
  <si>
    <t>AV. . FRANÇA, 885</t>
  </si>
  <si>
    <t>AV. . PORTUGAL, 967</t>
  </si>
  <si>
    <t>AV.  LAZARA ALVES FERREIRA, 80, APTO 1202 BLOCO C - COND.IMPERIAL RESIDENCE</t>
  </si>
  <si>
    <t xml:space="preserve">DAV. ID ARAÚJO </t>
  </si>
  <si>
    <t>AV. . ARAGUARI, 255 APTO 101 BLOCO 3</t>
  </si>
  <si>
    <t>AV. . Oscarina Cunha ChAV. es, 510 Apto 1005 bl 4</t>
  </si>
  <si>
    <t>R. FRANCISCO CANDIDO XAV. IER, 1.071</t>
  </si>
  <si>
    <t>AV.  IPê 198 B SOL IRACEMA</t>
  </si>
  <si>
    <t>AV. . FLORIANO PEIXOTO, 2093 APTO 01</t>
  </si>
  <si>
    <t xml:space="preserve">R. JOAO ANGELO SCHIAV. INATTO, 2220, APTO 302 </t>
  </si>
  <si>
    <t>PROX. JOAO NAV. ES ANTIGA 43</t>
  </si>
  <si>
    <t>AV. . PRINCESSA ISABEL, Nº 505</t>
  </si>
  <si>
    <t>AV. . dos Vinhedos, 100 / R. FLOR DO EGITO, 160 COND GAV. EA HILL 1</t>
  </si>
  <si>
    <t>GAV. EA</t>
  </si>
  <si>
    <t>R. DAS PRIMAV. ERAS, 655</t>
  </si>
  <si>
    <t>GAV. EA SUL</t>
  </si>
  <si>
    <t>AV. . CESAR FINOTI 555, APT° 304 - APOS AS 11HS</t>
  </si>
  <si>
    <t>GUSTAV. O GUIMARAES</t>
  </si>
  <si>
    <t>AV. . CONCORDIA, 365</t>
  </si>
  <si>
    <t>AV. . BELO HORIZONTE, 1786 - ESQUINA C/ R. LAMBARI</t>
  </si>
  <si>
    <t>JACQUELINE BOAV. ENTURA / OSMAR</t>
  </si>
  <si>
    <t>AV. .CESARIO CROSARA, 4400</t>
  </si>
  <si>
    <t xml:space="preserve">AV. .Dimas Machado, 642 -J &amp; M Centro Automotivo </t>
  </si>
  <si>
    <t>AV.  DR LAERTE VIERA GONÇALVES, 2415 - AP 102</t>
  </si>
  <si>
    <t>AV. .ESTRELA DO SUL, 1419</t>
  </si>
  <si>
    <t>AV. . DIMAS MACHADO, 1055 APTO 403 BL03</t>
  </si>
  <si>
    <t>AV. . FLORIANO PEIXOTO, 5299</t>
  </si>
  <si>
    <t>AV. . CESARIO ALVIM, 1.428</t>
  </si>
  <si>
    <t>LARISSA SCHIAV. INATO</t>
  </si>
  <si>
    <t>R. Rio de Janeiro, 903 Obs: sem queijo 
Entre AV. .Mato Grosso e  Prof. José Ignácio.</t>
  </si>
  <si>
    <t>AV. . CONCORDIA, 581</t>
  </si>
  <si>
    <t>AV. . CONSTELAÇAO, 234</t>
  </si>
  <si>
    <t>TRAV. ESSA ANTONIO FONSECA SILVA, 11</t>
  </si>
  <si>
    <t>AV. . RODRIGO PEREIRA JR, 205 APTO 504 TORRE 3</t>
  </si>
  <si>
    <t>R. PATRULHEIRO OSMAR TAV. ARES, 1331 APTO 303 ANTIGA 21</t>
  </si>
  <si>
    <t>AV.  ALEXANDRE RIBEIRO GUIMARAES, 603</t>
  </si>
  <si>
    <t>AV. . CESARIO CROSARA, 3525</t>
  </si>
  <si>
    <t>AV. . IMBAÚBA 2200 BL03 AP404</t>
  </si>
  <si>
    <t>R. ANITA 125 PASSARELA AV. . LIBERDADE ALTAMIRA</t>
  </si>
  <si>
    <t>AV. . CLEANTO VIEIRA GONÇALVES, 1.227</t>
  </si>
  <si>
    <t>AV. . BRASIL, 1607</t>
  </si>
  <si>
    <t xml:space="preserve"> AV. . Getúlio Vargas, 1105</t>
  </si>
  <si>
    <t>AV. . CLARA CAMARAO, 427</t>
  </si>
  <si>
    <t>AV. . CESARIO CROSARA, 4264</t>
  </si>
  <si>
    <t>R. ESPERANÇA NAV. ES GODOY, 184 ANT. C57</t>
  </si>
  <si>
    <t>AV. . JOSE FONSECA E SILVA, 210</t>
  </si>
  <si>
    <t>AV.  JOAO PINHEIRO, 4670 APTO 103 D</t>
  </si>
  <si>
    <t>AV. . VEREADOR CARLITO CORDEIRO, Nº 2315 - CONDOMINIO SPLENDIDO - INTERNO: R. 09, N° 150.</t>
  </si>
  <si>
    <t>R. ANTONIO MARCIANO DE AV. ILA, 415  ANT. 28</t>
  </si>
  <si>
    <t>AV. .MISAEL RODRIGUES DE CASTRO, 1177 APTO 101</t>
  </si>
  <si>
    <t xml:space="preserve">R. CIPRIANO DEL FAV. ERO, 659 - APTO 1200  </t>
  </si>
  <si>
    <t>AV. . FERNANDO VILELA, 1207</t>
  </si>
  <si>
    <t>SHEILA / HEMERSON BOAV. ENTURA</t>
  </si>
  <si>
    <t>SHEILA / HEMERSON BOAV. ENTURA (2)</t>
  </si>
  <si>
    <t>AV. . CONSTELAÇAO, 791</t>
  </si>
  <si>
    <t>R. XAV. ANTES 1056, APTO 302 EDIFICIO COSTA BELA OU NO APTO 303 NO APTO DA MAE.</t>
  </si>
  <si>
    <t>R. LUIZ VIEIRA TAV. ARES, 85</t>
  </si>
  <si>
    <t>AV.  JOSE PAES DE ALMEIDA, 463, APTO 404</t>
  </si>
  <si>
    <t>R. JATAI, 730 - ENTRE AV.  JOAO  PINHEIRO E BRASIL</t>
  </si>
  <si>
    <t>R. JOAO ANGELO SCHIAV. INATO, 1423 - ANT 43</t>
  </si>
  <si>
    <t>R. JOAO ANGELO SCHIAV. INATTO, 1704</t>
  </si>
  <si>
    <t>R. PATRULHEIRO OSMAR TAV. ARES, 989</t>
  </si>
  <si>
    <t>VALESKA E FLAV. IO</t>
  </si>
  <si>
    <t>AV. . RONDOM PACHECO 5715 ( CORPO DE BOMBEIROS)</t>
  </si>
  <si>
    <t>AV. . JOAO PINHEIRO, 1073 APTO 1004</t>
  </si>
  <si>
    <t>AV. . DOS FERREIRAS, 475 CASA 321- CONDOMINIO TERRA NOVA 1</t>
  </si>
  <si>
    <t>AV. .GERALDO ABRAO, 611 COND.ROYAL PARK - DENTRO: ALAMEDA OCEANO ATLANTICO, 295</t>
  </si>
  <si>
    <t>AV. . CHAD FAD, 05</t>
  </si>
  <si>
    <t>AV.  DOS VINHEDOS, 900 ALAMEDA BELA EMILIA, 185 CONDOM. GAV. EA 2</t>
  </si>
  <si>
    <t xml:space="preserve">R. ARMANDO TUCCI 1289 ANT34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</si>
</sst>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44" formatCode="_-&quot;R$&quot;\ * #,##0.00_-;\-&quot;R$&quot;\ * #,##0.00_-;_-&quot;R$&quot;\ * &quot;-&quot;??_-;_-@_-"/>
    <numFmt numFmtId="43" formatCode="_-* #,##0.00_-;\-* #,##0.00_-;_-* &quot;-&quot;??_-;_-@_-"/>
    <numFmt numFmtId="164" formatCode="00"/>
    <numFmt numFmtId="165" formatCode="_-* #,##0.00_-;\-* #,##0.00_-;_-* \-??_-;_-@_-"/>
    <numFmt numFmtId="166" formatCode="dd/mm/yy;@"/>
  </numFmts>
  <fonts count="3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9"/>
      <name val="Calibri"/>
      <family val="2"/>
      <scheme val="minor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sz val="10"/>
      <name val="Calibri"/>
      <family val="2"/>
    </font>
    <font>
      <b/>
      <sz val="9"/>
      <color rgb="FFFF000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name val="Calibri"/>
      <family val="2"/>
      <scheme val="minor"/>
    </font>
    <font>
      <b/>
      <sz val="22"/>
      <color theme="1"/>
      <name val="Calibri"/>
      <family val="2"/>
      <scheme val="minor"/>
    </font>
    <font>
      <u/>
      <sz val="24"/>
      <color theme="10"/>
      <name val="Calibri"/>
      <family val="2"/>
      <scheme val="minor"/>
    </font>
    <font>
      <sz val="11"/>
      <color theme="8" tint="0.79998168889431442"/>
      <name val="Calibri"/>
      <family val="2"/>
      <scheme val="minor"/>
    </font>
    <font>
      <sz val="8"/>
      <color rgb="FF000000"/>
      <name val="Tahoma"/>
      <family val="2"/>
    </font>
    <font>
      <sz val="11"/>
      <color theme="4" tint="0.79998168889431442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2"/>
      <name val="Calibri"/>
      <family val="2"/>
      <scheme val="minor"/>
    </font>
    <font>
      <b/>
      <sz val="11"/>
      <name val="Calibri"/>
      <family val="2"/>
      <scheme val="minor"/>
    </font>
    <font>
      <u/>
      <sz val="18"/>
      <color theme="1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33333"/>
      <name val="Segoe UI"/>
      <family val="2"/>
    </font>
    <font>
      <b/>
      <sz val="12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name val="Calibri"/>
      <family val="2"/>
      <scheme val="minor"/>
    </font>
    <font>
      <sz val="11"/>
      <color rgb="FFFF0000"/>
      <name val="Calibri"/>
      <family val="2"/>
      <scheme val="minor"/>
    </font>
    <font>
      <u/>
      <sz val="11"/>
      <color rgb="FFFF0000"/>
      <name val="Calibri"/>
      <family val="2"/>
      <scheme val="minor"/>
    </font>
    <font>
      <b/>
      <sz val="20"/>
      <color rgb="FF339966"/>
      <name val="Calibri"/>
      <family val="2"/>
    </font>
    <font>
      <b/>
      <sz val="16"/>
      <color rgb="FF000000"/>
      <name val="Calibri"/>
      <family val="2"/>
    </font>
    <font>
      <sz val="18"/>
      <color rgb="FF000000"/>
      <name val="Calibri"/>
      <family val="2"/>
    </font>
    <font>
      <b/>
      <sz val="11"/>
      <color rgb="FF000000"/>
      <name val="Calibri"/>
      <family val="2"/>
    </font>
    <font>
      <b/>
      <sz val="10"/>
      <color rgb="FF000000"/>
      <name val="Calibri"/>
      <family val="2"/>
    </font>
  </fonts>
  <fills count="20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theme="4"/>
      </patternFill>
    </fill>
    <fill>
      <patternFill patternType="solid">
        <fgColor rgb="FFFFFF00"/>
        <bgColor theme="4"/>
      </patternFill>
    </fill>
    <fill>
      <patternFill patternType="solid">
        <fgColor rgb="FFFF0000"/>
        <bgColor indexed="64"/>
      </patternFill>
    </fill>
  </fills>
  <borders count="49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  <border>
      <left style="medium">
        <color indexed="64"/>
      </left>
      <right style="thin">
        <color auto="1"/>
      </right>
      <top style="thin">
        <color auto="1"/>
      </top>
      <bottom/>
      <diagonal/>
    </border>
  </borders>
  <cellStyleXfs count="7">
    <xf numFmtId="0" fontId="0" fillId="0" borderId="0"/>
    <xf numFmtId="43" fontId="1" fillId="0" borderId="0" applyFont="0" applyFill="0" applyBorder="0" applyAlignment="0" applyProtection="0"/>
    <xf numFmtId="165" fontId="2" fillId="0" borderId="0" applyFill="0" applyBorder="0" applyAlignment="0" applyProtection="0"/>
    <xf numFmtId="0" fontId="2" fillId="0" borderId="0"/>
    <xf numFmtId="43" fontId="1" fillId="0" borderId="0" applyFont="0" applyFill="0" applyBorder="0" applyAlignment="0" applyProtection="0"/>
    <xf numFmtId="44" fontId="1" fillId="0" borderId="0" applyFont="0" applyFill="0" applyBorder="0" applyAlignment="0" applyProtection="0"/>
    <xf numFmtId="0" fontId="11" fillId="0" borderId="0" applyNumberFormat="0" applyFill="0" applyBorder="0" applyAlignment="0" applyProtection="0"/>
  </cellStyleXfs>
  <cellXfs count="286">
    <xf numFmtId="0" fontId="0" fillId="0" borderId="0" xfId="0"/>
    <xf numFmtId="0" fontId="5" fillId="0" borderId="2" xfId="0" applyFont="1" applyBorder="1" applyAlignment="1">
      <alignment vertical="center"/>
    </xf>
    <xf numFmtId="0" fontId="4" fillId="0" borderId="0" xfId="0" applyFont="1" applyAlignment="1">
      <alignment vertical="center" shrinkToFit="1"/>
    </xf>
    <xf numFmtId="0" fontId="4" fillId="0" borderId="0" xfId="0" applyFont="1" applyAlignment="1">
      <alignment horizontal="center" vertical="center" shrinkToFit="1"/>
    </xf>
    <xf numFmtId="0" fontId="4" fillId="0" borderId="0" xfId="0" applyFont="1" applyAlignment="1">
      <alignment horizontal="left" vertical="center" shrinkToFit="1"/>
    </xf>
    <xf numFmtId="0" fontId="4" fillId="0" borderId="5" xfId="0" applyFont="1" applyBorder="1" applyAlignment="1">
      <alignment vertical="center" shrinkToFit="1"/>
    </xf>
    <xf numFmtId="164" fontId="4" fillId="0" borderId="0" xfId="0" applyNumberFormat="1" applyFont="1" applyAlignment="1">
      <alignment vertical="center" shrinkToFit="1"/>
    </xf>
    <xf numFmtId="0" fontId="5" fillId="0" borderId="2" xfId="0" applyFont="1" applyBorder="1" applyAlignment="1">
      <alignment vertical="center" shrinkToFit="1"/>
    </xf>
    <xf numFmtId="164" fontId="5" fillId="0" borderId="2" xfId="0" applyNumberFormat="1" applyFont="1" applyBorder="1" applyAlignment="1">
      <alignment horizontal="center" vertical="center" shrinkToFit="1"/>
    </xf>
    <xf numFmtId="43" fontId="5" fillId="0" borderId="0" xfId="0" applyNumberFormat="1" applyFont="1" applyAlignment="1">
      <alignment horizontal="left" vertical="center" shrinkToFit="1"/>
    </xf>
    <xf numFmtId="43" fontId="5" fillId="0" borderId="0" xfId="0" applyNumberFormat="1" applyFont="1" applyAlignment="1">
      <alignment vertical="center" shrinkToFit="1"/>
    </xf>
    <xf numFmtId="164" fontId="5" fillId="0" borderId="0" xfId="0" applyNumberFormat="1" applyFont="1" applyAlignment="1">
      <alignment vertical="center" shrinkToFit="1"/>
    </xf>
    <xf numFmtId="0" fontId="5" fillId="0" borderId="0" xfId="0" applyFont="1" applyAlignment="1">
      <alignment vertical="center" shrinkToFit="1"/>
    </xf>
    <xf numFmtId="17" fontId="4" fillId="0" borderId="0" xfId="0" applyNumberFormat="1" applyFont="1" applyAlignment="1">
      <alignment horizontal="center" vertical="center" shrinkToFit="1"/>
    </xf>
    <xf numFmtId="164" fontId="4" fillId="0" borderId="2" xfId="0" applyNumberFormat="1" applyFont="1" applyBorder="1" applyAlignment="1">
      <alignment horizontal="center" vertical="center" shrinkToFit="1"/>
    </xf>
    <xf numFmtId="164" fontId="5" fillId="0" borderId="2" xfId="0" applyNumberFormat="1" applyFont="1" applyBorder="1" applyAlignment="1">
      <alignment horizontal="center" vertical="center"/>
    </xf>
    <xf numFmtId="0" fontId="5" fillId="0" borderId="2" xfId="0" applyFont="1" applyBorder="1" applyAlignment="1">
      <alignment horizontal="center" vertical="center"/>
    </xf>
    <xf numFmtId="0" fontId="5" fillId="0" borderId="1" xfId="0" applyFont="1" applyBorder="1" applyAlignment="1">
      <alignment vertical="center"/>
    </xf>
    <xf numFmtId="43" fontId="5" fillId="0" borderId="1" xfId="0" applyNumberFormat="1" applyFont="1" applyBorder="1" applyAlignment="1">
      <alignment horizontal="left" vertical="center"/>
    </xf>
    <xf numFmtId="43" fontId="5" fillId="0" borderId="1" xfId="0" applyNumberFormat="1" applyFont="1" applyBorder="1" applyAlignment="1">
      <alignment vertical="center"/>
    </xf>
    <xf numFmtId="0" fontId="4" fillId="0" borderId="10" xfId="0" applyFont="1" applyBorder="1" applyAlignment="1">
      <alignment horizontal="center" vertical="center" shrinkToFit="1"/>
    </xf>
    <xf numFmtId="164" fontId="4" fillId="0" borderId="11" xfId="0" applyNumberFormat="1" applyFont="1" applyBorder="1" applyAlignment="1">
      <alignment horizontal="center" vertical="center" shrinkToFit="1"/>
    </xf>
    <xf numFmtId="0" fontId="4" fillId="0" borderId="11" xfId="0" applyFont="1" applyBorder="1" applyAlignment="1">
      <alignment horizontal="center" vertical="center" shrinkToFit="1"/>
    </xf>
    <xf numFmtId="164" fontId="4" fillId="0" borderId="11" xfId="0" applyNumberFormat="1" applyFont="1" applyBorder="1" applyAlignment="1">
      <alignment horizontal="left" vertical="center" shrinkToFit="1"/>
    </xf>
    <xf numFmtId="0" fontId="4" fillId="0" borderId="12" xfId="0" applyFont="1" applyBorder="1" applyAlignment="1">
      <alignment vertical="center" shrinkToFit="1"/>
    </xf>
    <xf numFmtId="164" fontId="5" fillId="0" borderId="9" xfId="0" applyNumberFormat="1" applyFont="1" applyBorder="1" applyAlignment="1">
      <alignment horizontal="center" vertical="center" shrinkToFit="1"/>
    </xf>
    <xf numFmtId="0" fontId="5" fillId="2" borderId="1" xfId="0" applyFont="1" applyFill="1" applyBorder="1" applyAlignment="1">
      <alignment horizontal="left" vertical="center" wrapText="1"/>
    </xf>
    <xf numFmtId="164" fontId="5" fillId="2" borderId="1" xfId="0" applyNumberFormat="1" applyFont="1" applyFill="1" applyBorder="1" applyAlignment="1">
      <alignment horizontal="center" vertical="center" wrapText="1"/>
    </xf>
    <xf numFmtId="0" fontId="5" fillId="2" borderId="1" xfId="0" applyFont="1" applyFill="1" applyBorder="1" applyAlignment="1">
      <alignment horizontal="center" vertical="center" wrapText="1"/>
    </xf>
    <xf numFmtId="0" fontId="3" fillId="2" borderId="0" xfId="0" applyFont="1" applyFill="1" applyAlignment="1">
      <alignment vertical="center"/>
    </xf>
    <xf numFmtId="0" fontId="4" fillId="0" borderId="2" xfId="0" applyFont="1" applyBorder="1" applyAlignment="1">
      <alignment horizontal="center" vertical="center"/>
    </xf>
    <xf numFmtId="0" fontId="4" fillId="2" borderId="0" xfId="0" applyFont="1" applyFill="1" applyAlignment="1">
      <alignment vertical="center" shrinkToFit="1"/>
    </xf>
    <xf numFmtId="1" fontId="4" fillId="0" borderId="0" xfId="0" applyNumberFormat="1" applyFont="1" applyAlignment="1">
      <alignment vertical="center" shrinkToFit="1"/>
    </xf>
    <xf numFmtId="0" fontId="4" fillId="2" borderId="10" xfId="0" applyFont="1" applyFill="1" applyBorder="1" applyAlignment="1">
      <alignment horizontal="center" vertical="center" shrinkToFit="1"/>
    </xf>
    <xf numFmtId="164" fontId="4" fillId="2" borderId="11" xfId="0" applyNumberFormat="1" applyFont="1" applyFill="1" applyBorder="1" applyAlignment="1">
      <alignment horizontal="center" vertical="center" shrinkToFit="1"/>
    </xf>
    <xf numFmtId="0" fontId="4" fillId="2" borderId="11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>
      <alignment horizontal="left" vertical="center" shrinkToFit="1"/>
    </xf>
    <xf numFmtId="164" fontId="4" fillId="2" borderId="0" xfId="0" applyNumberFormat="1" applyFont="1" applyFill="1" applyAlignment="1">
      <alignment vertical="center" shrinkToFit="1"/>
    </xf>
    <xf numFmtId="0" fontId="5" fillId="2" borderId="0" xfId="0" applyFont="1" applyFill="1" applyAlignment="1">
      <alignment vertical="center" shrinkToFit="1"/>
    </xf>
    <xf numFmtId="43" fontId="5" fillId="0" borderId="9" xfId="1" applyFont="1" applyBorder="1" applyAlignment="1">
      <alignment horizontal="left" vertical="center" shrinkToFit="1"/>
    </xf>
    <xf numFmtId="0" fontId="5" fillId="0" borderId="9" xfId="0" applyFont="1" applyBorder="1" applyAlignment="1">
      <alignment horizontal="center" vertical="center" shrinkToFit="1"/>
    </xf>
    <xf numFmtId="0" fontId="5" fillId="0" borderId="9" xfId="0" applyFont="1" applyBorder="1" applyAlignment="1">
      <alignment vertical="center" shrinkToFit="1"/>
    </xf>
    <xf numFmtId="164" fontId="5" fillId="0" borderId="1" xfId="0" applyNumberFormat="1" applyFont="1" applyBorder="1" applyAlignment="1">
      <alignment horizontal="center" vertical="center"/>
    </xf>
    <xf numFmtId="0" fontId="5" fillId="0" borderId="1" xfId="0" applyFont="1" applyBorder="1" applyAlignment="1">
      <alignment horizontal="center" vertical="center"/>
    </xf>
    <xf numFmtId="43" fontId="5" fillId="0" borderId="1" xfId="1" applyFont="1" applyBorder="1" applyAlignment="1">
      <alignment vertical="center"/>
    </xf>
    <xf numFmtId="164" fontId="5" fillId="0" borderId="0" xfId="0" applyNumberFormat="1" applyFont="1" applyAlignment="1">
      <alignment vertical="center"/>
    </xf>
    <xf numFmtId="0" fontId="5" fillId="0" borderId="0" xfId="0" applyFont="1" applyAlignment="1">
      <alignment vertical="center"/>
    </xf>
    <xf numFmtId="0" fontId="5" fillId="0" borderId="13" xfId="0" applyFont="1" applyBorder="1" applyAlignment="1">
      <alignment vertical="center"/>
    </xf>
    <xf numFmtId="0" fontId="5" fillId="0" borderId="1" xfId="0" applyFont="1" applyBorder="1" applyAlignment="1">
      <alignment horizontal="left" vertical="center"/>
    </xf>
    <xf numFmtId="164" fontId="5" fillId="0" borderId="1" xfId="0" applyNumberFormat="1" applyFont="1" applyBorder="1" applyAlignment="1">
      <alignment horizontal="left" vertical="center"/>
    </xf>
    <xf numFmtId="43" fontId="5" fillId="0" borderId="1" xfId="1" applyFont="1" applyBorder="1" applyAlignment="1">
      <alignment horizontal="left" vertical="center"/>
    </xf>
    <xf numFmtId="0" fontId="5" fillId="0" borderId="0" xfId="0" applyFont="1" applyAlignment="1">
      <alignment horizontal="center" vertical="center"/>
    </xf>
    <xf numFmtId="164" fontId="5" fillId="0" borderId="4" xfId="0" applyNumberFormat="1" applyFont="1" applyBorder="1" applyAlignment="1">
      <alignment horizontal="center" vertical="center"/>
    </xf>
    <xf numFmtId="43" fontId="6" fillId="0" borderId="8" xfId="1" applyFont="1" applyBorder="1" applyAlignment="1">
      <alignment vertical="center"/>
    </xf>
    <xf numFmtId="43" fontId="5" fillId="0" borderId="9" xfId="0" applyNumberFormat="1" applyFont="1" applyBorder="1" applyAlignment="1">
      <alignment vertical="center"/>
    </xf>
    <xf numFmtId="43" fontId="6" fillId="0" borderId="3" xfId="1" applyFont="1" applyBorder="1" applyAlignment="1">
      <alignment vertical="center"/>
    </xf>
    <xf numFmtId="43" fontId="5" fillId="0" borderId="3" xfId="1" applyFont="1" applyBorder="1" applyAlignment="1">
      <alignment vertical="center"/>
    </xf>
    <xf numFmtId="0" fontId="4" fillId="0" borderId="14" xfId="0" applyFont="1" applyBorder="1" applyAlignment="1">
      <alignment vertical="center" shrinkToFit="1"/>
    </xf>
    <xf numFmtId="164" fontId="5" fillId="0" borderId="9" xfId="0" applyNumberFormat="1" applyFont="1" applyBorder="1" applyAlignment="1">
      <alignment horizontal="center" vertical="center"/>
    </xf>
    <xf numFmtId="164" fontId="4" fillId="0" borderId="9" xfId="0" applyNumberFormat="1" applyFont="1" applyBorder="1" applyAlignment="1">
      <alignment horizontal="center" vertical="center" shrinkToFit="1"/>
    </xf>
    <xf numFmtId="0" fontId="5" fillId="0" borderId="15" xfId="0" applyFont="1" applyBorder="1" applyAlignment="1">
      <alignment vertical="center"/>
    </xf>
    <xf numFmtId="164" fontId="5" fillId="0" borderId="16" xfId="0" applyNumberFormat="1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43" fontId="5" fillId="0" borderId="16" xfId="1" applyFont="1" applyBorder="1" applyAlignment="1">
      <alignment vertical="center"/>
    </xf>
    <xf numFmtId="43" fontId="5" fillId="0" borderId="17" xfId="0" applyNumberFormat="1" applyFont="1" applyBorder="1" applyAlignment="1">
      <alignment vertical="center"/>
    </xf>
    <xf numFmtId="0" fontId="5" fillId="0" borderId="18" xfId="0" applyFont="1" applyBorder="1" applyAlignment="1">
      <alignment vertical="center"/>
    </xf>
    <xf numFmtId="0" fontId="5" fillId="0" borderId="9" xfId="0" applyFont="1" applyBorder="1" applyAlignment="1">
      <alignment horizontal="center" vertical="center"/>
    </xf>
    <xf numFmtId="43" fontId="5" fillId="0" borderId="19" xfId="0" applyNumberFormat="1" applyFont="1" applyBorder="1" applyAlignment="1">
      <alignment vertical="center"/>
    </xf>
    <xf numFmtId="0" fontId="5" fillId="0" borderId="20" xfId="0" applyFont="1" applyBorder="1" applyAlignment="1">
      <alignment vertical="center"/>
    </xf>
    <xf numFmtId="164" fontId="5" fillId="0" borderId="21" xfId="0" applyNumberFormat="1" applyFont="1" applyBorder="1" applyAlignment="1">
      <alignment horizontal="center" vertical="center"/>
    </xf>
    <xf numFmtId="164" fontId="5" fillId="0" borderId="22" xfId="0" applyNumberFormat="1" applyFont="1" applyBorder="1" applyAlignment="1">
      <alignment horizontal="center" vertical="center"/>
    </xf>
    <xf numFmtId="0" fontId="5" fillId="0" borderId="21" xfId="0" applyFont="1" applyBorder="1" applyAlignment="1">
      <alignment horizontal="center" vertical="center"/>
    </xf>
    <xf numFmtId="0" fontId="5" fillId="0" borderId="22" xfId="0" applyFont="1" applyBorder="1" applyAlignment="1">
      <alignment vertical="center"/>
    </xf>
    <xf numFmtId="43" fontId="5" fillId="0" borderId="22" xfId="1" applyFont="1" applyBorder="1" applyAlignment="1">
      <alignment vertical="center"/>
    </xf>
    <xf numFmtId="43" fontId="5" fillId="0" borderId="23" xfId="0" applyNumberFormat="1" applyFont="1" applyBorder="1" applyAlignment="1">
      <alignment vertical="center"/>
    </xf>
    <xf numFmtId="164" fontId="8" fillId="0" borderId="1" xfId="0" applyNumberFormat="1" applyFont="1" applyBorder="1" applyAlignment="1">
      <alignment horizontal="left"/>
    </xf>
    <xf numFmtId="0" fontId="5" fillId="0" borderId="16" xfId="0" applyFont="1" applyBorder="1" applyAlignment="1">
      <alignment vertical="center"/>
    </xf>
    <xf numFmtId="164" fontId="5" fillId="2" borderId="1" xfId="0" applyNumberFormat="1" applyFont="1" applyFill="1" applyBorder="1" applyAlignment="1">
      <alignment horizontal="center" vertical="center"/>
    </xf>
    <xf numFmtId="0" fontId="5" fillId="2" borderId="1" xfId="0" applyFont="1" applyFill="1" applyBorder="1" applyAlignment="1">
      <alignment vertical="center" wrapText="1"/>
    </xf>
    <xf numFmtId="43" fontId="5" fillId="2" borderId="1" xfId="1" applyFont="1" applyFill="1" applyBorder="1" applyAlignment="1">
      <alignment horizontal="left" vertical="center" wrapText="1"/>
    </xf>
    <xf numFmtId="43" fontId="5" fillId="2" borderId="1" xfId="0" applyNumberFormat="1" applyFont="1" applyFill="1" applyBorder="1" applyAlignment="1">
      <alignment vertical="center" wrapText="1"/>
    </xf>
    <xf numFmtId="0" fontId="5" fillId="0" borderId="1" xfId="0" applyFont="1" applyBorder="1" applyAlignment="1">
      <alignment vertical="center" wrapText="1" shrinkToFit="1"/>
    </xf>
    <xf numFmtId="0" fontId="5" fillId="2" borderId="1" xfId="0" applyFont="1" applyFill="1" applyBorder="1" applyAlignment="1">
      <alignment vertical="center"/>
    </xf>
    <xf numFmtId="0" fontId="5" fillId="2" borderId="1" xfId="0" applyFont="1" applyFill="1" applyBorder="1" applyAlignment="1">
      <alignment horizontal="center" vertical="center"/>
    </xf>
    <xf numFmtId="43" fontId="5" fillId="2" borderId="1" xfId="1" applyFont="1" applyFill="1" applyBorder="1" applyAlignment="1">
      <alignment vertical="center"/>
    </xf>
    <xf numFmtId="43" fontId="5" fillId="2" borderId="1" xfId="0" applyNumberFormat="1" applyFont="1" applyFill="1" applyBorder="1" applyAlignment="1">
      <alignment vertical="center"/>
    </xf>
    <xf numFmtId="0" fontId="5" fillId="2" borderId="0" xfId="0" applyFont="1" applyFill="1" applyAlignment="1">
      <alignment vertical="center"/>
    </xf>
    <xf numFmtId="0" fontId="5" fillId="3" borderId="1" xfId="0" applyFont="1" applyFill="1" applyBorder="1" applyAlignment="1">
      <alignment horizontal="left" vertical="center" wrapText="1"/>
    </xf>
    <xf numFmtId="164" fontId="5" fillId="3" borderId="1" xfId="0" applyNumberFormat="1" applyFont="1" applyFill="1" applyBorder="1" applyAlignment="1">
      <alignment horizontal="center" vertical="center" wrapText="1"/>
    </xf>
    <xf numFmtId="164" fontId="5" fillId="3" borderId="1" xfId="0" applyNumberFormat="1" applyFont="1" applyFill="1" applyBorder="1" applyAlignment="1">
      <alignment horizontal="center" vertical="center"/>
    </xf>
    <xf numFmtId="0" fontId="5" fillId="3" borderId="1" xfId="0" applyFont="1" applyFill="1" applyBorder="1" applyAlignment="1">
      <alignment horizontal="center" vertical="center" wrapText="1"/>
    </xf>
    <xf numFmtId="0" fontId="5" fillId="3" borderId="1" xfId="0" applyFont="1" applyFill="1" applyBorder="1" applyAlignment="1">
      <alignment vertical="center" wrapText="1"/>
    </xf>
    <xf numFmtId="43" fontId="5" fillId="3" borderId="1" xfId="1" applyFont="1" applyFill="1" applyBorder="1" applyAlignment="1">
      <alignment horizontal="left" vertical="center" wrapText="1"/>
    </xf>
    <xf numFmtId="43" fontId="5" fillId="3" borderId="1" xfId="0" applyNumberFormat="1" applyFont="1" applyFill="1" applyBorder="1" applyAlignment="1">
      <alignment vertical="center" wrapText="1"/>
    </xf>
    <xf numFmtId="0" fontId="3" fillId="3" borderId="0" xfId="0" applyFont="1" applyFill="1" applyAlignment="1">
      <alignment vertical="center"/>
    </xf>
    <xf numFmtId="43" fontId="5" fillId="3" borderId="1" xfId="0" applyNumberFormat="1" applyFont="1" applyFill="1" applyBorder="1" applyAlignment="1">
      <alignment vertical="center"/>
    </xf>
    <xf numFmtId="164" fontId="5" fillId="3" borderId="1" xfId="0" applyNumberFormat="1" applyFont="1" applyFill="1" applyBorder="1" applyAlignment="1">
      <alignment horizontal="center"/>
    </xf>
    <xf numFmtId="0" fontId="9" fillId="0" borderId="0" xfId="0" applyFont="1" applyAlignment="1">
      <alignment horizontal="center"/>
    </xf>
    <xf numFmtId="0" fontId="12" fillId="0" borderId="18" xfId="0" applyFont="1" applyBorder="1"/>
    <xf numFmtId="0" fontId="12" fillId="0" borderId="24" xfId="0" applyFont="1" applyBorder="1"/>
    <xf numFmtId="0" fontId="11" fillId="0" borderId="0" xfId="6"/>
    <xf numFmtId="0" fontId="0" fillId="0" borderId="0" xfId="0" applyAlignment="1">
      <alignment horizontal="center"/>
    </xf>
    <xf numFmtId="44" fontId="0" fillId="0" borderId="0" xfId="5" applyFont="1" applyAlignment="1">
      <alignment horizontal="center"/>
    </xf>
    <xf numFmtId="14" fontId="0" fillId="0" borderId="0" xfId="5" applyNumberFormat="1" applyFont="1" applyAlignment="1">
      <alignment horizontal="center"/>
    </xf>
    <xf numFmtId="14" fontId="0" fillId="0" borderId="0" xfId="0" applyNumberFormat="1"/>
    <xf numFmtId="0" fontId="11" fillId="4" borderId="0" xfId="6" applyFill="1"/>
    <xf numFmtId="0" fontId="0" fillId="4" borderId="0" xfId="0" applyFill="1"/>
    <xf numFmtId="0" fontId="9" fillId="4" borderId="0" xfId="0" applyFont="1" applyFill="1" applyAlignment="1">
      <alignment horizontal="right"/>
    </xf>
    <xf numFmtId="44" fontId="0" fillId="7" borderId="1" xfId="5" applyFont="1" applyFill="1" applyBorder="1" applyAlignment="1">
      <alignment horizontal="center"/>
    </xf>
    <xf numFmtId="0" fontId="0" fillId="5" borderId="29" xfId="0" applyFill="1" applyBorder="1"/>
    <xf numFmtId="0" fontId="9" fillId="5" borderId="0" xfId="0" applyFont="1" applyFill="1"/>
    <xf numFmtId="0" fontId="0" fillId="5" borderId="0" xfId="0" applyFill="1"/>
    <xf numFmtId="0" fontId="0" fillId="5" borderId="30" xfId="0" applyFill="1" applyBorder="1"/>
    <xf numFmtId="0" fontId="11" fillId="5" borderId="0" xfId="6" applyFill="1"/>
    <xf numFmtId="0" fontId="0" fillId="6" borderId="29" xfId="0" applyFill="1" applyBorder="1"/>
    <xf numFmtId="0" fontId="0" fillId="6" borderId="0" xfId="0" applyFill="1"/>
    <xf numFmtId="0" fontId="0" fillId="6" borderId="30" xfId="0" applyFill="1" applyBorder="1"/>
    <xf numFmtId="0" fontId="11" fillId="6" borderId="0" xfId="6" applyFill="1"/>
    <xf numFmtId="0" fontId="0" fillId="6" borderId="31" xfId="0" applyFill="1" applyBorder="1"/>
    <xf numFmtId="0" fontId="11" fillId="6" borderId="32" xfId="6" applyFill="1" applyBorder="1"/>
    <xf numFmtId="0" fontId="0" fillId="6" borderId="32" xfId="0" applyFill="1" applyBorder="1"/>
    <xf numFmtId="0" fontId="0" fillId="6" borderId="33" xfId="0" applyFill="1" applyBorder="1"/>
    <xf numFmtId="0" fontId="9" fillId="6" borderId="0" xfId="0" applyFont="1" applyFill="1"/>
    <xf numFmtId="44" fontId="0" fillId="0" borderId="1" xfId="5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3" fontId="0" fillId="0" borderId="0" xfId="0" applyNumberFormat="1"/>
    <xf numFmtId="164" fontId="5" fillId="0" borderId="34" xfId="0" applyNumberFormat="1" applyFont="1" applyBorder="1" applyAlignment="1">
      <alignment horizontal="center" vertical="center" shrinkToFit="1"/>
    </xf>
    <xf numFmtId="0" fontId="0" fillId="0" borderId="25" xfId="0" applyBorder="1" applyAlignment="1">
      <alignment horizontal="center"/>
    </xf>
    <xf numFmtId="0" fontId="9" fillId="0" borderId="4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35" xfId="0" applyFont="1" applyBorder="1"/>
    <xf numFmtId="164" fontId="5" fillId="0" borderId="36" xfId="0" applyNumberFormat="1" applyFont="1" applyBorder="1" applyAlignment="1">
      <alignment horizontal="center" vertical="center" shrinkToFit="1"/>
    </xf>
    <xf numFmtId="0" fontId="0" fillId="0" borderId="6" xfId="0" applyBorder="1" applyAlignment="1">
      <alignment horizontal="center"/>
    </xf>
    <xf numFmtId="0" fontId="9" fillId="0" borderId="0" xfId="0" applyFont="1" applyAlignment="1">
      <alignment horizontal="center" wrapText="1"/>
    </xf>
    <xf numFmtId="0" fontId="11" fillId="8" borderId="0" xfId="6" applyFill="1"/>
    <xf numFmtId="44" fontId="0" fillId="0" borderId="37" xfId="5" applyFont="1" applyBorder="1" applyAlignment="1">
      <alignment horizontal="center"/>
    </xf>
    <xf numFmtId="0" fontId="15" fillId="4" borderId="0" xfId="0" applyFont="1" applyFill="1"/>
    <xf numFmtId="0" fontId="0" fillId="7" borderId="1" xfId="0" applyFill="1" applyBorder="1"/>
    <xf numFmtId="0" fontId="9" fillId="4" borderId="0" xfId="0" applyFont="1" applyFill="1" applyAlignment="1">
      <alignment horizontal="right" vertical="top"/>
    </xf>
    <xf numFmtId="0" fontId="10" fillId="9" borderId="29" xfId="0" applyFont="1" applyFill="1" applyBorder="1" applyAlignment="1">
      <alignment horizontal="center"/>
    </xf>
    <xf numFmtId="0" fontId="10" fillId="9" borderId="0" xfId="0" applyFont="1" applyFill="1" applyAlignment="1">
      <alignment horizontal="center"/>
    </xf>
    <xf numFmtId="0" fontId="10" fillId="9" borderId="30" xfId="0" applyFont="1" applyFill="1" applyBorder="1" applyAlignment="1">
      <alignment horizontal="center"/>
    </xf>
    <xf numFmtId="0" fontId="14" fillId="9" borderId="0" xfId="6" applyFont="1" applyFill="1" applyAlignment="1">
      <alignment horizontal="center" vertical="center"/>
    </xf>
    <xf numFmtId="164" fontId="5" fillId="0" borderId="0" xfId="0" applyNumberFormat="1" applyFont="1" applyAlignment="1">
      <alignment horizontal="center" vertical="center" shrinkToFit="1"/>
    </xf>
    <xf numFmtId="0" fontId="0" fillId="0" borderId="0" xfId="0" applyAlignment="1">
      <alignment vertical="center"/>
    </xf>
    <xf numFmtId="14" fontId="0" fillId="4" borderId="0" xfId="0" applyNumberFormat="1" applyFill="1"/>
    <xf numFmtId="14" fontId="15" fillId="4" borderId="0" xfId="0" applyNumberFormat="1" applyFont="1" applyFill="1"/>
    <xf numFmtId="0" fontId="0" fillId="4" borderId="0" xfId="0" applyFill="1" applyAlignment="1">
      <alignment horizontal="center" vertical="center"/>
    </xf>
    <xf numFmtId="0" fontId="17" fillId="4" borderId="0" xfId="0" applyFont="1" applyFill="1"/>
    <xf numFmtId="0" fontId="18" fillId="10" borderId="0" xfId="0" applyFont="1" applyFill="1"/>
    <xf numFmtId="14" fontId="0" fillId="2" borderId="1" xfId="0" applyNumberFormat="1" applyFill="1" applyBorder="1" applyAlignment="1" applyProtection="1">
      <alignment horizontal="center"/>
      <protection locked="0"/>
    </xf>
    <xf numFmtId="14" fontId="0" fillId="0" borderId="0" xfId="0" applyNumberFormat="1" applyProtection="1">
      <protection locked="0"/>
    </xf>
    <xf numFmtId="14" fontId="0" fillId="0" borderId="0" xfId="5" applyNumberFormat="1" applyFont="1" applyAlignment="1" applyProtection="1">
      <alignment horizontal="center"/>
      <protection locked="0"/>
    </xf>
    <xf numFmtId="0" fontId="12" fillId="0" borderId="38" xfId="0" applyFont="1" applyBorder="1"/>
    <xf numFmtId="0" fontId="0" fillId="0" borderId="1" xfId="0" applyBorder="1"/>
    <xf numFmtId="0" fontId="0" fillId="0" borderId="0" xfId="0" applyAlignment="1">
      <alignment horizontal="center" vertical="center"/>
    </xf>
    <xf numFmtId="14" fontId="20" fillId="4" borderId="0" xfId="0" applyNumberFormat="1" applyFont="1" applyFill="1" applyAlignment="1">
      <alignment horizontal="center" vertical="center"/>
    </xf>
    <xf numFmtId="0" fontId="0" fillId="11" borderId="1" xfId="0" applyFill="1" applyBorder="1" applyAlignment="1">
      <alignment horizontal="left"/>
    </xf>
    <xf numFmtId="0" fontId="21" fillId="4" borderId="0" xfId="6" applyFont="1" applyFill="1"/>
    <xf numFmtId="164" fontId="4" fillId="12" borderId="1" xfId="0" applyNumberFormat="1" applyFont="1" applyFill="1" applyBorder="1" applyAlignment="1">
      <alignment horizontal="center" vertical="center" shrinkToFit="1"/>
    </xf>
    <xf numFmtId="164" fontId="4" fillId="13" borderId="1" xfId="0" applyNumberFormat="1" applyFont="1" applyFill="1" applyBorder="1" applyAlignment="1">
      <alignment horizontal="center" vertical="center" shrinkToFit="1"/>
    </xf>
    <xf numFmtId="0" fontId="9" fillId="6" borderId="1" xfId="0" applyFont="1" applyFill="1" applyBorder="1" applyAlignment="1">
      <alignment horizontal="center" vertical="center"/>
    </xf>
    <xf numFmtId="0" fontId="9" fillId="6" borderId="1" xfId="0" applyFont="1" applyFill="1" applyBorder="1" applyAlignment="1">
      <alignment horizontal="center"/>
    </xf>
    <xf numFmtId="44" fontId="0" fillId="13" borderId="1" xfId="5" applyFont="1" applyFill="1" applyBorder="1" applyAlignment="1">
      <alignment horizontal="center" vertical="center"/>
    </xf>
    <xf numFmtId="0" fontId="0" fillId="2" borderId="1" xfId="0" applyFill="1" applyBorder="1" applyAlignment="1" applyProtection="1">
      <alignment horizontal="center" vertical="center"/>
      <protection locked="0"/>
    </xf>
    <xf numFmtId="0" fontId="9" fillId="4" borderId="0" xfId="0" applyFont="1" applyFill="1" applyAlignment="1">
      <alignment horizontal="center"/>
    </xf>
    <xf numFmtId="49" fontId="0" fillId="0" borderId="1" xfId="0" applyNumberFormat="1" applyBorder="1" applyProtection="1">
      <protection locked="0"/>
    </xf>
    <xf numFmtId="44" fontId="0" fillId="2" borderId="1" xfId="5" applyFont="1" applyFill="1" applyBorder="1" applyAlignment="1">
      <alignment horizontal="center" vertical="center"/>
    </xf>
    <xf numFmtId="0" fontId="22" fillId="14" borderId="0" xfId="0" applyFont="1" applyFill="1"/>
    <xf numFmtId="44" fontId="22" fillId="14" borderId="0" xfId="5" applyFont="1" applyFill="1" applyAlignment="1">
      <alignment wrapText="1"/>
    </xf>
    <xf numFmtId="0" fontId="22" fillId="0" borderId="0" xfId="0" applyFont="1"/>
    <xf numFmtId="14" fontId="22" fillId="0" borderId="0" xfId="0" applyNumberFormat="1" applyFont="1"/>
    <xf numFmtId="0" fontId="22" fillId="0" borderId="0" xfId="0" applyFont="1" applyAlignment="1">
      <alignment horizontal="center" vertical="center" wrapText="1"/>
    </xf>
    <xf numFmtId="0" fontId="9" fillId="0" borderId="0" xfId="0" applyFont="1"/>
    <xf numFmtId="0" fontId="24" fillId="0" borderId="0" xfId="0" applyFont="1"/>
    <xf numFmtId="14" fontId="0" fillId="15" borderId="0" xfId="0" applyNumberFormat="1" applyFill="1"/>
    <xf numFmtId="0" fontId="12" fillId="0" borderId="39" xfId="0" applyFont="1" applyBorder="1"/>
    <xf numFmtId="0" fontId="0" fillId="0" borderId="0" xfId="0" applyAlignment="1">
      <alignment horizontal="center" vertical="center" wrapText="1"/>
    </xf>
    <xf numFmtId="44" fontId="0" fillId="0" borderId="0" xfId="5" applyFont="1" applyAlignment="1">
      <alignment wrapText="1"/>
    </xf>
    <xf numFmtId="44" fontId="0" fillId="0" borderId="0" xfId="5" applyFont="1"/>
    <xf numFmtId="44" fontId="23" fillId="0" borderId="0" xfId="5" applyFont="1"/>
    <xf numFmtId="0" fontId="0" fillId="0" borderId="42" xfId="0" applyBorder="1" applyAlignment="1">
      <alignment horizontal="center" vertical="center" wrapText="1"/>
    </xf>
    <xf numFmtId="14" fontId="0" fillId="0" borderId="0" xfId="0" applyNumberFormat="1" applyAlignment="1">
      <alignment vertical="center"/>
    </xf>
    <xf numFmtId="0" fontId="0" fillId="0" borderId="42" xfId="0" applyBorder="1" applyAlignment="1">
      <alignment vertical="center"/>
    </xf>
    <xf numFmtId="44" fontId="0" fillId="0" borderId="42" xfId="5" applyFont="1" applyBorder="1" applyAlignment="1">
      <alignment vertical="center" wrapText="1"/>
    </xf>
    <xf numFmtId="44" fontId="0" fillId="0" borderId="42" xfId="5" applyFont="1" applyBorder="1" applyAlignment="1">
      <alignment vertical="center"/>
    </xf>
    <xf numFmtId="0" fontId="9" fillId="0" borderId="0" xfId="0" applyFont="1" applyAlignment="1">
      <alignment horizontal="center" vertical="center"/>
    </xf>
    <xf numFmtId="14" fontId="9" fillId="0" borderId="0" xfId="0" applyNumberFormat="1" applyFont="1" applyAlignment="1">
      <alignment horizontal="center" vertical="center"/>
    </xf>
    <xf numFmtId="0" fontId="0" fillId="0" borderId="9" xfId="0" applyBorder="1" applyAlignment="1">
      <alignment vertical="center"/>
    </xf>
    <xf numFmtId="0" fontId="0" fillId="0" borderId="9" xfId="0" applyBorder="1" applyAlignment="1">
      <alignment horizontal="center" vertical="center" wrapText="1"/>
    </xf>
    <xf numFmtId="44" fontId="0" fillId="0" borderId="9" xfId="5" applyFont="1" applyBorder="1" applyAlignment="1">
      <alignment vertical="center" wrapText="1"/>
    </xf>
    <xf numFmtId="44" fontId="0" fillId="0" borderId="9" xfId="5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22" xfId="0" applyBorder="1" applyAlignment="1">
      <alignment horizontal="center" vertical="center" wrapText="1"/>
    </xf>
    <xf numFmtId="44" fontId="0" fillId="0" borderId="22" xfId="5" applyFont="1" applyBorder="1" applyAlignment="1">
      <alignment vertical="center" wrapText="1"/>
    </xf>
    <xf numFmtId="44" fontId="0" fillId="0" borderId="22" xfId="5" applyFont="1" applyBorder="1" applyAlignment="1">
      <alignment vertical="center"/>
    </xf>
    <xf numFmtId="0" fontId="0" fillId="16" borderId="42" xfId="0" applyFill="1" applyBorder="1" applyAlignment="1">
      <alignment vertical="center"/>
    </xf>
    <xf numFmtId="0" fontId="0" fillId="16" borderId="42" xfId="0" applyFill="1" applyBorder="1" applyAlignment="1">
      <alignment horizontal="center" vertical="center" wrapText="1"/>
    </xf>
    <xf numFmtId="44" fontId="0" fillId="16" borderId="42" xfId="5" applyFont="1" applyFill="1" applyBorder="1" applyAlignment="1">
      <alignment vertical="center" wrapText="1"/>
    </xf>
    <xf numFmtId="44" fontId="0" fillId="16" borderId="42" xfId="5" applyFont="1" applyFill="1" applyBorder="1" applyAlignment="1">
      <alignment vertical="center"/>
    </xf>
    <xf numFmtId="0" fontId="9" fillId="2" borderId="0" xfId="0" applyFont="1" applyFill="1" applyAlignment="1">
      <alignment vertical="center"/>
    </xf>
    <xf numFmtId="0" fontId="20" fillId="17" borderId="26" xfId="0" applyFont="1" applyFill="1" applyBorder="1" applyAlignment="1">
      <alignment horizontal="right" vertical="center"/>
    </xf>
    <xf numFmtId="0" fontId="20" fillId="17" borderId="43" xfId="0" applyFont="1" applyFill="1" applyBorder="1" applyAlignment="1">
      <alignment vertical="center"/>
    </xf>
    <xf numFmtId="0" fontId="20" fillId="17" borderId="44" xfId="0" applyFont="1" applyFill="1" applyBorder="1" applyAlignment="1">
      <alignment vertical="center"/>
    </xf>
    <xf numFmtId="0" fontId="0" fillId="2" borderId="0" xfId="0" applyFill="1" applyAlignment="1">
      <alignment vertical="center"/>
    </xf>
    <xf numFmtId="0" fontId="26" fillId="18" borderId="10" xfId="0" applyFont="1" applyFill="1" applyBorder="1" applyAlignment="1">
      <alignment horizontal="center" vertical="center" wrapText="1"/>
    </xf>
    <xf numFmtId="0" fontId="26" fillId="18" borderId="11" xfId="0" applyFont="1" applyFill="1" applyBorder="1" applyAlignment="1">
      <alignment horizontal="center" vertical="center"/>
    </xf>
    <xf numFmtId="0" fontId="26" fillId="18" borderId="11" xfId="0" applyFont="1" applyFill="1" applyBorder="1" applyAlignment="1">
      <alignment horizontal="center" vertical="center" wrapText="1"/>
    </xf>
    <xf numFmtId="44" fontId="26" fillId="18" borderId="11" xfId="5" applyFont="1" applyFill="1" applyBorder="1" applyAlignment="1">
      <alignment horizontal="center" vertical="center" wrapText="1"/>
    </xf>
    <xf numFmtId="0" fontId="26" fillId="18" borderId="14" xfId="0" applyFont="1" applyFill="1" applyBorder="1" applyAlignment="1">
      <alignment horizontal="center" vertical="center"/>
    </xf>
    <xf numFmtId="0" fontId="20" fillId="17" borderId="45" xfId="0" applyFont="1" applyFill="1" applyBorder="1" applyAlignment="1">
      <alignment horizontal="right" vertical="center"/>
    </xf>
    <xf numFmtId="0" fontId="0" fillId="0" borderId="9" xfId="0" applyBorder="1" applyAlignment="1">
      <alignment vertical="center" wrapText="1"/>
    </xf>
    <xf numFmtId="0" fontId="0" fillId="0" borderId="42" xfId="0" applyBorder="1" applyAlignment="1">
      <alignment vertical="center" wrapText="1"/>
    </xf>
    <xf numFmtId="0" fontId="0" fillId="0" borderId="22" xfId="0" applyBorder="1" applyAlignment="1">
      <alignment vertical="center" wrapText="1"/>
    </xf>
    <xf numFmtId="0" fontId="0" fillId="16" borderId="42" xfId="0" applyFill="1" applyBorder="1" applyAlignment="1">
      <alignment vertical="center" wrapText="1"/>
    </xf>
    <xf numFmtId="0" fontId="0" fillId="0" borderId="0" xfId="0" applyAlignment="1">
      <alignment vertical="center" wrapText="1"/>
    </xf>
    <xf numFmtId="0" fontId="25" fillId="15" borderId="0" xfId="0" applyFont="1" applyFill="1" applyAlignment="1">
      <alignment horizontal="center" vertical="center"/>
    </xf>
    <xf numFmtId="43" fontId="20" fillId="17" borderId="43" xfId="1" applyFont="1" applyFill="1" applyBorder="1" applyAlignment="1">
      <alignment vertical="center"/>
    </xf>
    <xf numFmtId="43" fontId="27" fillId="18" borderId="11" xfId="1" applyFont="1" applyFill="1" applyBorder="1" applyAlignment="1">
      <alignment horizontal="center" vertical="center" wrapText="1"/>
    </xf>
    <xf numFmtId="43" fontId="9" fillId="0" borderId="9" xfId="1" applyFont="1" applyBorder="1" applyAlignment="1">
      <alignment vertical="center" wrapText="1"/>
    </xf>
    <xf numFmtId="43" fontId="9" fillId="0" borderId="42" xfId="1" applyFont="1" applyBorder="1" applyAlignment="1">
      <alignment vertical="center" wrapText="1"/>
    </xf>
    <xf numFmtId="43" fontId="9" fillId="0" borderId="22" xfId="1" applyFont="1" applyBorder="1" applyAlignment="1">
      <alignment vertical="center" wrapText="1"/>
    </xf>
    <xf numFmtId="43" fontId="9" fillId="16" borderId="42" xfId="1" applyFont="1" applyFill="1" applyBorder="1" applyAlignment="1">
      <alignment vertical="center" wrapText="1"/>
    </xf>
    <xf numFmtId="43" fontId="9" fillId="0" borderId="0" xfId="1" applyFont="1" applyAlignment="1">
      <alignment vertical="center"/>
    </xf>
    <xf numFmtId="0" fontId="26" fillId="17" borderId="44" xfId="0" applyFont="1" applyFill="1" applyBorder="1" applyAlignment="1">
      <alignment vertical="center"/>
    </xf>
    <xf numFmtId="0" fontId="11" fillId="19" borderId="0" xfId="6" applyFill="1"/>
    <xf numFmtId="0" fontId="0" fillId="19" borderId="0" xfId="0" applyFill="1"/>
    <xf numFmtId="14" fontId="0" fillId="19" borderId="0" xfId="0" applyNumberFormat="1" applyFill="1"/>
    <xf numFmtId="0" fontId="0" fillId="19" borderId="0" xfId="0" applyFill="1" applyAlignment="1">
      <alignment horizontal="center" vertical="center" wrapText="1"/>
    </xf>
    <xf numFmtId="44" fontId="0" fillId="19" borderId="0" xfId="5" applyFont="1" applyFill="1" applyAlignment="1">
      <alignment wrapText="1"/>
    </xf>
    <xf numFmtId="0" fontId="11" fillId="0" borderId="0" xfId="6" applyAlignment="1">
      <alignment vertical="center" wrapText="1"/>
    </xf>
    <xf numFmtId="14" fontId="0" fillId="0" borderId="0" xfId="0" applyNumberFormat="1" applyAlignment="1">
      <alignment vertical="center" wrapText="1"/>
    </xf>
    <xf numFmtId="14" fontId="0" fillId="0" borderId="0" xfId="0" applyNumberFormat="1" applyAlignment="1">
      <alignment horizontal="center" vertical="center"/>
    </xf>
    <xf numFmtId="44" fontId="0" fillId="0" borderId="0" xfId="5" applyFont="1" applyAlignment="1">
      <alignment vertical="center" wrapText="1"/>
    </xf>
    <xf numFmtId="44" fontId="0" fillId="0" borderId="0" xfId="5" applyFont="1" applyAlignment="1">
      <alignment horizontal="center" vertical="center"/>
    </xf>
    <xf numFmtId="0" fontId="12" fillId="0" borderId="46" xfId="0" applyFont="1" applyBorder="1"/>
    <xf numFmtId="43" fontId="0" fillId="0" borderId="0" xfId="1" applyFont="1" applyAlignment="1">
      <alignment vertical="center" wrapText="1"/>
    </xf>
    <xf numFmtId="0" fontId="0" fillId="7" borderId="42" xfId="0" applyFill="1" applyBorder="1" applyAlignment="1">
      <alignment horizontal="center" vertical="center"/>
    </xf>
    <xf numFmtId="44" fontId="9" fillId="0" borderId="0" xfId="5" applyFont="1" applyAlignment="1">
      <alignment vertical="center" wrapText="1"/>
    </xf>
    <xf numFmtId="0" fontId="0" fillId="0" borderId="0" xfId="0" applyFill="1" applyAlignment="1">
      <alignment vertical="center" wrapText="1"/>
    </xf>
    <xf numFmtId="14" fontId="0" fillId="0" borderId="0" xfId="0" applyNumberFormat="1" applyFill="1" applyAlignment="1">
      <alignment vertical="center" wrapText="1"/>
    </xf>
    <xf numFmtId="14" fontId="0" fillId="0" borderId="0" xfId="0" applyNumberFormat="1" applyFill="1" applyAlignment="1">
      <alignment horizontal="center" vertical="center"/>
    </xf>
    <xf numFmtId="44" fontId="0" fillId="0" borderId="0" xfId="5" applyFont="1" applyFill="1" applyAlignment="1">
      <alignment vertical="center" wrapText="1"/>
    </xf>
    <xf numFmtId="0" fontId="0" fillId="0" borderId="0" xfId="0" applyFill="1" applyAlignment="1">
      <alignment horizontal="center" vertical="center" wrapText="1"/>
    </xf>
    <xf numFmtId="44" fontId="0" fillId="0" borderId="0" xfId="5" applyFont="1" applyFill="1" applyAlignment="1">
      <alignment horizontal="center" vertical="center"/>
    </xf>
    <xf numFmtId="0" fontId="0" fillId="0" borderId="0" xfId="0" applyNumberFormat="1"/>
    <xf numFmtId="0" fontId="12" fillId="0" borderId="47" xfId="0" applyFont="1" applyFill="1" applyBorder="1"/>
    <xf numFmtId="0" fontId="0" fillId="0" borderId="0" xfId="0" applyBorder="1"/>
    <xf numFmtId="0" fontId="12" fillId="0" borderId="24" xfId="0" applyFont="1" applyFill="1" applyBorder="1"/>
    <xf numFmtId="0" fontId="12" fillId="0" borderId="47" xfId="0" applyFont="1" applyBorder="1"/>
    <xf numFmtId="166" fontId="9" fillId="0" borderId="0" xfId="0" applyNumberFormat="1" applyFont="1" applyAlignment="1">
      <alignment horizontal="center"/>
    </xf>
    <xf numFmtId="166" fontId="0" fillId="0" borderId="0" xfId="0" applyNumberFormat="1"/>
    <xf numFmtId="0" fontId="0" fillId="7" borderId="42" xfId="0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0" fillId="15" borderId="0" xfId="0" applyFill="1"/>
    <xf numFmtId="0" fontId="29" fillId="0" borderId="0" xfId="6" applyFont="1" applyAlignment="1">
      <alignment vertical="center" wrapText="1"/>
    </xf>
    <xf numFmtId="0" fontId="28" fillId="0" borderId="0" xfId="0" applyFont="1" applyFill="1" applyAlignment="1">
      <alignment vertical="center" wrapText="1"/>
    </xf>
    <xf numFmtId="14" fontId="28" fillId="0" borderId="0" xfId="0" applyNumberFormat="1" applyFont="1" applyFill="1" applyAlignment="1">
      <alignment vertical="center" wrapText="1"/>
    </xf>
    <xf numFmtId="14" fontId="28" fillId="0" borderId="0" xfId="0" applyNumberFormat="1" applyFont="1" applyFill="1" applyAlignment="1">
      <alignment horizontal="center" vertical="center"/>
    </xf>
    <xf numFmtId="44" fontId="28" fillId="0" borderId="0" xfId="5" applyFont="1" applyFill="1" applyAlignment="1">
      <alignment vertical="center" wrapText="1"/>
    </xf>
    <xf numFmtId="0" fontId="28" fillId="0" borderId="0" xfId="0" applyFont="1" applyFill="1" applyAlignment="1">
      <alignment horizontal="center" vertical="center" wrapText="1"/>
    </xf>
    <xf numFmtId="44" fontId="28" fillId="0" borderId="0" xfId="5" applyFont="1" applyFill="1" applyAlignment="1">
      <alignment horizontal="center" vertical="center"/>
    </xf>
    <xf numFmtId="44" fontId="28" fillId="0" borderId="0" xfId="5" applyFont="1"/>
    <xf numFmtId="0" fontId="28" fillId="0" borderId="0" xfId="0" applyFont="1" applyAlignment="1">
      <alignment vertical="center" wrapText="1"/>
    </xf>
    <xf numFmtId="0" fontId="0" fillId="0" borderId="0" xfId="0" applyNumberFormat="1" applyBorder="1" applyAlignment="1">
      <alignment horizontal="center"/>
    </xf>
    <xf numFmtId="0" fontId="0" fillId="2" borderId="0" xfId="0" applyNumberFormat="1" applyFill="1" applyBorder="1" applyAlignment="1">
      <alignment horizontal="center"/>
    </xf>
    <xf numFmtId="0" fontId="0" fillId="0" borderId="0" xfId="0" applyBorder="1" applyAlignment="1">
      <alignment horizontal="center"/>
    </xf>
    <xf numFmtId="0" fontId="12" fillId="0" borderId="41" xfId="0" applyFont="1" applyBorder="1" applyAlignment="1">
      <alignment vertical="center"/>
    </xf>
    <xf numFmtId="0" fontId="12" fillId="0" borderId="40" xfId="0" applyFont="1" applyFill="1" applyBorder="1"/>
    <xf numFmtId="0" fontId="19" fillId="0" borderId="24" xfId="0" applyFont="1" applyBorder="1"/>
    <xf numFmtId="0" fontId="0" fillId="0" borderId="0" xfId="0" pivotButton="1" applyBorder="1" applyAlignment="1">
      <alignment horizontal="center"/>
    </xf>
    <xf numFmtId="0" fontId="0" fillId="0" borderId="0" xfId="0" applyBorder="1" applyAlignment="1">
      <alignment horizontal="left"/>
    </xf>
    <xf numFmtId="0" fontId="0" fillId="0" borderId="0" xfId="0" pivotButton="1" applyBorder="1" applyAlignment="1">
      <alignment horizontal="left"/>
    </xf>
    <xf numFmtId="0" fontId="0" fillId="2" borderId="0" xfId="0" applyFill="1" applyBorder="1" applyAlignment="1">
      <alignment horizontal="left"/>
    </xf>
    <xf numFmtId="0" fontId="12" fillId="0" borderId="48" xfId="0" applyFont="1" applyFill="1" applyBorder="1"/>
    <xf numFmtId="0" fontId="10" fillId="4" borderId="0" xfId="0" applyFont="1" applyFill="1" applyAlignment="1">
      <alignment horizontal="center"/>
    </xf>
    <xf numFmtId="0" fontId="20" fillId="17" borderId="43" xfId="0" applyFont="1" applyFill="1" applyBorder="1" applyAlignment="1">
      <alignment horizontal="left" vertical="center"/>
    </xf>
    <xf numFmtId="0" fontId="13" fillId="9" borderId="26" xfId="0" applyFont="1" applyFill="1" applyBorder="1" applyAlignment="1">
      <alignment horizontal="center"/>
    </xf>
    <xf numFmtId="0" fontId="13" fillId="9" borderId="27" xfId="0" applyFont="1" applyFill="1" applyBorder="1" applyAlignment="1">
      <alignment horizontal="center"/>
    </xf>
    <xf numFmtId="0" fontId="13" fillId="9" borderId="28" xfId="0" applyFont="1" applyFill="1" applyBorder="1" applyAlignment="1">
      <alignment horizontal="center"/>
    </xf>
    <xf numFmtId="0" fontId="5" fillId="0" borderId="13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 shrinkToFit="1"/>
    </xf>
    <xf numFmtId="0" fontId="5" fillId="0" borderId="6" xfId="0" applyFont="1" applyBorder="1" applyAlignment="1">
      <alignment horizontal="center" vertical="center" shrinkToFit="1"/>
    </xf>
    <xf numFmtId="0" fontId="5" fillId="0" borderId="7" xfId="0" applyFont="1" applyBorder="1" applyAlignment="1">
      <alignment horizontal="center" vertical="center" shrinkToFit="1"/>
    </xf>
    <xf numFmtId="17" fontId="4" fillId="0" borderId="0" xfId="0" applyNumberFormat="1" applyFont="1" applyAlignment="1">
      <alignment horizontal="center" vertical="center" shrinkToFit="1"/>
    </xf>
  </cellXfs>
  <cellStyles count="7">
    <cellStyle name="Hiperlink" xfId="6" builtinId="8"/>
    <cellStyle name="Moeda" xfId="5" builtinId="4"/>
    <cellStyle name="Normal" xfId="0" builtinId="0"/>
    <cellStyle name="Normal 2" xfId="3"/>
    <cellStyle name="Vírgula" xfId="1" builtinId="3"/>
    <cellStyle name="Vírgula 2" xfId="4"/>
    <cellStyle name="Vírgula 3" xfId="2"/>
  </cellStyles>
  <dxfs count="258"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  <strike val="0"/>
      </font>
    </dxf>
    <dxf>
      <font>
        <b/>
        <i val="0"/>
      </font>
    </dxf>
    <dxf>
      <font>
        <b/>
        <i val="0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0"/>
      <alignment horizontal="center" vertical="center" textRotation="0" wrapText="0" indent="0" justifyLastLine="0" shrinkToFit="1" readingOrder="0"/>
    </dxf>
    <dxf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Calibri"/>
        <scheme val="minor"/>
      </font>
      <numFmt numFmtId="164" formatCode="00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1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bottom style="thin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scheme val="minor"/>
      </font>
      <fill>
        <patternFill patternType="none">
          <fgColor indexed="64"/>
          <bgColor indexed="65"/>
        </patternFill>
      </fill>
      <border diagonalUp="0" diagonalDown="0">
        <left style="medium">
          <color indexed="64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border>
        <top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vertical/>
      </border>
    </dxf>
    <dxf>
      <border>
        <top/>
        <vertical/>
        <horizontal/>
      </border>
    </dxf>
    <dxf>
      <border>
        <top/>
        <vertical/>
        <horizontal/>
      </border>
    </dxf>
    <dxf>
      <border>
        <top/>
        <vertical/>
        <horizontal/>
      </border>
    </dxf>
    <dxf>
      <border>
        <top/>
        <vertical/>
        <horizontal/>
      </border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alignment horizontal="left"/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</border>
    </dxf>
    <dxf>
      <border>
        <left/>
        <right/>
        <bottom/>
        <horizontal/>
      </border>
    </dxf>
    <dxf>
      <border>
        <left/>
        <right/>
        <bottom/>
        <horizontal/>
      </border>
    </dxf>
    <dxf>
      <border>
        <left/>
        <right/>
        <bottom/>
        <horizontal/>
      </border>
    </dxf>
    <dxf>
      <border>
        <left/>
        <right/>
        <bottom/>
        <horizontal/>
      </border>
    </dxf>
    <dxf>
      <border>
        <left/>
        <right/>
        <bottom/>
        <horizontal/>
      </border>
    </dxf>
    <dxf>
      <border>
        <left/>
        <right/>
        <bottom/>
        <horizontal/>
      </border>
    </dxf>
    <dxf>
      <border>
        <left/>
        <right/>
        <bottom/>
        <horizontal/>
      </border>
    </dxf>
    <dxf>
      <border>
        <left/>
        <right/>
        <bottom/>
        <horizontal/>
      </border>
    </dxf>
    <dxf>
      <border>
        <left/>
        <right/>
        <bottom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/>
        <right/>
        <top/>
        <bottom/>
        <vertical/>
        <horizontal/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top style="thin">
          <color indexed="64"/>
        </top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vertical style="thin">
          <color indexed="64"/>
        </vertic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fill>
        <patternFill>
          <bgColor theme="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alignment horizontal="center"/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theme="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 patternType="solid">
          <bgColor rgb="FF00B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solid">
          <bgColor rgb="FFFFFF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alignment horizontal="center" readingOrder="0"/>
    </dxf>
    <dxf>
      <alignment horizontal="center" readingOrder="0"/>
    </dxf>
    <dxf>
      <alignment horizontal="center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ill>
        <patternFill patternType="none">
          <fgColor indexed="64"/>
          <bgColor indexed="65"/>
        </patternFill>
      </fill>
      <alignment horizontal="center" vertical="center" textRotation="0" indent="0" justifyLastLine="0" shrinkToFit="0" readingOrder="0"/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numFmt numFmtId="19" formatCode="dd/mm/yyyy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numFmt numFmtId="19" formatCode="dd/mm/yyyy"/>
      <fill>
        <patternFill patternType="none">
          <fgColor indexed="64"/>
          <bgColor indexed="65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</dxf>
    <dxf>
      <fill>
        <patternFill patternType="none">
          <fgColor indexed="64"/>
          <bgColor auto="1"/>
        </patternFill>
      </fill>
      <alignment horizontal="general" vertical="center" textRotation="0" wrapText="1" indent="0" justifyLastLine="0" shrinkToFit="0" readingOrder="0"/>
    </dxf>
    <dxf>
      <numFmt numFmtId="166" formatCode="dd/mm/yy;@"/>
    </dxf>
    <dxf>
      <numFmt numFmtId="0" formatCode="General"/>
      <alignment horizontal="left" textRotation="0" indent="0" justifyLastLine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9" defaultPivotStyle="PivotStyleLight16"/>
  <colors>
    <mruColors>
      <color rgb="FFFFFF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ustomXml" Target="../customXml/item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pivotCacheDefinition" Target="pivotCache/pivotCacheDefinition1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1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PIZZA 04-11-2020 (copia 04-10-19).xlsm]Quantitativo!Tabela dinâmica1</c:name>
    <c:fmtId val="0"/>
  </c:pivotSource>
  <c:chart>
    <c:title>
      <c:tx>
        <c:rich>
          <a:bodyPr/>
          <a:lstStyle/>
          <a:p>
            <a:pPr>
              <a:defRPr/>
            </a:pPr>
            <a:r>
              <a:rPr lang="pt-BR"/>
              <a:t>PIZZAS</a:t>
            </a:r>
            <a:r>
              <a:rPr lang="pt-BR" baseline="0"/>
              <a:t> PEDIDAS </a:t>
            </a:r>
            <a:endParaRPr lang="pt-BR"/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2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3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4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5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  <c:pivotFmt>
        <c:idx val="6"/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wrap="square" lIns="38100" tIns="19050" rIns="38100" bIns="19050" anchor="ctr">
              <a:spAutoFit/>
            </a:bodyPr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Quantitativo!$B$1:$B$2</c:f>
              <c:strCache>
                <c:ptCount val="1"/>
                <c:pt idx="0">
                  <c:v>07/06/2018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Quantitativo!$A$3:$A$9</c:f>
              <c:strCache>
                <c:ptCount val="6"/>
                <c:pt idx="0">
                  <c:v>CALABRESA</c:v>
                </c:pt>
                <c:pt idx="1">
                  <c:v>LOMBINHO</c:v>
                </c:pt>
                <c:pt idx="2">
                  <c:v>MISTA </c:v>
                </c:pt>
                <c:pt idx="3">
                  <c:v>MUSSARELA</c:v>
                </c:pt>
                <c:pt idx="4">
                  <c:v>(vazio)</c:v>
                </c:pt>
                <c:pt idx="5">
                  <c:v>ESPECIAL </c:v>
                </c:pt>
              </c:strCache>
            </c:strRef>
          </c:cat>
          <c:val>
            <c:numRef>
              <c:f>Quantitativo!$B$3:$B$9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30</c:v>
                </c:pt>
                <c:pt idx="3">
                  <c:v>10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37F2-4C26-9575-603DF17A8685}"/>
            </c:ext>
          </c:extLst>
        </c:ser>
        <c:ser>
          <c:idx val="1"/>
          <c:order val="1"/>
          <c:tx>
            <c:strRef>
              <c:f>Quantitativo!$C$1:$C$2</c:f>
              <c:strCache>
                <c:ptCount val="1"/>
                <c:pt idx="0">
                  <c:v>06/06/2018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Quantitativo!$A$3:$A$9</c:f>
              <c:strCache>
                <c:ptCount val="6"/>
                <c:pt idx="0">
                  <c:v>CALABRESA</c:v>
                </c:pt>
                <c:pt idx="1">
                  <c:v>LOMBINHO</c:v>
                </c:pt>
                <c:pt idx="2">
                  <c:v>MISTA </c:v>
                </c:pt>
                <c:pt idx="3">
                  <c:v>MUSSARELA</c:v>
                </c:pt>
                <c:pt idx="4">
                  <c:v>(vazio)</c:v>
                </c:pt>
                <c:pt idx="5">
                  <c:v>ESPECIAL </c:v>
                </c:pt>
              </c:strCache>
            </c:strRef>
          </c:cat>
          <c:val>
            <c:numRef>
              <c:f>Quantitativo!$C$3:$C$9</c:f>
              <c:numCache>
                <c:formatCode>General</c:formatCode>
                <c:ptCount val="6"/>
                <c:pt idx="0">
                  <c:v>22</c:v>
                </c:pt>
                <c:pt idx="1">
                  <c:v>9</c:v>
                </c:pt>
                <c:pt idx="2">
                  <c:v>31</c:v>
                </c:pt>
                <c:pt idx="3">
                  <c:v>18</c:v>
                </c:pt>
                <c:pt idx="5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1-37F2-4C26-9575-603DF17A8685}"/>
            </c:ext>
          </c:extLst>
        </c:ser>
        <c:ser>
          <c:idx val="2"/>
          <c:order val="2"/>
          <c:tx>
            <c:strRef>
              <c:f>Quantitativo!$D$1:$D$2</c:f>
              <c:strCache>
                <c:ptCount val="1"/>
                <c:pt idx="0">
                  <c:v>08/06/2018</c:v>
                </c:pt>
              </c:strCache>
            </c:strRef>
          </c:tx>
          <c:dLbls>
            <c:spPr>
              <a:noFill/>
              <a:ln>
                <a:noFill/>
              </a:ln>
              <a:effectLst/>
            </c:spPr>
            <c:txPr>
              <a:bodyPr wrap="square" lIns="38100" tIns="19050" rIns="38100" bIns="19050" anchor="ctr">
                <a:spAutoFit/>
              </a:bodyPr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Quantitativo!$A$3:$A$9</c:f>
              <c:strCache>
                <c:ptCount val="6"/>
                <c:pt idx="0">
                  <c:v>CALABRESA</c:v>
                </c:pt>
                <c:pt idx="1">
                  <c:v>LOMBINHO</c:v>
                </c:pt>
                <c:pt idx="2">
                  <c:v>MISTA </c:v>
                </c:pt>
                <c:pt idx="3">
                  <c:v>MUSSARELA</c:v>
                </c:pt>
                <c:pt idx="4">
                  <c:v>(vazio)</c:v>
                </c:pt>
                <c:pt idx="5">
                  <c:v>ESPECIAL </c:v>
                </c:pt>
              </c:strCache>
            </c:strRef>
          </c:cat>
          <c:val>
            <c:numRef>
              <c:f>Quantitativo!$D$3:$D$9</c:f>
              <c:numCache>
                <c:formatCode>General</c:formatCode>
                <c:ptCount val="6"/>
                <c:pt idx="0">
                  <c:v>12</c:v>
                </c:pt>
                <c:pt idx="1">
                  <c:v>2</c:v>
                </c:pt>
                <c:pt idx="2">
                  <c:v>19</c:v>
                </c:pt>
                <c:pt idx="3">
                  <c:v>1</c:v>
                </c:pt>
                <c:pt idx="5">
                  <c:v>2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2-37F2-4C26-9575-603DF17A868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152" footer="0.3149606200000015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PIZZA 04-11-2020 (copia 04-10-19).xlsm]Quantitativo!Tabela dinâmica2</c:name>
    <c:fmtId val="4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VENDAS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dLblPos val="bestFit"/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Quantitativo!$B$18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dLblPos val="bestFit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Quantitativo!$A$19:$A$34</c:f>
              <c:strCache>
                <c:ptCount val="15"/>
                <c:pt idx="0">
                  <c:v>CÁSSIA</c:v>
                </c:pt>
                <c:pt idx="1">
                  <c:v>CEDEL</c:v>
                </c:pt>
                <c:pt idx="2">
                  <c:v>FELIPE</c:v>
                </c:pt>
                <c:pt idx="3">
                  <c:v>GABRIEL</c:v>
                </c:pt>
                <c:pt idx="4">
                  <c:v>JOSÉ LUIZ</c:v>
                </c:pt>
                <c:pt idx="5">
                  <c:v>LEONIDAS</c:v>
                </c:pt>
                <c:pt idx="6">
                  <c:v>LEVY</c:v>
                </c:pt>
                <c:pt idx="7">
                  <c:v>MARIA LÚCIA</c:v>
                </c:pt>
                <c:pt idx="8">
                  <c:v>RODOLFO</c:v>
                </c:pt>
                <c:pt idx="9">
                  <c:v>VICENTINA</c:v>
                </c:pt>
                <c:pt idx="10">
                  <c:v>XANDE/ELIS</c:v>
                </c:pt>
                <c:pt idx="11">
                  <c:v>FERNANDA SPOSITO</c:v>
                </c:pt>
                <c:pt idx="12">
                  <c:v>PRISCILLA</c:v>
                </c:pt>
                <c:pt idx="13">
                  <c:v>MARIA ADRIANA VIDIGAL </c:v>
                </c:pt>
                <c:pt idx="14">
                  <c:v>MI/LEANDRO</c:v>
                </c:pt>
              </c:strCache>
            </c:strRef>
          </c:cat>
          <c:val>
            <c:numRef>
              <c:f>Quantitativo!$B$19:$B$34</c:f>
              <c:numCache>
                <c:formatCode>General</c:formatCode>
                <c:ptCount val="15"/>
                <c:pt idx="0">
                  <c:v>6</c:v>
                </c:pt>
                <c:pt idx="1">
                  <c:v>20</c:v>
                </c:pt>
                <c:pt idx="2">
                  <c:v>7</c:v>
                </c:pt>
                <c:pt idx="3">
                  <c:v>6</c:v>
                </c:pt>
                <c:pt idx="4">
                  <c:v>11</c:v>
                </c:pt>
                <c:pt idx="5">
                  <c:v>10</c:v>
                </c:pt>
                <c:pt idx="6">
                  <c:v>16</c:v>
                </c:pt>
                <c:pt idx="7">
                  <c:v>36</c:v>
                </c:pt>
                <c:pt idx="8">
                  <c:v>4</c:v>
                </c:pt>
                <c:pt idx="9">
                  <c:v>1</c:v>
                </c:pt>
                <c:pt idx="10">
                  <c:v>25</c:v>
                </c:pt>
                <c:pt idx="11">
                  <c:v>9</c:v>
                </c:pt>
                <c:pt idx="12">
                  <c:v>7</c:v>
                </c:pt>
                <c:pt idx="13">
                  <c:v>2</c:v>
                </c:pt>
                <c:pt idx="14">
                  <c:v>7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06E6-468F-A583-BFC1B74A9665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152" footer="0.3149606200000015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[CONTROLE PIZZA 04-11-2020 (copia 04-10-19).xlsm]Quantitativo!Tabela dinâmica3</c:name>
    <c:fmtId val="5"/>
  </c:pivotSource>
  <c:chart>
    <c:title>
      <c:tx>
        <c:rich>
          <a:bodyPr/>
          <a:lstStyle/>
          <a:p>
            <a:pPr>
              <a:defRPr/>
            </a:pPr>
            <a:r>
              <a:rPr lang="en-US"/>
              <a:t>Pagamentos</a:t>
            </a:r>
          </a:p>
        </c:rich>
      </c:tx>
      <c:overlay val="0"/>
    </c:title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  <c:dLbl>
          <c:idx val="0"/>
          <c:spPr/>
          <c:txPr>
            <a:bodyPr/>
            <a:lstStyle/>
            <a:p>
              <a:pPr>
                <a:defRPr/>
              </a:pPr>
              <a:endParaRPr lang="pt-BR"/>
            </a:p>
          </c:txPr>
          <c:showLegendKey val="0"/>
          <c:showVal val="0"/>
          <c:showCatName val="0"/>
          <c:showSerName val="0"/>
          <c:showPercent val="1"/>
          <c:showBubbleSize val="0"/>
          <c:extLst xmlns:c16r2="http://schemas.microsoft.com/office/drawing/2015/06/chart">
            <c:ext xmlns:c15="http://schemas.microsoft.com/office/drawing/2012/chart" uri="{CE6537A1-D6FC-4f65-9D91-7224C49458BB}"/>
          </c:extLst>
        </c:dLbl>
      </c:pivotFmt>
    </c:pivotFmts>
    <c:plotArea>
      <c:layout/>
      <c:pieChart>
        <c:varyColors val="1"/>
        <c:ser>
          <c:idx val="0"/>
          <c:order val="0"/>
          <c:tx>
            <c:strRef>
              <c:f>Quantitativo!$B$39</c:f>
              <c:strCache>
                <c:ptCount val="1"/>
                <c:pt idx="0">
                  <c:v>Total</c:v>
                </c:pt>
              </c:strCache>
            </c:strRef>
          </c:tx>
          <c:dLbls>
            <c:spPr/>
            <c:txPr>
              <a:bodyPr/>
              <a:lstStyle/>
              <a:p>
                <a:pPr>
                  <a:defRPr/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extLst>
              <c:ext xmlns:c15="http://schemas.microsoft.com/office/drawing/2012/chart" uri="{CE6537A1-D6FC-4f65-9D91-7224C49458BB}"/>
            </c:extLst>
          </c:dLbls>
          <c:cat>
            <c:strRef>
              <c:f>Quantitativo!$A$40:$A$44</c:f>
              <c:strCache>
                <c:ptCount val="4"/>
                <c:pt idx="0">
                  <c:v>ABERTO</c:v>
                </c:pt>
                <c:pt idx="1">
                  <c:v>PAGO</c:v>
                </c:pt>
                <c:pt idx="2">
                  <c:v>(vazio)</c:v>
                </c:pt>
              </c:strCache>
            </c:strRef>
          </c:cat>
          <c:val>
            <c:numRef>
              <c:f>Quantitativo!$B$40:$B$44</c:f>
              <c:numCache>
                <c:formatCode>General</c:formatCode>
                <c:ptCount val="4"/>
                <c:pt idx="0">
                  <c:v>42</c:v>
                </c:pt>
                <c:pt idx="1">
                  <c:v>544</c:v>
                </c:pt>
                <c:pt idx="2">
                  <c:v>43</c:v>
                </c:pt>
                <c:pt idx="3">
                  <c:v>2075</c:v>
                </c:pt>
              </c:numCache>
            </c:numRef>
          </c:val>
          <c:extLst xmlns:c16r2="http://schemas.microsoft.com/office/drawing/2015/06/chart">
            <c:ext xmlns:c16="http://schemas.microsoft.com/office/drawing/2014/chart" uri="{C3380CC4-5D6E-409C-BE32-E72D297353CC}">
              <c16:uniqueId val="{00000000-9B0E-4870-845D-8DC77F08563E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</c:plotArea>
    <c:legend>
      <c:legendPos val="r"/>
      <c:overlay val="0"/>
    </c:legend>
    <c:plotVisOnly val="1"/>
    <c:dispBlanksAs val="zero"/>
    <c:showDLblsOverMax val="0"/>
  </c:chart>
  <c:printSettings>
    <c:headerFooter/>
    <c:pageMargins b="0.78740157499999996" l="0.511811024" r="0.511811024" t="0.78740157499999996" header="0.31496062000000152" footer="0.31496062000000152"/>
    <c:pageSetup/>
  </c:printSettings>
  <c:extLst xmlns:c16r2="http://schemas.microsoft.com/office/drawing/2015/06/chart"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</c:extLst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CheckBox" fmlaLink="$C$5" lockText="1"/>
</file>

<file path=xl/ctrlProps/ctrlProp4.xml><?xml version="1.0" encoding="utf-8"?>
<formControlPr xmlns="http://schemas.microsoft.com/office/spreadsheetml/2009/9/main" objectType="CheckBox" lockText="1" noThreeD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png"/><Relationship Id="rId1" Type="http://schemas.openxmlformats.org/officeDocument/2006/relationships/image" Target="../media/image2.jpe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5</xdr:row>
      <xdr:rowOff>104775</xdr:rowOff>
    </xdr:from>
    <xdr:to>
      <xdr:col>7</xdr:col>
      <xdr:colOff>619125</xdr:colOff>
      <xdr:row>11</xdr:row>
      <xdr:rowOff>114300</xdr:rowOff>
    </xdr:to>
    <xdr:sp macro="" textlink="">
      <xdr:nvSpPr>
        <xdr:cNvPr id="2" name="Retângulo 1">
          <a:extLst>
            <a:ext uri="{FF2B5EF4-FFF2-40B4-BE49-F238E27FC236}">
              <a16:creationId xmlns:a16="http://schemas.microsoft.com/office/drawing/2014/main" xmlns="" id="{00000000-0008-0000-0000-000002000000}"/>
            </a:ext>
          </a:extLst>
        </xdr:cNvPr>
        <xdr:cNvSpPr/>
      </xdr:nvSpPr>
      <xdr:spPr>
        <a:xfrm>
          <a:off x="5057775" y="1133475"/>
          <a:ext cx="3267075" cy="1343025"/>
        </a:xfrm>
        <a:prstGeom prst="rect">
          <a:avLst/>
        </a:prstGeom>
        <a:noFill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228600</xdr:colOff>
          <xdr:row>13</xdr:row>
          <xdr:rowOff>161925</xdr:rowOff>
        </xdr:from>
        <xdr:to>
          <xdr:col>6</xdr:col>
          <xdr:colOff>219075</xdr:colOff>
          <xdr:row>16</xdr:row>
          <xdr:rowOff>66675</xdr:rowOff>
        </xdr:to>
        <xdr:sp macro="" textlink="">
          <xdr:nvSpPr>
            <xdr:cNvPr id="10241" name="But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1148" rIns="45720" bIns="41148" anchor="ctr" upright="1"/>
            <a:lstStyle/>
            <a:p>
              <a:pPr algn="ctr" rtl="0">
                <a:defRPr sz="1000"/>
              </a:pPr>
              <a:r>
                <a:rPr lang="pt-BR" sz="2000" b="1" i="0" u="none" strike="noStrike" baseline="0">
                  <a:solidFill>
                    <a:srgbClr val="339966"/>
                  </a:solidFill>
                  <a:latin typeface="Calibri"/>
                </a:rPr>
                <a:t>Inserir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85725</xdr:colOff>
          <xdr:row>17</xdr:row>
          <xdr:rowOff>76200</xdr:rowOff>
        </xdr:from>
        <xdr:to>
          <xdr:col>6</xdr:col>
          <xdr:colOff>428625</xdr:colOff>
          <xdr:row>19</xdr:row>
          <xdr:rowOff>152400</xdr:rowOff>
        </xdr:to>
        <xdr:sp macro="" textlink="">
          <xdr:nvSpPr>
            <xdr:cNvPr id="10242" name="Button 2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0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600" b="1" i="0" u="none" strike="noStrike" baseline="0">
                  <a:solidFill>
                    <a:srgbClr val="000000"/>
                  </a:solidFill>
                  <a:latin typeface="Calibri"/>
                </a:rPr>
                <a:t>Limpar 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3</xdr:row>
          <xdr:rowOff>0</xdr:rowOff>
        </xdr:from>
        <xdr:to>
          <xdr:col>3</xdr:col>
          <xdr:colOff>314325</xdr:colOff>
          <xdr:row>4</xdr:row>
          <xdr:rowOff>9525</xdr:rowOff>
        </xdr:to>
        <xdr:sp macro="" textlink="">
          <xdr:nvSpPr>
            <xdr:cNvPr id="10258" name="Check Box 18" descr="Outro Endereço" hidden="1">
              <a:extLst>
                <a:ext uri="{63B3BB69-23CF-44E3-9099-C40C66FF867C}">
                  <a14:compatExt spid="_x0000_s10258"/>
                </a:ext>
                <a:ext uri="{FF2B5EF4-FFF2-40B4-BE49-F238E27FC236}">
                  <a16:creationId xmlns:a16="http://schemas.microsoft.com/office/drawing/2014/main" xmlns="" id="{00000000-0008-0000-0000-00001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HOJE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47625</xdr:colOff>
          <xdr:row>12</xdr:row>
          <xdr:rowOff>0</xdr:rowOff>
        </xdr:from>
        <xdr:to>
          <xdr:col>3</xdr:col>
          <xdr:colOff>314325</xdr:colOff>
          <xdr:row>13</xdr:row>
          <xdr:rowOff>9525</xdr:rowOff>
        </xdr:to>
        <xdr:sp macro="" textlink="">
          <xdr:nvSpPr>
            <xdr:cNvPr id="10275" name="Check Box 35" descr="Outro Endereço" hidden="1">
              <a:extLst>
                <a:ext uri="{63B3BB69-23CF-44E3-9099-C40C66FF867C}">
                  <a14:compatExt spid="_x0000_s10275"/>
                </a:ext>
                <a:ext uri="{FF2B5EF4-FFF2-40B4-BE49-F238E27FC236}">
                  <a16:creationId xmlns:a16="http://schemas.microsoft.com/office/drawing/2014/main" xmlns="" id="{00000000-0008-0000-0000-00002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pt-BR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Vendedor</a:t>
              </a:r>
            </a:p>
          </xdr:txBody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733425</xdr:colOff>
          <xdr:row>5</xdr:row>
          <xdr:rowOff>114300</xdr:rowOff>
        </xdr:from>
        <xdr:to>
          <xdr:col>9</xdr:col>
          <xdr:colOff>809625</xdr:colOff>
          <xdr:row>8</xdr:row>
          <xdr:rowOff>114300</xdr:rowOff>
        </xdr:to>
        <xdr:sp macro="" textlink="">
          <xdr:nvSpPr>
            <xdr:cNvPr id="10278" name="Button 38" hidden="1">
              <a:extLst>
                <a:ext uri="{63B3BB69-23CF-44E3-9099-C40C66FF867C}">
                  <a14:compatExt spid="_x0000_s10278"/>
                </a:ext>
                <a:ext uri="{FF2B5EF4-FFF2-40B4-BE49-F238E27FC236}">
                  <a16:creationId xmlns:a16="http://schemas.microsoft.com/office/drawing/2014/main" xmlns="" id="{00000000-0008-0000-0000-000026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pt-BR" sz="1800" b="0" i="0" u="none" strike="noStrike" baseline="0">
                  <a:solidFill>
                    <a:srgbClr val="000000"/>
                  </a:solidFill>
                  <a:latin typeface="Calibri"/>
                </a:rPr>
                <a:t>CADASTRAR CLIENTE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533400</xdr:colOff>
          <xdr:row>10</xdr:row>
          <xdr:rowOff>28575</xdr:rowOff>
        </xdr:from>
        <xdr:to>
          <xdr:col>6</xdr:col>
          <xdr:colOff>1609725</xdr:colOff>
          <xdr:row>10</xdr:row>
          <xdr:rowOff>333375</xdr:rowOff>
        </xdr:to>
        <xdr:sp macro="" textlink="">
          <xdr:nvSpPr>
            <xdr:cNvPr id="10290" name="Button 50" hidden="1">
              <a:extLst>
                <a:ext uri="{63B3BB69-23CF-44E3-9099-C40C66FF867C}">
                  <a14:compatExt spid="_x0000_s10290"/>
                </a:ext>
                <a:ext uri="{FF2B5EF4-FFF2-40B4-BE49-F238E27FC236}">
                  <a16:creationId xmlns:a16="http://schemas.microsoft.com/office/drawing/2014/main" xmlns="" id="{00000000-0008-0000-0000-00003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1" i="0" u="none" strike="noStrike" baseline="0">
                  <a:solidFill>
                    <a:srgbClr val="000000"/>
                  </a:solidFill>
                  <a:latin typeface="Calibri"/>
                </a:rPr>
                <a:t>Outro Endereço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0</xdr:row>
          <xdr:rowOff>123825</xdr:rowOff>
        </xdr:from>
        <xdr:to>
          <xdr:col>0</xdr:col>
          <xdr:colOff>123825</xdr:colOff>
          <xdr:row>4</xdr:row>
          <xdr:rowOff>9525</xdr:rowOff>
        </xdr:to>
        <xdr:sp macro="" textlink="">
          <xdr:nvSpPr>
            <xdr:cNvPr id="10316" name="TempCombo" hidden="1">
              <a:extLst>
                <a:ext uri="{63B3BB69-23CF-44E3-9099-C40C66FF867C}">
                  <a14:compatExt spid="_x0000_s10316"/>
                </a:ext>
                <a:ext uri="{FF2B5EF4-FFF2-40B4-BE49-F238E27FC236}">
                  <a16:creationId xmlns:a16="http://schemas.microsoft.com/office/drawing/2014/main" xmlns="" id="{00000000-0008-0000-0000-00004C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742950</xdr:colOff>
          <xdr:row>11</xdr:row>
          <xdr:rowOff>180975</xdr:rowOff>
        </xdr:from>
        <xdr:to>
          <xdr:col>3</xdr:col>
          <xdr:colOff>657225</xdr:colOff>
          <xdr:row>12</xdr:row>
          <xdr:rowOff>180975</xdr:rowOff>
        </xdr:to>
        <xdr:sp macro="" textlink="">
          <xdr:nvSpPr>
            <xdr:cNvPr id="10321" name="Button 81" hidden="1">
              <a:extLst>
                <a:ext uri="{63B3BB69-23CF-44E3-9099-C40C66FF867C}">
                  <a14:compatExt spid="_x0000_s10321"/>
                </a:ext>
                <a:ext uri="{FF2B5EF4-FFF2-40B4-BE49-F238E27FC236}">
                  <a16:creationId xmlns:a16="http://schemas.microsoft.com/office/drawing/2014/main" xmlns="" id="{00000000-0008-0000-0000-00005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1" i="0" u="none" strike="noStrike" baseline="0">
                  <a:solidFill>
                    <a:srgbClr val="000000"/>
                  </a:solidFill>
                  <a:latin typeface="Calibri"/>
                </a:rPr>
                <a:t>Cedel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171450</xdr:colOff>
      <xdr:row>0</xdr:row>
      <xdr:rowOff>76200</xdr:rowOff>
    </xdr:from>
    <xdr:to>
      <xdr:col>11</xdr:col>
      <xdr:colOff>295275</xdr:colOff>
      <xdr:row>14</xdr:row>
      <xdr:rowOff>104775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xmlns="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514350</xdr:colOff>
      <xdr:row>0</xdr:row>
      <xdr:rowOff>38100</xdr:rowOff>
    </xdr:from>
    <xdr:to>
      <xdr:col>21</xdr:col>
      <xdr:colOff>123826</xdr:colOff>
      <xdr:row>16</xdr:row>
      <xdr:rowOff>9525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xmlns="" id="{00000000-0008-0000-04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</xdr:col>
      <xdr:colOff>504825</xdr:colOff>
      <xdr:row>17</xdr:row>
      <xdr:rowOff>4762</xdr:rowOff>
    </xdr:from>
    <xdr:to>
      <xdr:col>10</xdr:col>
      <xdr:colOff>419100</xdr:colOff>
      <xdr:row>31</xdr:row>
      <xdr:rowOff>80962</xdr:rowOff>
    </xdr:to>
    <xdr:graphicFrame macro="">
      <xdr:nvGraphicFramePr>
        <xdr:cNvPr id="6" name="Gráfico 5">
          <a:extLst>
            <a:ext uri="{FF2B5EF4-FFF2-40B4-BE49-F238E27FC236}">
              <a16:creationId xmlns:a16="http://schemas.microsoft.com/office/drawing/2014/main" xmlns="" id="{00000000-0008-0000-04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4</xdr:col>
      <xdr:colOff>171450</xdr:colOff>
      <xdr:row>2</xdr:row>
      <xdr:rowOff>257175</xdr:rowOff>
    </xdr:from>
    <xdr:to>
      <xdr:col>5</xdr:col>
      <xdr:colOff>429115</xdr:colOff>
      <xdr:row>5</xdr:row>
      <xdr:rowOff>120418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xmlns="" id="{00000000-0008-0000-07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543550" y="647700"/>
          <a:ext cx="867265" cy="89194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266700</xdr:colOff>
      <xdr:row>2</xdr:row>
      <xdr:rowOff>228600</xdr:rowOff>
    </xdr:from>
    <xdr:to>
      <xdr:col>2</xdr:col>
      <xdr:colOff>1152525</xdr:colOff>
      <xdr:row>5</xdr:row>
      <xdr:rowOff>54001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xmlns="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14425" y="619125"/>
          <a:ext cx="885825" cy="8541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CAI%20UP/Financeiro/Sistema%20Controle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GISTRAR PAGAMENTO"/>
      <sheetName val="VENDAS LANÇAMENTO"/>
      <sheetName val="PRINCIPAL"/>
      <sheetName val="Alessandro"/>
      <sheetName val="Marlene"/>
      <sheetName val="MODELO RECIBO"/>
      <sheetName val="Cadastro Fornecedor"/>
      <sheetName val="Pedidos"/>
      <sheetName val="Notas Fiscais"/>
      <sheetName val="Vendas - Geral"/>
      <sheetName val="Detalhamento_nf"/>
      <sheetName val="Entrada NF"/>
      <sheetName val="PRODUTOS"/>
      <sheetName val="Clientes"/>
      <sheetName val="Fornecedores"/>
      <sheetName val="Cheques"/>
      <sheetName val="contatos diversos"/>
      <sheetName val="Relatório Financeiro"/>
      <sheetName val="Comissões"/>
      <sheetName val="Estoque"/>
      <sheetName val="C_estoque"/>
      <sheetName val="Sistema Contro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prisc" refreshedDate="44140.937197453706" createdVersion="4" refreshedVersion="6" minRefreshableVersion="3" recordCount="2028">
  <cacheSource type="worksheet">
    <worksheetSource name="PEDIDOS"/>
  </cacheSource>
  <cacheFields count="16">
    <cacheField name="IdPedido" numFmtId="0">
      <sharedItems containsString="0" containsBlank="1" containsNumber="1" containsInteger="1" minValue="1" maxValue="1673"/>
    </cacheField>
    <cacheField name="Data do Pedido" numFmtId="14">
      <sharedItems containsSemiMixedTypes="0" containsNonDate="0" containsDate="1" containsString="0" minDate="2018-01-01T00:00:00" maxDate="2020-11-06T00:00:00" count="37">
        <d v="2020-11-05T00:00:00"/>
        <d v="2020-11-04T00:00:00"/>
        <d v="2020-10-07T00:00:00"/>
        <d v="2020-09-04T00:00:00"/>
        <d v="2020-08-07T00:00:00"/>
        <d v="2020-08-05T00:00:00"/>
        <d v="2020-06-03T00:00:00"/>
        <d v="2020-03-04T00:00:00"/>
        <d v="2020-02-07T00:00:00"/>
        <d v="2020-02-06T00:00:00"/>
        <d v="2019-10-04T00:00:00"/>
        <d v="2019-08-28T00:00:00"/>
        <d v="2019-08-01T00:00:00"/>
        <d v="2019-07-03T00:00:00"/>
        <d v="2019-05-30T00:00:00"/>
        <d v="2019-05-29T00:00:00"/>
        <d v="2019-05-02T00:00:00"/>
        <d v="2019-05-01T00:00:00"/>
        <d v="2019-04-05T00:00:00"/>
        <d v="2019-04-04T00:00:00"/>
        <d v="2019-03-07T00:00:00"/>
        <d v="2019-02-08T00:00:00"/>
        <d v="2018-12-07T00:00:00"/>
        <d v="2018-11-09T00:00:00"/>
        <d v="2018-11-07T00:00:00"/>
        <d v="2018-11-06T00:00:00"/>
        <d v="2018-10-05T00:00:00"/>
        <d v="2018-08-30T00:00:00"/>
        <d v="2018-08-10T00:00:00"/>
        <d v="2018-07-06T00:00:00"/>
        <d v="2018-07-05T00:00:00"/>
        <d v="2018-06-08T00:00:00"/>
        <d v="2018-06-07T00:00:00"/>
        <d v="2018-04-06T00:00:00"/>
        <d v="2018-04-05T00:00:00"/>
        <d v="2018-01-01T00:00:00"/>
        <d v="2018-06-06T00:00:00"/>
      </sharedItems>
    </cacheField>
    <cacheField name="Vendedor" numFmtId="0">
      <sharedItems containsBlank="1" count="35">
        <s v="MASSA EXTRA"/>
        <s v="EXCEDENTES"/>
        <s v="PRISCILLA"/>
        <s v="MARIA LUCIA"/>
        <s v="MARCIA"/>
        <s v="FABIO MATOS"/>
        <s v="JOSE LUIZ"/>
        <s v="GABRIEL"/>
        <s v="LEONIDAS"/>
        <s v="LEANDRO"/>
        <s v="RODOLFO"/>
        <s v="CRIS"/>
        <s v="XANDE/ELIS"/>
        <s v="SILVIA - EVANGELIZADORA "/>
        <s v="ROSELY"/>
        <s v="ZAIRA"/>
        <s v="LEVY"/>
        <s v="CEDEL"/>
        <s v="MI/LEANDRO"/>
        <s v="JOSÉ LUIZ"/>
        <s v="FÁBIO MATOS"/>
        <s v="MARIA LÚCIA"/>
        <s v="MARIA ADRIANA VIDIGAL "/>
        <s v="SÍLVIA - EVANGELIZADORA "/>
        <s v="CÉSAR"/>
        <s v="FELIPE"/>
        <s v="FERNANDA SPOSITO"/>
        <s v="TINA / HÉLIO"/>
        <s v="VICENTINA"/>
        <s v="CÁSSIA"/>
        <s v="MICHELE"/>
        <s v="TIA LÚCIA"/>
        <s v="PRISCILLA CRISTINA ALVARENGA"/>
        <s v="MICHELE/LEANDRO"/>
        <m u="1"/>
      </sharedItems>
    </cacheField>
    <cacheField name="Cliente" numFmtId="0">
      <sharedItems containsBlank="1" count="367">
        <s v="MASSA EXTRA"/>
        <s v="FERNANDA VITOR"/>
        <s v="SIMONE"/>
        <s v="SILVIA - EVANGELIZADORA "/>
        <s v="LEOBALDO"/>
        <s v="SOLANGE CEMIL AC"/>
        <s v="NEIDE FLORIANO"/>
        <s v="MARCELO AUGUSTO"/>
        <s v="FABIO MATOS"/>
        <s v="FRANCIELE DENTISTA"/>
        <s v="FALE"/>
        <s v="NADIA CD"/>
        <s v="MARIA LUCIA"/>
        <s v="TONI/LOURDES"/>
        <s v="VITORIA"/>
        <s v="DENISE (Mª LUCIA)"/>
        <s v="CRISTINA/JOAO"/>
        <s v="MARCIA FERNANDES"/>
        <s v="CLAUDETE / HIELLEN"/>
        <s v="MARIZA CABRAL"/>
        <s v="MAURO JR / CAROL"/>
        <s v="MARCIA ROGELIA"/>
        <s v="TELMA "/>
        <s v="EDIVANIA SANTOS"/>
        <s v="MARCIA PRATA"/>
        <s v="JESSICA "/>
        <s v="WALDENIO (ENGENHEIRO)"/>
        <s v="VIRGINIA (GIL)"/>
        <s v="RENATA HOTELZINHO"/>
        <s v="INA "/>
        <s v="NEUZA MARGARIDA "/>
        <s v="CLEOMARA"/>
        <s v="LILIA LOPES"/>
        <s v="SAMIA BITAR  "/>
        <s v="VANILZE PIMENTA"/>
        <s v="JOAO HENRIQUE"/>
        <s v="FABIOLA GOMIDE"/>
        <s v="ANA BEATRIZ"/>
        <s v="VALERIA DE CARVALHO "/>
        <s v="DOUGLAS"/>
        <s v="REGINA"/>
        <s v="FRANZ"/>
        <s v="LEONIDAS"/>
        <s v="FERNANDA/MARCOS"/>
        <s v="LETICIA "/>
        <s v="LAZARA (MAE ROBERTO)"/>
        <s v="JULIS/FRANYA"/>
        <s v="JOYCE RABIB"/>
        <s v="JOSE CARLOS/NILLYANE"/>
        <s v="MICHELE/LEANDRO"/>
        <s v="MAURICIO CARLOS"/>
        <s v="CASA DE ACOLHIMENTO FRATERNO SANTA CECÍLIA"/>
        <s v="NADIA/RENATO"/>
        <s v="YANNA RIBEIRO"/>
        <s v="MARIANNE BIASI"/>
        <s v="SANDOVAL"/>
        <s v="SIMAO"/>
        <s v="RAFAEL/FRANCISCA"/>
        <s v="BARBARA "/>
        <s v="BIA"/>
        <s v="RODOLFO/GIOVANA"/>
        <s v="PRISCILLA ALVARENGA"/>
        <s v="MILVAR "/>
        <s v="TATIANA"/>
        <s v="CRISTIANE / CESAR"/>
        <s v="ELINE"/>
        <s v="JOSIANE"/>
        <s v="ANGELICA QUITES"/>
        <s v="VANIA (XANDE)"/>
        <s v="DENISE / MANUEL"/>
        <s v="ADRIENE"/>
        <s v="EVERTON FERNANDES"/>
        <s v="ANDREA GOMES"/>
        <s v="SERGIO ROSA"/>
        <s v="ARIANE"/>
        <s v="JAUSSON "/>
        <s v="APARECIDA DAS GRAÇAS "/>
        <s v="ZILDA (MAIZA)"/>
        <s v="ZELMA MAMEDE"/>
        <s v="WALDENIO (ENGENHEIRO) 2"/>
        <s v="PATRICIA PRATA "/>
        <s v="JESSICA (2)"/>
        <s v="ISABEL CURSINO"/>
        <s v="ALBA REGINA REIS"/>
        <s v="NILKENIA"/>
        <s v="KATYA CANUTO"/>
        <s v="ZAIRA"/>
        <s v="SONIA MILAZZO"/>
        <s v="JOSE EDUARDO DA SILVA"/>
        <s v="ROSELY CROSARA"/>
        <s v="XANDE E LIZ"/>
        <s v="SANDRA"/>
        <s v="DANIEL CHADUD"/>
        <s v="LILIAN FERNANDES"/>
        <s v="COUTINHO"/>
        <s v="JOSE CARLOS (LEANDRO)"/>
        <s v="BIANCA"/>
        <s v="ANA PAULA"/>
        <s v="TANIA UFU"/>
        <s v="TANIA SQUARISE"/>
        <s v="JACQUELINE BOAVENTURA / OSMAR"/>
        <s v="ALEXANDRE VIEIRA (PAI HELIO)"/>
        <s v="RONALDO / LIGIA"/>
        <s v="JOAO CARDOSO/LURDES"/>
        <s v="TANIA MARA"/>
        <s v="GRAÇA"/>
        <s v="ERIC PALESTRANTE"/>
        <s v="VANIA"/>
        <s v="PAULO ALMEIDA"/>
        <s v="ANDRE MAURICIO"/>
        <s v="VALESKA E FLAVIO"/>
        <s v="LUCIMEIRE"/>
        <s v="SIRLEIDES"/>
        <s v="MICHELE HONORATO"/>
        <s v="BRUNA CASTANHEIRA"/>
        <s v="DEJAMIR CRISTINA"/>
        <s v="ALEXSANDRA  "/>
        <s v="VICTOR"/>
        <s v="GUSTAVO GUIMARAES"/>
        <s v="CAROL/MAURO JR"/>
        <s v="UENDER/VANIA"/>
        <s v="CESAR / LAVINE "/>
        <s v="GIOVANA"/>
        <s v="ROSA (JOSE LUIZ)"/>
        <s v="AGOSTINHO"/>
        <s v="DENISE"/>
        <s v="LIGIA"/>
        <s v="ROBERTO (2)"/>
        <s v="MARIA CARDOSO"/>
        <s v="VIVIANE (MARCIA)"/>
        <s v="KARLA CARITAS"/>
        <s v="CRISTIANE MELO CARAN"/>
        <s v="DALMA"/>
        <s v="RUDIMAR / ALLYNNY"/>
        <s v="PAULA (CEDEL)"/>
        <s v="ALICE / MARILDA"/>
        <s v="LEONARDO LACERDA"/>
        <s v="DEUSMAR CAETANO"/>
        <s v="NILZE"/>
        <s v="KELYN"/>
        <s v="SANDRA MARA "/>
        <s v="LEVY"/>
        <s v="SHIRLEY (100% BONITIN)"/>
        <s v="EDITE (D.MARIA)"/>
        <s v="KENEDY"/>
        <s v="MARTA VIZINHA"/>
        <s v="FLORENCE"/>
        <s v="NALDENIO (ENGENHEIRO)"/>
        <s v="GLAUCIA GOMIDE"/>
        <s v="ADRIANA FISIOTERAPEUTA"/>
        <s v="SHEILA / HEMERSON BOAVENTURA"/>
        <s v="DAYANE / FERNANDO"/>
        <s v="CLAUDIA (JOSE LUIZ)"/>
        <s v="LUCIVONE"/>
        <s v="DENISE (JOSE LUIZ)"/>
        <s v="ALZIRA ELCIO"/>
        <s v="RAFAEL IGNACIO"/>
        <s v="RONALDO"/>
        <s v="CLAUDIA"/>
        <m/>
        <s v="FERNANDO / KELY"/>
        <s v="SALETE"/>
        <s v="MARIA LUIZA BORGES"/>
        <s v="CIDA / JOAO ALBERTO"/>
        <s v="POLLYANA VALERIA"/>
        <s v="EDMAR"/>
        <s v="MARINA"/>
        <s v="ANDREA "/>
        <s v="MARIA ADRIANA VIDIGAL "/>
        <s v="CIDA / CARLOS MAURICIO"/>
        <s v="CECILIA"/>
        <s v="ONOFRE / ANA LÚCIA "/>
        <s v="MARILIA / JUSSARA "/>
        <s v="FATINHA / CLAUDIO"/>
        <s v="BIBIANE"/>
        <s v="ERIKA / HAMILTON"/>
        <s v="NEUSA GUEDES/RAFAEL GUERREIRO 2 "/>
        <s v="ARTUR / RAQUEL"/>
        <s v="MARIA JOSE 2"/>
        <s v="ROBSON (PRUDENTIAL)"/>
        <s v="LILIANE  "/>
        <s v="LUIZA"/>
        <s v="VASCO"/>
        <s v="MARIA HELENA 2"/>
        <s v="ELAINE"/>
        <s v="MANUEL DENISE"/>
        <s v="VALERIA BIASI"/>
        <s v="FERNANDA / SAULO"/>
        <s v="ROGERIO ARAUJO"/>
        <s v="DAVID ARAÚJO "/>
        <s v="REGINA HELENA"/>
        <s v="ADRIANA LUZIA ROSA PEREIRA"/>
        <s v="ADRIANA RODRIGUES"/>
        <s v="MARGARIDA"/>
        <s v="ALVARO"/>
        <s v="MARIANA / SERGIO BOEL"/>
        <s v="GERALDO PORTILHO"/>
        <s v="FLEIZER"/>
        <s v="ELENILDE CD"/>
        <s v="MARILDA OLIVEIRA "/>
        <s v="MAURÍCIO CARLOS"/>
        <s v="JOSE CARLOS "/>
        <s v="CIBELE"/>
        <s v="CÉSAR / LAVINE "/>
        <s v="FRANCISCO"/>
        <s v="THAIS"/>
        <s v="CRISTIANE / CÉSAR"/>
        <s v="BÁRBARA "/>
        <s v="SÍLVIA - EVANGELIZADORA "/>
        <s v="NEUSA GUEDES/RAFAEL GUERREIRO "/>
        <s v="JOSÉ AUGUSTO"/>
        <s v="MARIANA / SÉRGIO BOEL"/>
        <s v="AMAURY CAMPOS"/>
        <s v="JOSÉ CARLOS"/>
        <s v="IONE EULÁLIO"/>
        <s v="MARÍLIA / JUSSARA "/>
        <s v="MÁRCIA FERNANDES"/>
        <s v="INÁ "/>
        <s v="MARCIA"/>
        <s v="PATRÍCIA MILAZZO"/>
        <s v="Marcia Cristina"/>
        <s v="ENY DOS REIS"/>
        <s v="LEÔNIDAS"/>
        <s v="Ane Caroline"/>
        <s v="Mauricia Carla Araujo"/>
        <s v="Ana Maria Fernandes"/>
        <s v="Angela"/>
        <s v="Edivaldo Santos"/>
        <s v="CRISTINA/JOÃO"/>
        <s v="Terezinha UFU"/>
        <s v="Maria Helena"/>
        <s v="SÔNIA"/>
        <s v="PATRÍCIA PRATA "/>
        <s v="Neide THD"/>
        <s v="MÁRCIA ROGÉLIA"/>
        <s v="Jovenal Souza / Elza"/>
        <s v="CIDA / CARLOS MAURÍCIO"/>
        <s v="JUSSARA MORELI"/>
        <s v="ZILMA E REGINALDO"/>
        <s v="ANA PAULA "/>
        <s v="SHIRLEY"/>
        <s v="DANIEL"/>
        <s v="ROBERTO"/>
        <s v="EDNA"/>
        <s v="Maira"/>
        <s v="VALÉRIA DE CARVALHO "/>
        <s v="RODRIGO"/>
        <s v="Gabriel Alves"/>
        <s v="Nicarlos"/>
        <s v="Alexandra"/>
        <s v="Carla - Divino Pão"/>
        <s v="Dra Lourdes"/>
        <s v="FERNANDA SPOSITO"/>
        <s v="Guilhermina Fonseca"/>
        <s v="Larissa Schiavinato"/>
        <s v="VICENTINA "/>
        <s v="Stelly Stefani"/>
        <s v="Daniela Medeiros"/>
        <s v="MIRIANE"/>
        <s v="Ana Cláudia"/>
        <s v="Marcilene Ferreira"/>
        <s v="Lisiane Monteiro"/>
        <s v="HELEN KARINA"/>
        <s v="TÂNIA SQUARISE"/>
        <s v="ROBERTA/FERNANDO "/>
        <s v="LILIANE/DIONE"/>
        <s v="JÉSSICA "/>
        <s v="FERNANDO"/>
        <s v="Yuri Brito"/>
        <s v="VIRGINIA VIDAL"/>
        <s v="ROBSON"/>
        <s v="Monica Quites"/>
        <s v="Adriana Quites"/>
        <s v="Mariela Queiroz"/>
        <s v="CÁRITAS FERNANDES"/>
        <s v="MARIA JOSÉ  "/>
        <s v="MARILENE"/>
        <s v="MARIA HELENA "/>
        <s v="SHIRLEY/EDMA"/>
        <s v="Karitha"/>
        <s v="VALIM"/>
        <s v="VINICIUS MACHADO"/>
        <s v="VIVIANE / CLEBER"/>
        <s v="TAYANNE FERRAZ"/>
        <s v="CLAUDIA H. PEREIRA"/>
        <s v="MÁRCIA HELENA (CEMIL) /ROGÉRIO"/>
        <s v="REGINA HELENA 2"/>
        <s v="NADIA MEDEIROS"/>
        <s v="Jefferson Rodrigues de Almeida"/>
        <s v="Giliard"/>
        <s v="Haendell"/>
        <s v="Douglas Costa Moreira"/>
        <s v="Rayssa"/>
        <s v="Suemy "/>
        <s v="Vanderlene"/>
        <s v="VALÉRIA BIASI"/>
        <s v="WEBERSON"/>
        <s v="Vanessa "/>
        <s v="DANIEL / EDNA"/>
        <s v="Dione"/>
        <s v="Marlene Abadia"/>
        <s v="Paula Sousa UFU"/>
        <s v="Sheila Boaventura"/>
        <s v="Geisiane Simões"/>
        <s v="Sonia Maria Nunes"/>
        <s v="FRANCILENE"/>
        <s v="FATINHA"/>
        <s v="MEIRE LÚCIA"/>
        <s v="COUTINHO (2)"/>
        <s v="BRUNA BIASI"/>
        <s v="VANESSA BEATRIZ"/>
        <s v="TIA LÚCIA"/>
        <s v="DR TÚLIO"/>
        <s v="BEATRIZ (BIBLIOTECA)"/>
        <s v="ELMER"/>
        <s v="SUELI"/>
        <s v="CLAUDIA ALVIM"/>
        <s v="SONIA"/>
        <s v="ROSÂNGELA/OSÓRIO "/>
        <s v="TÂNIA UFU"/>
        <s v="PERCLÍSIO"/>
        <s v="ANGELITA "/>
        <s v="FERNANDA "/>
        <s v="SALETE "/>
        <s v="SÉRGIO"/>
        <s v=" LILIANE  "/>
        <s v="JOSÉ AUGUSTO  "/>
        <s v="REGINA  "/>
        <s v="DOUGLAS  "/>
        <s v="Tenente Neto"/>
        <s v="Américo"/>
        <s v="VALIM/MARYANNE "/>
        <s v="Eudes Humberto"/>
        <s v="Raíssa"/>
        <s v="FRANZ  "/>
        <s v="Fabrício Siqueira"/>
        <s v="CONSUELO  "/>
        <s v="Oberdan"/>
        <s v="Rodrigo Rodrigues "/>
        <s v="Diego Costa"/>
        <s v="DIEGO P. STOD "/>
        <s v="Juliguel Maranho"/>
        <s v="Rodrigo Pires"/>
        <s v="PRISCILLA CRISTINA ALVARENGA"/>
        <s v="DIVINA FARIA "/>
        <s v="ABADIA YAMASHITA"/>
        <s v="SANDRA/RUI "/>
        <s v="FALE / BAIANO "/>
        <s v="FALE - ZÉ LUIZ"/>
        <s v="TIA DIVINA"/>
        <s v="LUIS FIGUEIREDO /ANA MÁRCIA"/>
        <s v="LUIS FIGUEIREDO /ANA MÁRCIA "/>
        <s v="AUGUSTO ARDEL"/>
        <s v="Marlene Aguiar"/>
        <s v="FRANCISCO (CÁSSIA)"/>
        <s v="THAIS "/>
        <s v="MARILENE "/>
        <s v="TATIANE "/>
        <s v="CARLOS SIMÕES "/>
        <s v="Alcântara"/>
        <s v="SANDRA "/>
        <s v="REGINA HELENA "/>
        <s v="Cassilda Borges"/>
        <s v="MARCOS/NAGILA" u="1"/>
        <s v="EXCEDENTES" u="1"/>
        <s v="Matheus/Julio Cesar/Rudson" u="1"/>
        <s v="SAMANTA" u="1"/>
      </sharedItems>
    </cacheField>
    <cacheField name="Telefone" numFmtId="0">
      <sharedItems containsBlank="1" containsMixedTypes="1" containsNumber="1" containsInteger="1" minValue="0" maxValue="0"/>
    </cacheField>
    <cacheField name="Endereço de Entrega" numFmtId="0">
      <sharedItems containsBlank="1" containsMixedTypes="1" containsNumber="1" containsInteger="1" minValue="0" maxValue="0"/>
    </cacheField>
    <cacheField name="Bairro " numFmtId="0">
      <sharedItems containsBlank="1" containsMixedTypes="1" containsNumber="1" containsInteger="1" minValue="0" maxValue="0"/>
    </cacheField>
    <cacheField name="CEP" numFmtId="0">
      <sharedItems containsBlank="1" containsMixedTypes="1" containsNumber="1" containsInteger="1" minValue="0" maxValue="0"/>
    </cacheField>
    <cacheField name="Obs/Referencia" numFmtId="0">
      <sharedItems containsBlank="1"/>
    </cacheField>
    <cacheField name="Entregador" numFmtId="0">
      <sharedItems containsBlank="1"/>
    </cacheField>
    <cacheField name="Produto " numFmtId="0">
      <sharedItems containsBlank="1" count="6">
        <s v="MUSSARELA"/>
        <s v="MISTA "/>
        <s v="CALABRESA"/>
        <s v="LOMBINHO"/>
        <s v="ESPECIAL "/>
        <m/>
      </sharedItems>
    </cacheField>
    <cacheField name="Qtde Produto" numFmtId="0">
      <sharedItems containsString="0" containsBlank="1" containsNumber="1" containsInteger="1" minValue="1" maxValue="9"/>
    </cacheField>
    <cacheField name="Valor Unitário" numFmtId="44">
      <sharedItems containsSemiMixedTypes="0" containsString="0" containsNumber="1" containsInteger="1" minValue="30" maxValue="40"/>
    </cacheField>
    <cacheField name="Total Item " numFmtId="44">
      <sharedItems containsSemiMixedTypes="0" containsString="0" containsNumber="1" containsInteger="1" minValue="30" maxValue="360"/>
    </cacheField>
    <cacheField name="Valor do item pago" numFmtId="44">
      <sharedItems containsString="0" containsBlank="1" containsNumber="1" containsInteger="1" minValue="30" maxValue="210"/>
    </cacheField>
    <cacheField name="Status do Item " numFmtId="0">
      <sharedItems containsBlank="1" count="4">
        <m/>
        <s v=""/>
        <s v="PAGO"/>
        <s v="ABERTO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028">
  <r>
    <n v="1673"/>
    <x v="0"/>
    <x v="0"/>
    <x v="0"/>
    <n v="0"/>
    <n v="0"/>
    <n v="0"/>
    <n v="0"/>
    <m/>
    <m/>
    <x v="0"/>
    <n v="1"/>
    <n v="35"/>
    <n v="35"/>
    <m/>
    <x v="0"/>
  </r>
  <r>
    <n v="1673"/>
    <x v="0"/>
    <x v="0"/>
    <x v="0"/>
    <n v="0"/>
    <n v="0"/>
    <n v="0"/>
    <n v="0"/>
    <m/>
    <m/>
    <x v="1"/>
    <n v="1"/>
    <n v="35"/>
    <n v="35"/>
    <m/>
    <x v="0"/>
  </r>
  <r>
    <n v="1673"/>
    <x v="0"/>
    <x v="0"/>
    <x v="0"/>
    <n v="0"/>
    <n v="0"/>
    <n v="0"/>
    <n v="0"/>
    <m/>
    <m/>
    <x v="2"/>
    <n v="3"/>
    <n v="35"/>
    <n v="105"/>
    <m/>
    <x v="0"/>
  </r>
  <r>
    <n v="1672"/>
    <x v="0"/>
    <x v="1"/>
    <x v="1"/>
    <s v="9.8842-2300"/>
    <s v="RUA DAS PRIMAVERAS, 655"/>
    <s v="CIDADE JARDIM"/>
    <s v="38412-146"/>
    <s v="MARCIA"/>
    <m/>
    <x v="1"/>
    <n v="1"/>
    <n v="35"/>
    <n v="35"/>
    <m/>
    <x v="1"/>
  </r>
  <r>
    <n v="1671"/>
    <x v="0"/>
    <x v="1"/>
    <x v="2"/>
    <n v="0"/>
    <n v="0"/>
    <n v="0"/>
    <n v="0"/>
    <s v="MARCIA"/>
    <m/>
    <x v="3"/>
    <n v="1"/>
    <n v="35"/>
    <n v="35"/>
    <m/>
    <x v="1"/>
  </r>
  <r>
    <n v="1671"/>
    <x v="0"/>
    <x v="1"/>
    <x v="3"/>
    <n v="0"/>
    <n v="0"/>
    <n v="0"/>
    <n v="0"/>
    <s v="SILVIA"/>
    <m/>
    <x v="3"/>
    <n v="1"/>
    <n v="35"/>
    <n v="35"/>
    <m/>
    <x v="1"/>
  </r>
  <r>
    <n v="1670"/>
    <x v="0"/>
    <x v="2"/>
    <x v="4"/>
    <s v="9.9197-7955"/>
    <n v="0"/>
    <s v="CEDEL"/>
    <n v="0"/>
    <m/>
    <s v="CEDEL"/>
    <x v="2"/>
    <n v="2"/>
    <n v="35"/>
    <n v="70"/>
    <m/>
    <x v="1"/>
  </r>
  <r>
    <n v="1669"/>
    <x v="0"/>
    <x v="3"/>
    <x v="5"/>
    <s v="9.9120-3519"/>
    <s v="R. PROF JOAO BASILIO, 41"/>
    <s v="MARTINS"/>
    <s v="38400-460"/>
    <m/>
    <m/>
    <x v="1"/>
    <n v="1"/>
    <n v="35"/>
    <n v="35"/>
    <m/>
    <x v="1"/>
  </r>
  <r>
    <n v="1668"/>
    <x v="1"/>
    <x v="3"/>
    <x v="6"/>
    <s v="9.9123-2003"/>
    <s v="R. PEDRO CROSARA CHERULLI, 41"/>
    <s v="CAZECA"/>
    <s v="38400-044 "/>
    <m/>
    <m/>
    <x v="2"/>
    <n v="1"/>
    <n v="35"/>
    <n v="35"/>
    <n v="35"/>
    <x v="2"/>
  </r>
  <r>
    <n v="1667"/>
    <x v="1"/>
    <x v="4"/>
    <x v="7"/>
    <s v="9.9678-7649"/>
    <n v="0"/>
    <n v="0"/>
    <n v="0"/>
    <m/>
    <s v="CEDEL"/>
    <x v="0"/>
    <n v="1"/>
    <n v="35"/>
    <n v="35"/>
    <m/>
    <x v="1"/>
  </r>
  <r>
    <n v="1667"/>
    <x v="1"/>
    <x v="4"/>
    <x v="7"/>
    <s v="9.9678-7649"/>
    <n v="0"/>
    <n v="0"/>
    <n v="0"/>
    <m/>
    <s v="CEDEL"/>
    <x v="2"/>
    <n v="1"/>
    <n v="35"/>
    <n v="35"/>
    <m/>
    <x v="1"/>
  </r>
  <r>
    <n v="1666"/>
    <x v="1"/>
    <x v="5"/>
    <x v="8"/>
    <s v="9.9149-1390"/>
    <s v="R. JOSE ELIAS, 50, TORRE B , APTO 202"/>
    <s v="KARAIBA"/>
    <s v="38411-201"/>
    <m/>
    <s v="FABIO MATOS"/>
    <x v="1"/>
    <n v="1"/>
    <n v="35"/>
    <n v="35"/>
    <m/>
    <x v="1"/>
  </r>
  <r>
    <n v="1666"/>
    <x v="1"/>
    <x v="5"/>
    <x v="8"/>
    <s v="9.9149-1390"/>
    <s v="R. JOSE ELIAS, 50, TORRE B , APTO 202"/>
    <s v="KARAIBA"/>
    <s v="38411-201"/>
    <m/>
    <s v="FABIO MATOS"/>
    <x v="2"/>
    <n v="1"/>
    <n v="35"/>
    <n v="35"/>
    <m/>
    <x v="1"/>
  </r>
  <r>
    <n v="1666"/>
    <x v="1"/>
    <x v="5"/>
    <x v="8"/>
    <s v="9.9149-1390"/>
    <s v="R. JOSE ELIAS, 50, TORRE B , APTO 202"/>
    <s v="KARAIBA"/>
    <s v="38411-201"/>
    <m/>
    <s v="FABIO MATOS"/>
    <x v="3"/>
    <n v="1"/>
    <n v="35"/>
    <n v="35"/>
    <m/>
    <x v="1"/>
  </r>
  <r>
    <n v="1665"/>
    <x v="1"/>
    <x v="3"/>
    <x v="9"/>
    <s v="9.8409-2161"/>
    <s v="R. JOÃO PEREIRA DA SILVA, 395"/>
    <s v="SANTA MONICA"/>
    <s v="38408-198"/>
    <m/>
    <m/>
    <x v="2"/>
    <n v="1"/>
    <n v="35"/>
    <n v="35"/>
    <m/>
    <x v="1"/>
  </r>
  <r>
    <n v="1664"/>
    <x v="1"/>
    <x v="3"/>
    <x v="10"/>
    <s v="3213-2775"/>
    <s v="R. PEDRO QUIRINO DA SILVA, 341 "/>
    <s v="MARTA HELENA "/>
    <s v="38402-075"/>
    <s v="NÁDIA"/>
    <m/>
    <x v="1"/>
    <n v="1"/>
    <n v="35"/>
    <n v="35"/>
    <m/>
    <x v="1"/>
  </r>
  <r>
    <n v="1663"/>
    <x v="1"/>
    <x v="3"/>
    <x v="11"/>
    <s v="9.9132-9676"/>
    <s v="R. MELO VIANA, 233 ESQ. R. EDUARDO MARQUêS"/>
    <s v="MARTINS"/>
    <s v="38400-376"/>
    <s v="RECEBER 105,00"/>
    <m/>
    <x v="1"/>
    <n v="2"/>
    <n v="35"/>
    <n v="70"/>
    <m/>
    <x v="1"/>
  </r>
  <r>
    <n v="1662"/>
    <x v="1"/>
    <x v="3"/>
    <x v="12"/>
    <s v="9.9670-9884"/>
    <s v="R. AGESILAU PASCHOAL GRECO, 318"/>
    <s v="MORADA DA COLINA"/>
    <s v="38411-112"/>
    <m/>
    <m/>
    <x v="2"/>
    <n v="2"/>
    <n v="35"/>
    <n v="70"/>
    <n v="70"/>
    <x v="2"/>
  </r>
  <r>
    <n v="1661"/>
    <x v="1"/>
    <x v="3"/>
    <x v="10"/>
    <s v="3213-2775"/>
    <s v="R. PEDRO QUIRINO DA SILVA, 341 "/>
    <s v="MARTA HELENA "/>
    <s v="38402-075"/>
    <s v="MªLUCIA"/>
    <m/>
    <x v="1"/>
    <n v="1"/>
    <n v="35"/>
    <n v="35"/>
    <n v="35"/>
    <x v="2"/>
  </r>
  <r>
    <n v="1660"/>
    <x v="1"/>
    <x v="3"/>
    <x v="13"/>
    <s v="9.9775-4246"/>
    <s v="R. PETROPOLIS, 406 FRENTE"/>
    <s v="CUSTODIO PEREIRA"/>
    <s v="38405-218"/>
    <m/>
    <m/>
    <x v="1"/>
    <n v="1"/>
    <n v="35"/>
    <n v="35"/>
    <n v="35"/>
    <x v="2"/>
  </r>
  <r>
    <n v="1659"/>
    <x v="1"/>
    <x v="3"/>
    <x v="14"/>
    <s v="9.9654-5772"/>
    <s v="AV. CHAD FAD, 05"/>
    <s v="CANAA"/>
    <s v="38412-474"/>
    <m/>
    <m/>
    <x v="1"/>
    <n v="1"/>
    <n v="35"/>
    <n v="35"/>
    <n v="35"/>
    <x v="2"/>
  </r>
  <r>
    <n v="1658"/>
    <x v="1"/>
    <x v="3"/>
    <x v="15"/>
    <s v="9.9661-1352"/>
    <s v="R. PROF EUNICE BRANDAO DE PAIVA, 139"/>
    <s v="SHOPPING PARK"/>
    <s v="38411-466"/>
    <m/>
    <m/>
    <x v="1"/>
    <n v="1"/>
    <n v="35"/>
    <n v="35"/>
    <n v="35"/>
    <x v="2"/>
  </r>
  <r>
    <n v="1657"/>
    <x v="1"/>
    <x v="3"/>
    <x v="16"/>
    <s v="9.9232-5605"/>
    <s v="R. EDMUNDO MUNIR ARANTES, 79"/>
    <s v="PLANALTO"/>
    <s v="38413-276"/>
    <m/>
    <m/>
    <x v="1"/>
    <n v="1"/>
    <n v="35"/>
    <n v="35"/>
    <n v="35"/>
    <x v="2"/>
  </r>
  <r>
    <n v="1656"/>
    <x v="1"/>
    <x v="3"/>
    <x v="17"/>
    <n v="0"/>
    <n v="0"/>
    <n v="0"/>
    <n v="0"/>
    <m/>
    <m/>
    <x v="2"/>
    <n v="1"/>
    <n v="35"/>
    <n v="35"/>
    <n v="35"/>
    <x v="2"/>
  </r>
  <r>
    <n v="1655"/>
    <x v="1"/>
    <x v="3"/>
    <x v="18"/>
    <s v="9.9656-9764"/>
    <s v="AV. SACRAMENTO, 2047"/>
    <s v="MARTINS"/>
    <s v="38400-466"/>
    <m/>
    <m/>
    <x v="1"/>
    <n v="1"/>
    <n v="35"/>
    <n v="35"/>
    <m/>
    <x v="1"/>
  </r>
  <r>
    <n v="1654"/>
    <x v="1"/>
    <x v="3"/>
    <x v="19"/>
    <s v=" 99155-5564 / 3215-1758"/>
    <s v="AV. CESARIO CROSARA, 3525"/>
    <s v=" ROOSEVELT "/>
    <s v="38401-119"/>
    <m/>
    <m/>
    <x v="1"/>
    <n v="1"/>
    <n v="35"/>
    <n v="35"/>
    <m/>
    <x v="1"/>
  </r>
  <r>
    <n v="1654"/>
    <x v="1"/>
    <x v="3"/>
    <x v="19"/>
    <s v=" 99155-5564 / 3215-1758"/>
    <s v="AV. CESARIO CROSARA, 3525"/>
    <s v=" ROOSEVELT "/>
    <s v="38401-119"/>
    <m/>
    <m/>
    <x v="3"/>
    <n v="1"/>
    <n v="35"/>
    <n v="35"/>
    <m/>
    <x v="1"/>
  </r>
  <r>
    <n v="1653"/>
    <x v="1"/>
    <x v="2"/>
    <x v="20"/>
    <s v="9.9647-8862 / 9.9967-0416"/>
    <s v="R. DA TERNURA, 281"/>
    <s v="INTEGRAÇÃO"/>
    <s v="38407-503"/>
    <m/>
    <m/>
    <x v="1"/>
    <n v="1"/>
    <n v="35"/>
    <n v="35"/>
    <n v="35"/>
    <x v="2"/>
  </r>
  <r>
    <n v="1652"/>
    <x v="1"/>
    <x v="3"/>
    <x v="21"/>
    <s v="9.9182-8324"/>
    <s v="R.BERENICE REZENDE DINIZ,15"/>
    <s v="GAVEA"/>
    <s v="38411-162"/>
    <m/>
    <m/>
    <x v="3"/>
    <n v="1"/>
    <n v="35"/>
    <n v="35"/>
    <m/>
    <x v="1"/>
  </r>
  <r>
    <n v="1651"/>
    <x v="1"/>
    <x v="3"/>
    <x v="22"/>
    <s v="99977-5669"/>
    <s v="R. WATERLOO PEREIRA ALVES, 73 "/>
    <s v=" JD. PATRICIA "/>
    <s v="38414-172"/>
    <m/>
    <m/>
    <x v="2"/>
    <n v="1"/>
    <n v="35"/>
    <n v="35"/>
    <m/>
    <x v="1"/>
  </r>
  <r>
    <n v="1650"/>
    <x v="1"/>
    <x v="3"/>
    <x v="23"/>
    <s v="9.9649-0308"/>
    <s v="R. SIMAO PEDRO, 44"/>
    <s v="PACAEMBU"/>
    <s v="38401-476"/>
    <m/>
    <m/>
    <x v="2"/>
    <n v="1"/>
    <n v="35"/>
    <n v="35"/>
    <m/>
    <x v="1"/>
  </r>
  <r>
    <n v="1649"/>
    <x v="1"/>
    <x v="3"/>
    <x v="24"/>
    <s v="9.9123-8415"/>
    <s v="R.CLAUDEMIRO JOSE DE SOUZA, 605 APTO 102C"/>
    <s v="BRASIL"/>
    <s v="38400-664"/>
    <m/>
    <m/>
    <x v="2"/>
    <n v="1"/>
    <n v="35"/>
    <n v="35"/>
    <m/>
    <x v="1"/>
  </r>
  <r>
    <n v="1648"/>
    <x v="1"/>
    <x v="3"/>
    <x v="25"/>
    <s v="99148-4283"/>
    <s v="R. CAULE, 980"/>
    <s v="JD. BOTANICO"/>
    <s v="38410-653"/>
    <m/>
    <m/>
    <x v="2"/>
    <n v="2"/>
    <n v="35"/>
    <n v="70"/>
    <m/>
    <x v="1"/>
  </r>
  <r>
    <n v="1647"/>
    <x v="1"/>
    <x v="3"/>
    <x v="26"/>
    <s v="9.9799-9784"/>
    <s v="R. BELARMINO COTA PACHECO, 1461 APTO 101"/>
    <s v="SANTA MONICA"/>
    <s v="38408-168"/>
    <m/>
    <m/>
    <x v="1"/>
    <n v="1"/>
    <n v="35"/>
    <n v="35"/>
    <m/>
    <x v="1"/>
  </r>
  <r>
    <n v="1646"/>
    <x v="1"/>
    <x v="3"/>
    <x v="27"/>
    <s v="9.9817-7487"/>
    <s v="R. LOURDES DE CARVALHO, 1364"/>
    <s v="SANTA MONICA"/>
    <s v="38408-268"/>
    <s v="RECEBER 70,00"/>
    <m/>
    <x v="1"/>
    <n v="1"/>
    <n v="35"/>
    <n v="35"/>
    <m/>
    <x v="1"/>
  </r>
  <r>
    <n v="1645"/>
    <x v="1"/>
    <x v="3"/>
    <x v="28"/>
    <s v="9.9694-0869"/>
    <s v="R. IBIA, 127"/>
    <s v="OSVALDO REZENDE"/>
    <s v="38400-430"/>
    <m/>
    <m/>
    <x v="1"/>
    <n v="1"/>
    <n v="35"/>
    <n v="35"/>
    <m/>
    <x v="1"/>
  </r>
  <r>
    <n v="1644"/>
    <x v="1"/>
    <x v="3"/>
    <x v="29"/>
    <s v="99195-9740"/>
    <s v="AV. BELO HORIZONTE, 1786 - ESQUINA C/ R. LAMBARI"/>
    <s v=" OSVALDO RESENDE "/>
    <s v="38400-454"/>
    <m/>
    <m/>
    <x v="2"/>
    <n v="1"/>
    <n v="35"/>
    <n v="35"/>
    <m/>
    <x v="1"/>
  </r>
  <r>
    <n v="1643"/>
    <x v="1"/>
    <x v="3"/>
    <x v="30"/>
    <s v="3213-3201/ 9.9211-0864"/>
    <s v="AV. CLARA CAMARAO, 427"/>
    <s v="N.SRA GRAÇAS"/>
    <s v="38402-010"/>
    <m/>
    <m/>
    <x v="1"/>
    <n v="1"/>
    <n v="35"/>
    <n v="35"/>
    <m/>
    <x v="1"/>
  </r>
  <r>
    <n v="1643"/>
    <x v="1"/>
    <x v="3"/>
    <x v="30"/>
    <s v="3213-3201/ 9.9211-0864"/>
    <s v="AV. CLARA CAMARAO, 427"/>
    <s v="N.SRA GRAÇAS"/>
    <s v="38402-010"/>
    <m/>
    <m/>
    <x v="2"/>
    <n v="1"/>
    <n v="35"/>
    <n v="35"/>
    <m/>
    <x v="1"/>
  </r>
  <r>
    <n v="1642"/>
    <x v="1"/>
    <x v="3"/>
    <x v="31"/>
    <s v="9.8899-1860"/>
    <s v="R. ENGENHEIRO HELVIO FELICI, 250"/>
    <s v="MORADA DA COLINA"/>
    <s v="38411-114"/>
    <s v="RECEBER 70,00"/>
    <m/>
    <x v="0"/>
    <n v="1"/>
    <n v="35"/>
    <n v="35"/>
    <m/>
    <x v="1"/>
  </r>
  <r>
    <n v="1641"/>
    <x v="1"/>
    <x v="3"/>
    <x v="32"/>
    <s v="9.9171-4462"/>
    <s v="R. MONLEVADE, 852"/>
    <s v="DANIEL FONSECA"/>
    <s v="38400-320"/>
    <m/>
    <m/>
    <x v="2"/>
    <n v="2"/>
    <n v="35"/>
    <n v="70"/>
    <m/>
    <x v="1"/>
  </r>
  <r>
    <n v="1639"/>
    <x v="1"/>
    <x v="6"/>
    <x v="33"/>
    <s v="99942-3020"/>
    <s v="RUA CIPRIANO DEL FAVERO 659 APTº 1200  "/>
    <s v=" CENTRO "/>
    <s v="38400-106"/>
    <m/>
    <m/>
    <x v="2"/>
    <n v="1"/>
    <n v="35"/>
    <n v="35"/>
    <m/>
    <x v="1"/>
  </r>
  <r>
    <n v="1639"/>
    <x v="1"/>
    <x v="6"/>
    <x v="33"/>
    <s v="99942-3020"/>
    <s v="RUA CIPRIANO DEL FAVERO 659 APTº 1200  "/>
    <s v=" CENTRO "/>
    <s v="38400-106"/>
    <m/>
    <m/>
    <x v="3"/>
    <n v="1"/>
    <n v="35"/>
    <n v="35"/>
    <m/>
    <x v="1"/>
  </r>
  <r>
    <n v="1638"/>
    <x v="1"/>
    <x v="6"/>
    <x v="34"/>
    <s v="9.9979 1518"/>
    <s v="R. TABAJARAS, 200 esq. R. URUCANIA"/>
    <s v="VIGILATO PEREIRA "/>
    <s v="38408-391"/>
    <s v="ligar antes"/>
    <m/>
    <x v="1"/>
    <n v="1"/>
    <n v="35"/>
    <n v="35"/>
    <m/>
    <x v="1"/>
  </r>
  <r>
    <n v="1638"/>
    <x v="1"/>
    <x v="6"/>
    <x v="34"/>
    <s v="9.9979 1518"/>
    <s v="R. TABAJARAS, 200 esq. R. URUCANIA"/>
    <s v="VIGILATO PEREIRA "/>
    <s v="38408-391"/>
    <s v="ligar antes"/>
    <m/>
    <x v="2"/>
    <n v="1"/>
    <n v="35"/>
    <n v="35"/>
    <m/>
    <x v="1"/>
  </r>
  <r>
    <n v="1637"/>
    <x v="1"/>
    <x v="6"/>
    <x v="35"/>
    <s v="9.9121-7971"/>
    <s v="Av.Dimas Machado, 642 -J &amp; M Centro Automotivo "/>
    <s v="CHACARAS TUBALINA"/>
    <s v="38413-291"/>
    <m/>
    <m/>
    <x v="2"/>
    <n v="1"/>
    <n v="35"/>
    <n v="35"/>
    <m/>
    <x v="1"/>
  </r>
  <r>
    <n v="1635"/>
    <x v="1"/>
    <x v="6"/>
    <x v="36"/>
    <n v="0"/>
    <s v="RUA DOM ALMIR MARQUES FERREIRA, 820 "/>
    <s v="GAVEA"/>
    <s v="38411-170"/>
    <m/>
    <s v="JOSE LUIZ"/>
    <x v="2"/>
    <n v="1"/>
    <n v="35"/>
    <n v="35"/>
    <m/>
    <x v="1"/>
  </r>
  <r>
    <n v="1634"/>
    <x v="1"/>
    <x v="6"/>
    <x v="37"/>
    <s v="9.9781-0678"/>
    <s v="Av dos Jardins,1500 // Condomínio Jardins Gênova // Alameda das Carolinas, 210"/>
    <s v="NOVA UBERLANDIA"/>
    <s v="38412-639"/>
    <m/>
    <m/>
    <x v="1"/>
    <n v="1"/>
    <n v="35"/>
    <n v="35"/>
    <m/>
    <x v="1"/>
  </r>
  <r>
    <n v="1633"/>
    <x v="1"/>
    <x v="6"/>
    <x v="38"/>
    <n v="0"/>
    <n v="0"/>
    <n v="0"/>
    <n v="0"/>
    <m/>
    <s v="JOSE LUIZ"/>
    <x v="2"/>
    <n v="1"/>
    <n v="35"/>
    <n v="35"/>
    <m/>
    <x v="1"/>
  </r>
  <r>
    <n v="1632"/>
    <x v="1"/>
    <x v="6"/>
    <x v="10"/>
    <s v="3213-2775"/>
    <s v="R. PEDRO QUIRINO DA SILVA, 341 "/>
    <s v="MARTA HELENA "/>
    <s v="38402-075"/>
    <s v="RODRIGO/VALERIA"/>
    <m/>
    <x v="1"/>
    <n v="2"/>
    <n v="35"/>
    <n v="70"/>
    <m/>
    <x v="1"/>
  </r>
  <r>
    <n v="1631"/>
    <x v="1"/>
    <x v="7"/>
    <x v="39"/>
    <s v="98803-5267"/>
    <s v="RUA CAMPO RUPESTRE, 193"/>
    <s v=" JD. BOTANICO "/>
    <s v="38410-664"/>
    <m/>
    <m/>
    <x v="2"/>
    <n v="1"/>
    <n v="35"/>
    <n v="35"/>
    <n v="35"/>
    <x v="2"/>
  </r>
  <r>
    <n v="1630"/>
    <x v="1"/>
    <x v="7"/>
    <x v="40"/>
    <s v="98845-0023"/>
    <s v="RUA PROF. CIRO DE CASTRO ALMEIDA, 1576"/>
    <s v="CUSTODIO PEREIRA"/>
    <s v="38405-250"/>
    <m/>
    <s v="GABRIEL"/>
    <x v="0"/>
    <n v="1"/>
    <n v="35"/>
    <n v="35"/>
    <m/>
    <x v="1"/>
  </r>
  <r>
    <n v="1630"/>
    <x v="1"/>
    <x v="7"/>
    <x v="40"/>
    <s v="98845-0023"/>
    <s v="RUA PROF. CIRO DE CASTRO ALMEIDA, 1576"/>
    <s v="CUSTODIO PEREIRA"/>
    <s v="38405-250"/>
    <m/>
    <s v="GABRIEL"/>
    <x v="2"/>
    <n v="1"/>
    <n v="35"/>
    <n v="35"/>
    <m/>
    <x v="1"/>
  </r>
  <r>
    <n v="1629"/>
    <x v="1"/>
    <x v="7"/>
    <x v="41"/>
    <s v="99133-6005"/>
    <s v="RUA CAXAMBU, 284 - AP 103"/>
    <s v=" OSVALDO RESENDE "/>
    <s v="38400-418"/>
    <m/>
    <s v="GABRIEL"/>
    <x v="0"/>
    <n v="1"/>
    <n v="35"/>
    <n v="35"/>
    <m/>
    <x v="1"/>
  </r>
  <r>
    <n v="1628"/>
    <x v="1"/>
    <x v="8"/>
    <x v="42"/>
    <n v="0"/>
    <n v="0"/>
    <n v="0"/>
    <n v="0"/>
    <m/>
    <m/>
    <x v="0"/>
    <n v="3"/>
    <n v="35"/>
    <n v="105"/>
    <m/>
    <x v="1"/>
  </r>
  <r>
    <n v="1628"/>
    <x v="1"/>
    <x v="8"/>
    <x v="42"/>
    <n v="0"/>
    <n v="0"/>
    <n v="0"/>
    <n v="0"/>
    <m/>
    <m/>
    <x v="1"/>
    <n v="3"/>
    <n v="35"/>
    <n v="105"/>
    <m/>
    <x v="1"/>
  </r>
  <r>
    <n v="1628"/>
    <x v="1"/>
    <x v="8"/>
    <x v="42"/>
    <n v="0"/>
    <n v="0"/>
    <n v="0"/>
    <n v="0"/>
    <m/>
    <m/>
    <x v="2"/>
    <n v="4"/>
    <n v="35"/>
    <n v="140"/>
    <m/>
    <x v="1"/>
  </r>
  <r>
    <n v="1628"/>
    <x v="1"/>
    <x v="8"/>
    <x v="42"/>
    <n v="0"/>
    <n v="0"/>
    <n v="0"/>
    <n v="0"/>
    <m/>
    <m/>
    <x v="3"/>
    <n v="1"/>
    <n v="35"/>
    <n v="35"/>
    <m/>
    <x v="1"/>
  </r>
  <r>
    <n v="1627"/>
    <x v="1"/>
    <x v="9"/>
    <x v="43"/>
    <s v="9.9262-2729"/>
    <s v="R. LUZIA NEVES FLECK, 150 - BK 14 APTO 202"/>
    <s v="GAVEA SUL"/>
    <s v="38425-376"/>
    <m/>
    <m/>
    <x v="2"/>
    <n v="1"/>
    <n v="35"/>
    <n v="35"/>
    <n v="35"/>
    <x v="2"/>
  </r>
  <r>
    <n v="1626"/>
    <x v="1"/>
    <x v="9"/>
    <x v="44"/>
    <s v="9.9677-6107"/>
    <s v="R. ADALBERTO ALBUQUERQUE PAJUABA, 225"/>
    <s v="PLANALTO"/>
    <s v="38413-270"/>
    <m/>
    <m/>
    <x v="2"/>
    <n v="1"/>
    <n v="35"/>
    <n v="35"/>
    <n v="35"/>
    <x v="2"/>
  </r>
  <r>
    <n v="1625"/>
    <x v="1"/>
    <x v="9"/>
    <x v="45"/>
    <s v="9.3255-6765"/>
    <s v="R.PAULO MAIA, 146"/>
    <s v="SAO JORGE"/>
    <s v="38410-046"/>
    <m/>
    <m/>
    <x v="0"/>
    <n v="1"/>
    <n v="35"/>
    <n v="35"/>
    <n v="35"/>
    <x v="2"/>
  </r>
  <r>
    <n v="1624"/>
    <x v="1"/>
    <x v="9"/>
    <x v="46"/>
    <s v="9.9971-2853/ 9.9997-2853"/>
    <s v="ALAMEDA ALFREDO PETRI, 161"/>
    <s v="JD KARAIBA"/>
    <s v="38411-200"/>
    <m/>
    <m/>
    <x v="1"/>
    <n v="1"/>
    <n v="35"/>
    <n v="35"/>
    <m/>
    <x v="1"/>
  </r>
  <r>
    <n v="1623"/>
    <x v="1"/>
    <x v="9"/>
    <x v="47"/>
    <s v="9.9233-2040"/>
    <s v="RUA JUVENAL TERTULIANO SILVA, 62"/>
    <s v="ROOSEVELT"/>
    <s v="38401-838"/>
    <m/>
    <m/>
    <x v="1"/>
    <n v="1"/>
    <n v="35"/>
    <n v="35"/>
    <m/>
    <x v="1"/>
  </r>
  <r>
    <n v="1622"/>
    <x v="1"/>
    <x v="9"/>
    <x v="48"/>
    <s v="9.9222-2656"/>
    <s v="ALAMEDA BENETIDO JOSE DE SOUZA, Nº 81"/>
    <s v=" JD HOLANDA "/>
    <s v="38412-887"/>
    <m/>
    <m/>
    <x v="0"/>
    <n v="1"/>
    <n v="35"/>
    <n v="35"/>
    <n v="35"/>
    <x v="2"/>
  </r>
  <r>
    <n v="1621"/>
    <x v="1"/>
    <x v="9"/>
    <x v="49"/>
    <n v="0"/>
    <s v="RUA JOSE PIRES DEFENSOR, 600, CASA 28"/>
    <n v="0"/>
    <n v="0"/>
    <s v="RUDIMAR"/>
    <m/>
    <x v="2"/>
    <n v="1"/>
    <n v="35"/>
    <n v="35"/>
    <n v="35"/>
    <x v="2"/>
  </r>
  <r>
    <n v="1620"/>
    <x v="1"/>
    <x v="9"/>
    <x v="49"/>
    <n v="0"/>
    <s v="RUA JOSE PIRES DEFENSOR, 600, CASA 28"/>
    <n v="0"/>
    <n v="0"/>
    <s v="ATINA"/>
    <m/>
    <x v="0"/>
    <n v="1"/>
    <n v="35"/>
    <n v="35"/>
    <n v="35"/>
    <x v="2"/>
  </r>
  <r>
    <n v="1619"/>
    <x v="1"/>
    <x v="9"/>
    <x v="49"/>
    <n v="0"/>
    <s v="RUA JOSE PIRES DEFENSOR, 600, CASA 28"/>
    <n v="0"/>
    <n v="0"/>
    <s v="CASA"/>
    <m/>
    <x v="0"/>
    <n v="1"/>
    <n v="35"/>
    <n v="35"/>
    <n v="35"/>
    <x v="2"/>
  </r>
  <r>
    <n v="1618"/>
    <x v="1"/>
    <x v="9"/>
    <x v="50"/>
    <s v="9.9684-7889"/>
    <s v="AV. IMBAÚBA 2200 BL03 AP404"/>
    <s v="JARAGUA"/>
    <s v="38413-108"/>
    <m/>
    <m/>
    <x v="1"/>
    <n v="1"/>
    <n v="35"/>
    <n v="35"/>
    <n v="35"/>
    <x v="2"/>
  </r>
  <r>
    <n v="1617"/>
    <x v="1"/>
    <x v="9"/>
    <x v="51"/>
    <s v="9.9140-5267"/>
    <s v="AV. VIRGILIO CARRIJO, 290"/>
    <s v="MARTA HELENA "/>
    <s v="38402-248"/>
    <s v="JEANDERSON"/>
    <m/>
    <x v="1"/>
    <n v="1"/>
    <n v="35"/>
    <n v="35"/>
    <n v="35"/>
    <x v="2"/>
  </r>
  <r>
    <n v="1616"/>
    <x v="1"/>
    <x v="9"/>
    <x v="51"/>
    <s v="9.9140-5267"/>
    <s v="AV. VIRGILIO CARRIJO, 290"/>
    <s v="MARTA HELENA "/>
    <s v="38402-248"/>
    <s v="MARCELO"/>
    <m/>
    <x v="1"/>
    <n v="3"/>
    <n v="35"/>
    <n v="105"/>
    <n v="105"/>
    <x v="2"/>
  </r>
  <r>
    <n v="1615"/>
    <x v="1"/>
    <x v="9"/>
    <x v="10"/>
    <s v="3213-2775"/>
    <s v="R. PEDRO QUIRINO DA SILVA, 341 "/>
    <s v="MARTA HELENA "/>
    <s v="38402-075"/>
    <s v="MARCELO"/>
    <m/>
    <x v="1"/>
    <n v="3"/>
    <n v="35"/>
    <n v="105"/>
    <n v="105"/>
    <x v="2"/>
  </r>
  <r>
    <n v="1614"/>
    <x v="1"/>
    <x v="9"/>
    <x v="52"/>
    <s v="9.9679-6465"/>
    <s v="RUA JOAO BORGES, 437 CASA 01"/>
    <s v="ROOSEVELT"/>
    <s v="38401-056"/>
    <m/>
    <m/>
    <x v="2"/>
    <n v="2"/>
    <n v="35"/>
    <n v="70"/>
    <m/>
    <x v="1"/>
  </r>
  <r>
    <n v="1613"/>
    <x v="1"/>
    <x v="9"/>
    <x v="53"/>
    <s v="9.9219-9467"/>
    <s v="R.NORDAU GONÇALVES DE MELO, 1232"/>
    <s v="SANTA MONICA"/>
    <s v="38408-218"/>
    <m/>
    <m/>
    <x v="0"/>
    <n v="1"/>
    <n v="35"/>
    <n v="35"/>
    <n v="35"/>
    <x v="2"/>
  </r>
  <r>
    <n v="1612"/>
    <x v="1"/>
    <x v="9"/>
    <x v="53"/>
    <s v="9.9219-9467"/>
    <s v="R.NORDAU GONÇALVES DE MELO, 1232"/>
    <s v="SANTA MONICA"/>
    <s v="38408-218"/>
    <s v="IGOR"/>
    <m/>
    <x v="0"/>
    <n v="1"/>
    <n v="35"/>
    <n v="35"/>
    <n v="35"/>
    <x v="2"/>
  </r>
  <r>
    <n v="1612"/>
    <x v="1"/>
    <x v="9"/>
    <x v="53"/>
    <s v="9.9219-9467"/>
    <s v="R.NORDAU GONÇALVES DE MELO, 1232"/>
    <s v="SANTA MONICA"/>
    <s v="38408-218"/>
    <s v="IGOR"/>
    <m/>
    <x v="2"/>
    <n v="2"/>
    <n v="35"/>
    <n v="70"/>
    <n v="70"/>
    <x v="2"/>
  </r>
  <r>
    <n v="1611"/>
    <x v="1"/>
    <x v="4"/>
    <x v="54"/>
    <s v="9.9667-9300"/>
    <s v="AV. RODRIGO PEREIRA JR, 205 APTO 504 TORRE 3"/>
    <s v="ROOSEVELT"/>
    <s v="38401-018"/>
    <m/>
    <m/>
    <x v="1"/>
    <n v="1"/>
    <n v="35"/>
    <n v="35"/>
    <m/>
    <x v="1"/>
  </r>
  <r>
    <n v="1610"/>
    <x v="1"/>
    <x v="4"/>
    <x v="55"/>
    <s v="9.8409-2820"/>
    <s v="Av. Fernando Vilela, 1207"/>
    <s v="MARTINS"/>
    <s v="38400-456"/>
    <m/>
    <m/>
    <x v="2"/>
    <n v="1"/>
    <n v="35"/>
    <n v="35"/>
    <m/>
    <x v="1"/>
  </r>
  <r>
    <n v="1609"/>
    <x v="1"/>
    <x v="4"/>
    <x v="56"/>
    <s v="9.9656-9977"/>
    <s v="R. ARNALDO TUCCI 1289 ANT34 "/>
    <s v="SANTA MONICA"/>
    <s v="38408-256"/>
    <m/>
    <m/>
    <x v="1"/>
    <n v="3"/>
    <n v="35"/>
    <n v="105"/>
    <m/>
    <x v="1"/>
  </r>
  <r>
    <n v="1608"/>
    <x v="1"/>
    <x v="4"/>
    <x v="10"/>
    <s v="3213-2775"/>
    <s v="R. PEDRO QUIRINO DA SILVA, 341 "/>
    <s v="MARTA HELENA "/>
    <s v="38402-075"/>
    <s v="2 GABRIEL MÊS ANTERIOR(BIA)"/>
    <m/>
    <x v="1"/>
    <n v="2"/>
    <n v="35"/>
    <n v="70"/>
    <n v="70"/>
    <x v="2"/>
  </r>
  <r>
    <n v="1607"/>
    <x v="1"/>
    <x v="4"/>
    <x v="57"/>
    <s v="9.9860-0086"/>
    <s v="R. JAMILE CALIL ATIE, 451 BLOCO 3 APTO 05"/>
    <s v="JD EUROPA"/>
    <s v="38414-419"/>
    <m/>
    <m/>
    <x v="2"/>
    <n v="1"/>
    <n v="35"/>
    <n v="35"/>
    <n v="35"/>
    <x v="2"/>
  </r>
  <r>
    <n v="1607"/>
    <x v="1"/>
    <x v="4"/>
    <x v="57"/>
    <s v="9.9860-0086"/>
    <s v="R. JAMILE CALIL ATIE, 451 BLOCO 3 APTO 05"/>
    <s v="JD EUROPA"/>
    <s v="38414-419"/>
    <m/>
    <m/>
    <x v="3"/>
    <n v="1"/>
    <n v="35"/>
    <n v="35"/>
    <n v="35"/>
    <x v="2"/>
  </r>
  <r>
    <n v="1606"/>
    <x v="1"/>
    <x v="10"/>
    <x v="58"/>
    <s v="99147-8758"/>
    <n v="0"/>
    <n v="0"/>
    <n v="0"/>
    <m/>
    <m/>
    <x v="0"/>
    <n v="2"/>
    <n v="35"/>
    <n v="70"/>
    <m/>
    <x v="1"/>
  </r>
  <r>
    <n v="1605"/>
    <x v="1"/>
    <x v="10"/>
    <x v="59"/>
    <s v="9.9135-7263"/>
    <s v="Rua Pica Paus 1750, condomínio Jardins Roma, Rua Copaibeiras 95"/>
    <s v="NOVA UBERLANDIA"/>
    <s v="38412-641"/>
    <m/>
    <m/>
    <x v="0"/>
    <n v="1"/>
    <n v="35"/>
    <n v="35"/>
    <m/>
    <x v="1"/>
  </r>
  <r>
    <n v="1605"/>
    <x v="1"/>
    <x v="10"/>
    <x v="59"/>
    <s v="9.9135-7263"/>
    <s v="Rua Pica Paus 1750, condomínio Jardins Roma, Rua Copaibeiras 95"/>
    <s v="NOVA UBERLANDIA"/>
    <s v="38412-641"/>
    <m/>
    <m/>
    <x v="1"/>
    <n v="1"/>
    <n v="35"/>
    <n v="35"/>
    <m/>
    <x v="1"/>
  </r>
  <r>
    <n v="1604"/>
    <x v="1"/>
    <x v="10"/>
    <x v="10"/>
    <s v="3213-2775"/>
    <s v="R. PEDRO QUIRINO DA SILVA, 341 "/>
    <s v="MARTA HELENA "/>
    <s v="38402-075"/>
    <m/>
    <m/>
    <x v="1"/>
    <n v="2"/>
    <n v="35"/>
    <n v="70"/>
    <m/>
    <x v="1"/>
  </r>
  <r>
    <n v="1603"/>
    <x v="1"/>
    <x v="10"/>
    <x v="60"/>
    <n v="0"/>
    <n v="0"/>
    <n v="0"/>
    <n v="0"/>
    <s v="2  - FALE"/>
    <m/>
    <x v="2"/>
    <n v="2"/>
    <n v="35"/>
    <n v="70"/>
    <m/>
    <x v="1"/>
  </r>
  <r>
    <n v="1602"/>
    <x v="1"/>
    <x v="2"/>
    <x v="61"/>
    <s v="9.9148-0722"/>
    <s v="R. OROZIMBO JOSE FERREIRA"/>
    <s v="APARECIDA"/>
    <s v="38400-774"/>
    <m/>
    <m/>
    <x v="0"/>
    <n v="1"/>
    <n v="35"/>
    <n v="35"/>
    <m/>
    <x v="1"/>
  </r>
  <r>
    <n v="1602"/>
    <x v="1"/>
    <x v="2"/>
    <x v="61"/>
    <s v="9.9148-0722"/>
    <s v="R. OROZIMBO JOSE FERREIRA"/>
    <s v="APARECIDA"/>
    <s v="38400-774"/>
    <m/>
    <m/>
    <x v="2"/>
    <n v="1"/>
    <n v="35"/>
    <n v="35"/>
    <m/>
    <x v="1"/>
  </r>
  <r>
    <n v="1601"/>
    <x v="1"/>
    <x v="2"/>
    <x v="62"/>
    <s v="99676-2593 "/>
    <s v="R. ANITA 125 PASSARELA AV. LIBERDADE ALTAMIRA"/>
    <s v="MORADA DA COLINA"/>
    <s v="38411-014"/>
    <m/>
    <s v="CEDEL"/>
    <x v="2"/>
    <n v="3"/>
    <n v="35"/>
    <n v="105"/>
    <m/>
    <x v="1"/>
  </r>
  <r>
    <n v="1600"/>
    <x v="1"/>
    <x v="11"/>
    <x v="63"/>
    <s v="9.8863-1720"/>
    <n v="0"/>
    <s v="CEDEL"/>
    <n v="0"/>
    <m/>
    <s v="CEDEL"/>
    <x v="2"/>
    <n v="1"/>
    <n v="35"/>
    <n v="35"/>
    <m/>
    <x v="1"/>
  </r>
  <r>
    <n v="1599"/>
    <x v="1"/>
    <x v="11"/>
    <x v="64"/>
    <s v="9.9115-9445"/>
    <s v="AV LAZARA ALVES FERREIRA, 80, APTO 1202 BLOCO C - COND.IMPERIAL RESIDENCE"/>
    <s v="SANTA MONICA"/>
    <s v="38408-092"/>
    <m/>
    <m/>
    <x v="1"/>
    <n v="1"/>
    <n v="35"/>
    <n v="35"/>
    <m/>
    <x v="1"/>
  </r>
  <r>
    <n v="1598"/>
    <x v="1"/>
    <x v="11"/>
    <x v="65"/>
    <s v="99996-4095"/>
    <s v="END: RUA VIRGILIO M. FRANCO, 340,  APTO 32"/>
    <s v=" TABAJARAS "/>
    <s v="38400-238"/>
    <s v="LEVAR TROCO"/>
    <m/>
    <x v="3"/>
    <n v="1"/>
    <n v="35"/>
    <n v="35"/>
    <m/>
    <x v="1"/>
  </r>
  <r>
    <n v="1597"/>
    <x v="2"/>
    <x v="7"/>
    <x v="10"/>
    <s v="3213-2775"/>
    <s v="R. PEDRO QUIRINO DA SILVA, 341 "/>
    <s v="MARTA HELENA "/>
    <s v="38402-075"/>
    <m/>
    <m/>
    <x v="1"/>
    <n v="4"/>
    <n v="35"/>
    <n v="140"/>
    <n v="140"/>
    <x v="2"/>
  </r>
  <r>
    <n v="1596"/>
    <x v="2"/>
    <x v="7"/>
    <x v="40"/>
    <s v="98845-0023"/>
    <s v="RUA PROF. CIRO DE CASTRO ALMEIDA, 1576"/>
    <s v="CUSTODIO PEREIRA"/>
    <s v="38405-250"/>
    <m/>
    <s v="GABRIEL"/>
    <x v="0"/>
    <n v="1"/>
    <n v="35"/>
    <n v="35"/>
    <m/>
    <x v="1"/>
  </r>
  <r>
    <n v="1596"/>
    <x v="2"/>
    <x v="7"/>
    <x v="40"/>
    <s v="98845-0023"/>
    <s v="RUA PROF. CIRO DE CASTRO ALMEIDA, 1576"/>
    <s v="CUSTODIO PEREIRA"/>
    <s v="38405-250"/>
    <m/>
    <s v="GABRIEL"/>
    <x v="2"/>
    <n v="1"/>
    <n v="35"/>
    <n v="35"/>
    <m/>
    <x v="1"/>
  </r>
  <r>
    <n v="1595"/>
    <x v="2"/>
    <x v="7"/>
    <x v="39"/>
    <s v="98803-5267"/>
    <s v="RUA CAMPO RUPESTRE, 193"/>
    <s v=" JD. BOTANICO "/>
    <s v="38410-664"/>
    <m/>
    <m/>
    <x v="1"/>
    <n v="1"/>
    <n v="35"/>
    <n v="35"/>
    <n v="35"/>
    <x v="2"/>
  </r>
  <r>
    <n v="1594"/>
    <x v="2"/>
    <x v="7"/>
    <x v="41"/>
    <s v="99133-6005"/>
    <s v="RUA CAXAMBU, 284 - AP 103"/>
    <s v=" OSVALDO RESENDE "/>
    <s v="38400-418"/>
    <m/>
    <s v="GABRIEL"/>
    <x v="0"/>
    <n v="1"/>
    <n v="35"/>
    <n v="35"/>
    <m/>
    <x v="1"/>
  </r>
  <r>
    <n v="1593"/>
    <x v="2"/>
    <x v="12"/>
    <x v="66"/>
    <s v="9.9162-2002"/>
    <s v="AV. DIMAS MACHADO, 1055 APTO 403 BL03"/>
    <s v="CHACARAS TUBALINA"/>
    <s v="38413-291"/>
    <m/>
    <m/>
    <x v="1"/>
    <n v="1"/>
    <n v="35"/>
    <n v="35"/>
    <m/>
    <x v="1"/>
  </r>
  <r>
    <n v="1592"/>
    <x v="2"/>
    <x v="12"/>
    <x v="67"/>
    <s v="9.9251-0220"/>
    <s v="ALAMEDA DOS PIRINEUS, 270"/>
    <s v="MANSÕES AEROPORTO"/>
    <s v="38406-419"/>
    <m/>
    <m/>
    <x v="1"/>
    <n v="1"/>
    <n v="35"/>
    <n v="35"/>
    <n v="35"/>
    <x v="2"/>
  </r>
  <r>
    <n v="1592"/>
    <x v="2"/>
    <x v="12"/>
    <x v="67"/>
    <s v="9.9251-0220"/>
    <s v="ALAMEDA DOS PIRINEUS, 270"/>
    <s v="MANSÕES AEROPORTO"/>
    <s v="38406-419"/>
    <m/>
    <m/>
    <x v="2"/>
    <n v="1"/>
    <n v="35"/>
    <n v="35"/>
    <n v="35"/>
    <x v="2"/>
  </r>
  <r>
    <n v="1591"/>
    <x v="2"/>
    <x v="12"/>
    <x v="68"/>
    <s v="99922-1882"/>
    <s v="AV.GERALDO ABRAO, 611 COND.ROYAL PARK - DENTRO: ALAMEDA OCEANO ATLANTICO, 295"/>
    <s v="JD INCONFIDENCIA"/>
    <s v="38411-229"/>
    <m/>
    <m/>
    <x v="2"/>
    <n v="1"/>
    <n v="35"/>
    <n v="35"/>
    <m/>
    <x v="1"/>
  </r>
  <r>
    <n v="1590"/>
    <x v="2"/>
    <x v="12"/>
    <x v="69"/>
    <s v="9.9137-0301"/>
    <s v="ALAMEDA PAUSO CESAR SANTANA , 885 -BLOCO 7 , APTO 406"/>
    <s v=" JD HOLANDA "/>
    <s v="38412-326"/>
    <m/>
    <m/>
    <x v="3"/>
    <n v="1"/>
    <n v="35"/>
    <n v="35"/>
    <m/>
    <x v="1"/>
  </r>
  <r>
    <n v="1589"/>
    <x v="2"/>
    <x v="12"/>
    <x v="70"/>
    <s v="99154-7699"/>
    <s v="R. ENGENHEIRO HELVIO FELICI, 360"/>
    <s v="MORADA DA COLINA"/>
    <s v="38411-114"/>
    <m/>
    <m/>
    <x v="0"/>
    <n v="1"/>
    <n v="35"/>
    <n v="35"/>
    <n v="35"/>
    <x v="2"/>
  </r>
  <r>
    <n v="1589"/>
    <x v="2"/>
    <x v="12"/>
    <x v="70"/>
    <s v="99154-7699"/>
    <s v="R. ENGENHEIRO HELVIO FELICI, 360"/>
    <s v="MORADA DA COLINA"/>
    <s v="38411-114"/>
    <m/>
    <m/>
    <x v="2"/>
    <n v="1"/>
    <n v="35"/>
    <n v="35"/>
    <n v="35"/>
    <x v="2"/>
  </r>
  <r>
    <n v="1588"/>
    <x v="2"/>
    <x v="12"/>
    <x v="71"/>
    <s v="9.9971-2858"/>
    <s v="Av. dos Vinhedos, 100 / R. FLOR DO EGITO, 160 COND GAVEA HILL 1"/>
    <s v="MORADA DA COLINA"/>
    <s v="38411-159"/>
    <m/>
    <m/>
    <x v="0"/>
    <n v="1"/>
    <n v="35"/>
    <n v="35"/>
    <m/>
    <x v="1"/>
  </r>
  <r>
    <n v="1587"/>
    <x v="2"/>
    <x v="12"/>
    <x v="72"/>
    <s v="9.8884-2276"/>
    <s v="R. NITEROI, 1366"/>
    <s v="APARECIDA"/>
    <s v="38400-769"/>
    <m/>
    <m/>
    <x v="0"/>
    <n v="1"/>
    <n v="35"/>
    <n v="35"/>
    <m/>
    <x v="1"/>
  </r>
  <r>
    <n v="1586"/>
    <x v="2"/>
    <x v="12"/>
    <x v="73"/>
    <s v="9.8876-6001"/>
    <s v="RUA QUINTINO BOCAIUVA, 994"/>
    <s v="CENTRO"/>
    <s v="38400-106"/>
    <m/>
    <m/>
    <x v="1"/>
    <n v="1"/>
    <n v="35"/>
    <n v="35"/>
    <n v="35"/>
    <x v="2"/>
  </r>
  <r>
    <n v="1585"/>
    <x v="2"/>
    <x v="12"/>
    <x v="74"/>
    <s v="9.9212-9093"/>
    <n v="0"/>
    <n v="0"/>
    <n v="0"/>
    <m/>
    <s v="CEDEL"/>
    <x v="0"/>
    <n v="1"/>
    <n v="35"/>
    <n v="35"/>
    <m/>
    <x v="1"/>
  </r>
  <r>
    <n v="1584"/>
    <x v="2"/>
    <x v="12"/>
    <x v="4"/>
    <s v="9.9197-7955"/>
    <n v="0"/>
    <s v="CEDEL"/>
    <n v="0"/>
    <m/>
    <s v="CEDEL"/>
    <x v="2"/>
    <n v="2"/>
    <n v="35"/>
    <n v="70"/>
    <m/>
    <x v="1"/>
  </r>
  <r>
    <n v="1583"/>
    <x v="2"/>
    <x v="12"/>
    <x v="75"/>
    <s v="9.9800-1285"/>
    <s v="RUA FRANCISCO RODRIGUES SERRALHA, 350 CONDOMINIO UCHOA BLOCO 27 APTO 402"/>
    <s v="CHACARAS TUBALINA"/>
    <s v="38413-297"/>
    <s v="quebrar linha"/>
    <m/>
    <x v="1"/>
    <n v="1"/>
    <n v="35"/>
    <n v="35"/>
    <n v="35"/>
    <x v="2"/>
  </r>
  <r>
    <n v="1582"/>
    <x v="2"/>
    <x v="9"/>
    <x v="52"/>
    <s v="9.9679-6465"/>
    <s v="AV.CESARIO CROSARA, 4400"/>
    <s v="ROOSEVELT"/>
    <s v="38401-188"/>
    <s v="ligar antes"/>
    <m/>
    <x v="2"/>
    <n v="2"/>
    <n v="35"/>
    <n v="70"/>
    <m/>
    <x v="1"/>
  </r>
  <r>
    <n v="1581"/>
    <x v="2"/>
    <x v="9"/>
    <x v="50"/>
    <s v="9.9684-7889"/>
    <s v="AV. IMBAÚBA 2200 BL03 AP404"/>
    <s v="JARAGUA"/>
    <s v="38413-108"/>
    <m/>
    <m/>
    <x v="1"/>
    <n v="1"/>
    <n v="35"/>
    <n v="35"/>
    <n v="35"/>
    <x v="2"/>
  </r>
  <r>
    <n v="1580"/>
    <x v="2"/>
    <x v="9"/>
    <x v="51"/>
    <s v="9.9140-5267"/>
    <s v="AV. VIRGILIO CARRIJO, 290"/>
    <s v="MARTA HELENA "/>
    <s v="38402-248"/>
    <s v="MARCELO"/>
    <m/>
    <x v="1"/>
    <n v="3"/>
    <n v="35"/>
    <n v="105"/>
    <n v="105"/>
    <x v="2"/>
  </r>
  <r>
    <n v="1579"/>
    <x v="2"/>
    <x v="9"/>
    <x v="10"/>
    <s v="3213-2775"/>
    <s v="R. PEDRO QUIRINO DA SILVA, 341 "/>
    <s v="MARTA HELENA "/>
    <s v="38402-075"/>
    <s v="MARCELO"/>
    <m/>
    <x v="1"/>
    <n v="3"/>
    <n v="35"/>
    <n v="105"/>
    <n v="105"/>
    <x v="2"/>
  </r>
  <r>
    <n v="1578"/>
    <x v="2"/>
    <x v="9"/>
    <x v="49"/>
    <n v="0"/>
    <s v="RUA JOSE PIRES DEFENSOR, 600, CASA 28"/>
    <n v="0"/>
    <n v="0"/>
    <m/>
    <s v="LEANDRO"/>
    <x v="0"/>
    <n v="1"/>
    <n v="35"/>
    <n v="35"/>
    <n v="35"/>
    <x v="2"/>
  </r>
  <r>
    <n v="1577"/>
    <x v="2"/>
    <x v="9"/>
    <x v="45"/>
    <s v="9.3255-6765"/>
    <s v="R.PAULO MAIA, 146"/>
    <s v="SAO JORGE"/>
    <s v="38410-046"/>
    <m/>
    <m/>
    <x v="0"/>
    <n v="1"/>
    <n v="35"/>
    <n v="35"/>
    <n v="35"/>
    <x v="2"/>
  </r>
  <r>
    <n v="1576"/>
    <x v="2"/>
    <x v="9"/>
    <x v="46"/>
    <s v="9.9971-2853/ 9.9997-2853"/>
    <s v="ALAMEDA ALFREDO PETRI, 161"/>
    <s v="JD KARAIBA"/>
    <s v="38411-200"/>
    <m/>
    <m/>
    <x v="1"/>
    <n v="1"/>
    <n v="35"/>
    <n v="35"/>
    <m/>
    <x v="1"/>
  </r>
  <r>
    <n v="1575"/>
    <x v="2"/>
    <x v="9"/>
    <x v="48"/>
    <s v="9.9222-2656"/>
    <s v="ALAMEDA BENETIDO JOSE DE SOUZA, Nº 81"/>
    <s v=" JD HOLANDA "/>
    <s v="38412-887"/>
    <m/>
    <m/>
    <x v="0"/>
    <n v="1"/>
    <n v="35"/>
    <n v="35"/>
    <n v="35"/>
    <x v="2"/>
  </r>
  <r>
    <n v="1574"/>
    <x v="2"/>
    <x v="9"/>
    <x v="47"/>
    <s v="9.9233-2040"/>
    <s v="RUA JUVENAL TERTULIANO SILVA, 62"/>
    <s v="ROOSEVELT"/>
    <s v="38401-838"/>
    <m/>
    <m/>
    <x v="1"/>
    <n v="1"/>
    <n v="35"/>
    <n v="35"/>
    <m/>
    <x v="1"/>
  </r>
  <r>
    <n v="1573"/>
    <x v="2"/>
    <x v="3"/>
    <x v="76"/>
    <s v="9.8878-1706"/>
    <s v="R. ATHOS PARANHOS VELOSO, 1046 (ESTÁ CORRETO)"/>
    <s v=" TUBALINA "/>
    <s v="38412-076"/>
    <m/>
    <m/>
    <x v="1"/>
    <n v="1"/>
    <n v="35"/>
    <n v="35"/>
    <m/>
    <x v="1"/>
  </r>
  <r>
    <n v="1572"/>
    <x v="2"/>
    <x v="3"/>
    <x v="24"/>
    <s v="9.9123-8415"/>
    <s v="R.CLAUDEMIRO JOSE DE SOUZA, 605 APTO 102C"/>
    <s v="BRASIL"/>
    <s v="38400-664"/>
    <m/>
    <m/>
    <x v="2"/>
    <n v="1"/>
    <n v="35"/>
    <n v="35"/>
    <m/>
    <x v="1"/>
  </r>
  <r>
    <n v="1571"/>
    <x v="2"/>
    <x v="3"/>
    <x v="77"/>
    <s v="9.9648-8576"/>
    <s v="R. ILMA MARIA DE JESUS, 32"/>
    <s v="MINAS GERAIS"/>
    <s v="38402-678"/>
    <m/>
    <m/>
    <x v="1"/>
    <n v="1"/>
    <n v="35"/>
    <n v="35"/>
    <m/>
    <x v="1"/>
  </r>
  <r>
    <n v="1570"/>
    <x v="2"/>
    <x v="3"/>
    <x v="13"/>
    <s v="9.9775-4246"/>
    <s v="R. PETROPOLIS, 406 FRENTE"/>
    <s v="CUSTODIO PEREIRA"/>
    <s v="38405-218"/>
    <m/>
    <m/>
    <x v="1"/>
    <n v="1"/>
    <n v="35"/>
    <n v="35"/>
    <n v="35"/>
    <x v="2"/>
  </r>
  <r>
    <n v="1569"/>
    <x v="2"/>
    <x v="3"/>
    <x v="14"/>
    <s v="9.9654-5772"/>
    <s v="AV. CHAD FAD, 05"/>
    <s v="CANAA"/>
    <s v="38412-474"/>
    <m/>
    <m/>
    <x v="1"/>
    <n v="1"/>
    <n v="35"/>
    <n v="35"/>
    <n v="35"/>
    <x v="2"/>
  </r>
  <r>
    <n v="1568"/>
    <x v="2"/>
    <x v="3"/>
    <x v="78"/>
    <s v="9.9120-9701/3225-2785"/>
    <s v="R. RONDONIA, 26"/>
    <s v="SANTA ROSA"/>
    <s v="38401-246"/>
    <m/>
    <m/>
    <x v="2"/>
    <n v="1"/>
    <n v="35"/>
    <n v="35"/>
    <m/>
    <x v="1"/>
  </r>
  <r>
    <n v="1567"/>
    <x v="2"/>
    <x v="3"/>
    <x v="79"/>
    <s v="9.9799-9784"/>
    <s v="AL. JOSE OLIVEIRA GUIMARAES, 371, CASA 29"/>
    <s v="JD HOLANDA"/>
    <s v="38412-324"/>
    <m/>
    <m/>
    <x v="1"/>
    <n v="1"/>
    <n v="35"/>
    <n v="35"/>
    <m/>
    <x v="1"/>
  </r>
  <r>
    <n v="1566"/>
    <x v="2"/>
    <x v="3"/>
    <x v="28"/>
    <s v="9.9694-0869"/>
    <s v="R. IBIA, 127"/>
    <s v="OSVALDO REZENDE"/>
    <s v="38400-430"/>
    <m/>
    <m/>
    <x v="1"/>
    <n v="1"/>
    <n v="35"/>
    <n v="35"/>
    <m/>
    <x v="1"/>
  </r>
  <r>
    <n v="1565"/>
    <x v="2"/>
    <x v="3"/>
    <x v="80"/>
    <s v="99240-5393"/>
    <s v="R. RIO DE JANEIRO, 932 APTO 101"/>
    <s v=" BRASIL "/>
    <s v="38400-658"/>
    <m/>
    <m/>
    <x v="2"/>
    <n v="1"/>
    <n v="35"/>
    <n v="35"/>
    <m/>
    <x v="1"/>
  </r>
  <r>
    <n v="1564"/>
    <x v="2"/>
    <x v="3"/>
    <x v="30"/>
    <s v="3213-3201/ 9.9211-0864"/>
    <s v="AV. CLARA CAMARAO, 427"/>
    <s v="N.SRA GRAÇAS"/>
    <s v="38402-010"/>
    <m/>
    <m/>
    <x v="1"/>
    <n v="1"/>
    <n v="35"/>
    <n v="35"/>
    <m/>
    <x v="1"/>
  </r>
  <r>
    <n v="1564"/>
    <x v="2"/>
    <x v="3"/>
    <x v="30"/>
    <s v="3213-3201/ 9.9211-0864"/>
    <s v="AV. CLARA CAMARAO, 427"/>
    <s v="N.SRA GRAÇAS"/>
    <s v="38402-010"/>
    <m/>
    <m/>
    <x v="2"/>
    <n v="1"/>
    <n v="35"/>
    <n v="35"/>
    <m/>
    <x v="1"/>
  </r>
  <r>
    <n v="1563"/>
    <x v="2"/>
    <x v="3"/>
    <x v="21"/>
    <s v="9.9182-8324"/>
    <s v="R.BERENICE REZENDE DINIZ,15"/>
    <s v="GAVEA"/>
    <s v="38411-162"/>
    <m/>
    <m/>
    <x v="3"/>
    <n v="1"/>
    <n v="35"/>
    <n v="35"/>
    <m/>
    <x v="1"/>
  </r>
  <r>
    <n v="1562"/>
    <x v="2"/>
    <x v="3"/>
    <x v="17"/>
    <n v="0"/>
    <n v="0"/>
    <n v="0"/>
    <n v="0"/>
    <m/>
    <s v="CEDEL"/>
    <x v="2"/>
    <n v="1"/>
    <n v="35"/>
    <n v="35"/>
    <m/>
    <x v="1"/>
  </r>
  <r>
    <n v="1561"/>
    <x v="2"/>
    <x v="3"/>
    <x v="81"/>
    <s v="99148-4283"/>
    <s v="R. CAULE, 980"/>
    <s v="JD BOTANICO"/>
    <s v="38410-653"/>
    <m/>
    <m/>
    <x v="1"/>
    <n v="1"/>
    <n v="35"/>
    <n v="35"/>
    <m/>
    <x v="1"/>
  </r>
  <r>
    <n v="1559"/>
    <x v="2"/>
    <x v="3"/>
    <x v="82"/>
    <s v="9.9665-5619"/>
    <s v="R. ISMAEL GOMES DE OLIVEIRA, 72"/>
    <s v="ALTO UMUARAMA"/>
    <s v="38405-380"/>
    <m/>
    <m/>
    <x v="1"/>
    <n v="1"/>
    <n v="35"/>
    <n v="35"/>
    <m/>
    <x v="1"/>
  </r>
  <r>
    <n v="1558"/>
    <x v="2"/>
    <x v="3"/>
    <x v="29"/>
    <s v="99195-9740"/>
    <s v="AV. BELO HORIZONTE, 1786 - ESQUINA C/ R. LAMBARI"/>
    <s v=" OSVALDO RESENDE "/>
    <s v="38400-454"/>
    <m/>
    <m/>
    <x v="0"/>
    <n v="1"/>
    <n v="35"/>
    <n v="35"/>
    <m/>
    <x v="1"/>
  </r>
  <r>
    <n v="1557"/>
    <x v="2"/>
    <x v="3"/>
    <x v="10"/>
    <s v="3213-2775"/>
    <s v="R. PEDRO QUIRINO DA SILVA, 341 "/>
    <s v="MARTA HELENA "/>
    <s v="38402-075"/>
    <m/>
    <m/>
    <x v="1"/>
    <n v="1"/>
    <n v="35"/>
    <n v="35"/>
    <n v="35"/>
    <x v="2"/>
  </r>
  <r>
    <n v="1556"/>
    <x v="2"/>
    <x v="3"/>
    <x v="15"/>
    <s v="9.9661-1352"/>
    <s v="R. PROF EUNICE BRANDAO DE PAIVA, 139"/>
    <s v="SHOPPING PARK"/>
    <s v="38411-466"/>
    <m/>
    <m/>
    <x v="1"/>
    <n v="1"/>
    <n v="35"/>
    <n v="35"/>
    <n v="35"/>
    <x v="2"/>
  </r>
  <r>
    <n v="1555"/>
    <x v="2"/>
    <x v="3"/>
    <x v="16"/>
    <s v="9.9232-5605"/>
    <s v="R. EDMUNDO MUNIR ARANTES, 79"/>
    <s v="PLANALTO"/>
    <s v="38413-276"/>
    <m/>
    <m/>
    <x v="1"/>
    <n v="1"/>
    <n v="35"/>
    <n v="35"/>
    <n v="35"/>
    <x v="2"/>
  </r>
  <r>
    <n v="1554"/>
    <x v="2"/>
    <x v="3"/>
    <x v="83"/>
    <s v="9.9108-2161"/>
    <s v="R. BERNARDO CUPERTINO, 965 APTO 304 PODE DEIXAR PORTARIA"/>
    <s v="MARTINS"/>
    <s v="38400-323"/>
    <m/>
    <m/>
    <x v="1"/>
    <n v="1"/>
    <n v="35"/>
    <n v="35"/>
    <m/>
    <x v="1"/>
  </r>
  <r>
    <n v="1553"/>
    <x v="2"/>
    <x v="6"/>
    <x v="33"/>
    <s v="99942-3020"/>
    <s v="RUA CIPRIANO DEL FAVERO 659 APTº 1200  "/>
    <s v=" CENTRO "/>
    <s v="38400-106"/>
    <m/>
    <m/>
    <x v="2"/>
    <n v="1"/>
    <n v="35"/>
    <n v="35"/>
    <m/>
    <x v="1"/>
  </r>
  <r>
    <n v="1553"/>
    <x v="2"/>
    <x v="6"/>
    <x v="33"/>
    <s v="99942-3020"/>
    <s v="RUA CIPRIANO DEL FAVERO 659 APTº 1200  "/>
    <s v=" CENTRO "/>
    <s v="38400-106"/>
    <m/>
    <m/>
    <x v="3"/>
    <n v="1"/>
    <n v="35"/>
    <n v="35"/>
    <m/>
    <x v="1"/>
  </r>
  <r>
    <n v="1551"/>
    <x v="2"/>
    <x v="6"/>
    <x v="34"/>
    <s v="9.9979 1518"/>
    <s v="R. TABAJARAS, 200 esq. R. URUCANIA"/>
    <s v="VIGILATO PEREIRA "/>
    <s v="38408-391"/>
    <m/>
    <m/>
    <x v="1"/>
    <n v="1"/>
    <n v="35"/>
    <n v="35"/>
    <m/>
    <x v="1"/>
  </r>
  <r>
    <n v="1551"/>
    <x v="2"/>
    <x v="6"/>
    <x v="34"/>
    <s v="9.9979 1518"/>
    <s v="R. TABAJARAS, 200 esq. R. URUCANIA"/>
    <s v="VIGILATO PEREIRA "/>
    <s v="38408-391"/>
    <m/>
    <m/>
    <x v="2"/>
    <n v="1"/>
    <n v="35"/>
    <n v="35"/>
    <m/>
    <x v="1"/>
  </r>
  <r>
    <n v="1550"/>
    <x v="2"/>
    <x v="6"/>
    <x v="35"/>
    <s v="9.9121-7971"/>
    <s v="Av.Dimas Machado, 642 -J &amp; M Centro Automotivo "/>
    <s v="CHACARAS TUBALINA"/>
    <s v="38413-291"/>
    <m/>
    <m/>
    <x v="2"/>
    <n v="1"/>
    <n v="35"/>
    <n v="35"/>
    <m/>
    <x v="1"/>
  </r>
  <r>
    <n v="1549"/>
    <x v="2"/>
    <x v="6"/>
    <x v="37"/>
    <s v="9.9781-0678"/>
    <s v="Av dos Jardins,1500 // Condomínio Jardins Gênova // Alameda das Carolinas, 210"/>
    <s v="NOVA UBERLANDIA"/>
    <s v="38412-639"/>
    <m/>
    <m/>
    <x v="2"/>
    <n v="1"/>
    <n v="35"/>
    <n v="35"/>
    <m/>
    <x v="1"/>
  </r>
  <r>
    <n v="1548"/>
    <x v="2"/>
    <x v="6"/>
    <x v="10"/>
    <s v="3213-2775"/>
    <s v="R. PEDRO QUIRINO DA SILVA, 341 "/>
    <s v="MARTA HELENA "/>
    <s v="38402-075"/>
    <s v="RODRIGO/VALERIA"/>
    <m/>
    <x v="1"/>
    <n v="2"/>
    <n v="35"/>
    <n v="70"/>
    <m/>
    <x v="1"/>
  </r>
  <r>
    <n v="1547"/>
    <x v="2"/>
    <x v="11"/>
    <x v="84"/>
    <s v="9.9992-0097"/>
    <s v="R. HORACIO REZENDE, 241"/>
    <s v="OSVALDO REZENDE"/>
    <s v="38400-302"/>
    <m/>
    <m/>
    <x v="2"/>
    <n v="1"/>
    <n v="35"/>
    <n v="35"/>
    <m/>
    <x v="1"/>
  </r>
  <r>
    <n v="1546"/>
    <x v="2"/>
    <x v="8"/>
    <x v="42"/>
    <n v="0"/>
    <n v="0"/>
    <n v="0"/>
    <n v="0"/>
    <m/>
    <s v="LEONIDAS"/>
    <x v="0"/>
    <n v="2"/>
    <n v="35"/>
    <n v="70"/>
    <m/>
    <x v="1"/>
  </r>
  <r>
    <n v="1546"/>
    <x v="2"/>
    <x v="8"/>
    <x v="42"/>
    <n v="0"/>
    <n v="0"/>
    <n v="0"/>
    <n v="0"/>
    <m/>
    <s v="LEONIDAS"/>
    <x v="1"/>
    <n v="2"/>
    <n v="35"/>
    <n v="70"/>
    <m/>
    <x v="1"/>
  </r>
  <r>
    <n v="1546"/>
    <x v="2"/>
    <x v="8"/>
    <x v="42"/>
    <n v="0"/>
    <n v="0"/>
    <n v="0"/>
    <n v="0"/>
    <m/>
    <s v="LEONIDAS"/>
    <x v="2"/>
    <n v="4"/>
    <n v="35"/>
    <n v="140"/>
    <m/>
    <x v="1"/>
  </r>
  <r>
    <n v="1545"/>
    <x v="2"/>
    <x v="10"/>
    <x v="10"/>
    <s v="3213-2775"/>
    <s v="R. PEDRO QUIRINO DA SILVA, 341 "/>
    <s v="MARTA HELENA "/>
    <s v="38402-075"/>
    <s v="RODOLFO"/>
    <m/>
    <x v="1"/>
    <n v="2"/>
    <n v="35"/>
    <n v="70"/>
    <m/>
    <x v="1"/>
  </r>
  <r>
    <n v="1544"/>
    <x v="2"/>
    <x v="10"/>
    <x v="58"/>
    <s v="99147-8758"/>
    <n v="0"/>
    <n v="0"/>
    <n v="0"/>
    <m/>
    <m/>
    <x v="0"/>
    <n v="2"/>
    <n v="35"/>
    <n v="70"/>
    <m/>
    <x v="1"/>
  </r>
  <r>
    <n v="1543"/>
    <x v="2"/>
    <x v="10"/>
    <x v="60"/>
    <n v="0"/>
    <n v="0"/>
    <n v="0"/>
    <n v="0"/>
    <s v="cobrar 5 - 2 FALE"/>
    <s v="RODOLFO"/>
    <x v="2"/>
    <n v="3"/>
    <n v="35"/>
    <n v="105"/>
    <m/>
    <x v="1"/>
  </r>
  <r>
    <n v="1542"/>
    <x v="2"/>
    <x v="4"/>
    <x v="7"/>
    <s v="9.9678-7649"/>
    <n v="0"/>
    <n v="0"/>
    <n v="0"/>
    <m/>
    <s v="CEDEL"/>
    <x v="0"/>
    <n v="1"/>
    <n v="35"/>
    <n v="35"/>
    <m/>
    <x v="1"/>
  </r>
  <r>
    <n v="1542"/>
    <x v="2"/>
    <x v="4"/>
    <x v="7"/>
    <s v="9.9678-7649"/>
    <n v="0"/>
    <n v="0"/>
    <n v="0"/>
    <m/>
    <s v="CEDEL"/>
    <x v="2"/>
    <n v="1"/>
    <n v="35"/>
    <n v="35"/>
    <m/>
    <x v="1"/>
  </r>
  <r>
    <n v="1541"/>
    <x v="2"/>
    <x v="4"/>
    <x v="57"/>
    <s v="9.9860-0086"/>
    <s v="R. JAMILE CALIL ATIE, 451"/>
    <s v="JD EUROPA"/>
    <s v="38414-419"/>
    <s v="inserir bloco e apto"/>
    <m/>
    <x v="2"/>
    <n v="1"/>
    <n v="35"/>
    <n v="35"/>
    <n v="35"/>
    <x v="2"/>
  </r>
  <r>
    <n v="1541"/>
    <x v="2"/>
    <x v="4"/>
    <x v="57"/>
    <s v="9.9860-0086"/>
    <s v="R. JAMILE CALIL ATIE, 451"/>
    <s v="JD EUROPA"/>
    <s v="38414-419"/>
    <s v="inserir bloco e apto"/>
    <m/>
    <x v="3"/>
    <n v="1"/>
    <n v="35"/>
    <n v="35"/>
    <n v="35"/>
    <x v="2"/>
  </r>
  <r>
    <n v="1540"/>
    <x v="2"/>
    <x v="4"/>
    <x v="85"/>
    <s v="9.9119-5618"/>
    <s v="AV. CESARIO ALVIM, 1.428"/>
    <s v="APARECIDA"/>
    <s v="38400-694"/>
    <m/>
    <s v="CEDEL"/>
    <x v="0"/>
    <n v="1"/>
    <n v="35"/>
    <n v="35"/>
    <m/>
    <x v="1"/>
  </r>
  <r>
    <n v="1539"/>
    <x v="2"/>
    <x v="4"/>
    <x v="55"/>
    <s v="9.8409-2820"/>
    <s v="Av. Fernando Vilela, 1207"/>
    <s v="MARTINS"/>
    <s v="38400-456"/>
    <m/>
    <m/>
    <x v="2"/>
    <n v="1"/>
    <n v="35"/>
    <n v="35"/>
    <m/>
    <x v="1"/>
  </r>
  <r>
    <n v="1538"/>
    <x v="2"/>
    <x v="4"/>
    <x v="86"/>
    <s v="9.9166-1547"/>
    <n v="0"/>
    <s v="CEDEL"/>
    <n v="0"/>
    <m/>
    <s v="CEDEL"/>
    <x v="0"/>
    <n v="1"/>
    <n v="35"/>
    <n v="35"/>
    <m/>
    <x v="1"/>
  </r>
  <r>
    <n v="1538"/>
    <x v="2"/>
    <x v="4"/>
    <x v="86"/>
    <s v="9.9166-1547"/>
    <n v="0"/>
    <s v="CEDEL"/>
    <n v="0"/>
    <m/>
    <s v="CEDEL"/>
    <x v="1"/>
    <n v="1"/>
    <n v="35"/>
    <n v="35"/>
    <m/>
    <x v="1"/>
  </r>
  <r>
    <n v="1538"/>
    <x v="2"/>
    <x v="4"/>
    <x v="86"/>
    <s v="9.9166-1547"/>
    <n v="0"/>
    <s v="CEDEL"/>
    <n v="0"/>
    <m/>
    <s v="CEDEL"/>
    <x v="2"/>
    <n v="1"/>
    <n v="35"/>
    <n v="35"/>
    <m/>
    <x v="1"/>
  </r>
  <r>
    <n v="1538"/>
    <x v="2"/>
    <x v="4"/>
    <x v="86"/>
    <s v="9.9166-1547"/>
    <n v="0"/>
    <s v="CEDEL"/>
    <n v="0"/>
    <m/>
    <s v="CEDEL"/>
    <x v="3"/>
    <n v="1"/>
    <n v="35"/>
    <n v="35"/>
    <m/>
    <x v="1"/>
  </r>
  <r>
    <n v="1537"/>
    <x v="2"/>
    <x v="2"/>
    <x v="87"/>
    <s v="9.9996-5006"/>
    <n v="0"/>
    <n v="0"/>
    <n v="0"/>
    <m/>
    <s v="CEDEL"/>
    <x v="1"/>
    <n v="1"/>
    <n v="35"/>
    <n v="35"/>
    <m/>
    <x v="1"/>
  </r>
  <r>
    <n v="1536"/>
    <x v="2"/>
    <x v="9"/>
    <x v="53"/>
    <s v="9.9219-9467"/>
    <s v="R.NORDAU GONÇALVES DE MELO, 1232"/>
    <s v="SANTA MONICA"/>
    <s v="38408-218"/>
    <m/>
    <m/>
    <x v="0"/>
    <n v="1"/>
    <n v="35"/>
    <n v="35"/>
    <m/>
    <x v="1"/>
  </r>
  <r>
    <n v="1536"/>
    <x v="2"/>
    <x v="9"/>
    <x v="53"/>
    <s v="9.9219-9467"/>
    <s v="R.NORDAU GONÇALVES DE MELO, 1232"/>
    <s v="SANTA MONICA"/>
    <s v="38408-218"/>
    <m/>
    <m/>
    <x v="1"/>
    <n v="1"/>
    <n v="35"/>
    <n v="35"/>
    <m/>
    <x v="1"/>
  </r>
  <r>
    <n v="1535"/>
    <x v="2"/>
    <x v="5"/>
    <x v="88"/>
    <s v="9.9992-1956"/>
    <s v="AV.ESTRELA DO SUL, 1419"/>
    <s v="OSVALDO REZENDE"/>
    <s v="38400-389"/>
    <m/>
    <m/>
    <x v="1"/>
    <n v="1"/>
    <n v="35"/>
    <n v="35"/>
    <m/>
    <x v="1"/>
  </r>
  <r>
    <n v="1534"/>
    <x v="2"/>
    <x v="5"/>
    <x v="8"/>
    <s v="9.9149-1390"/>
    <s v="R. JOSE ELIAS, 50, TORRE B , APTO 202"/>
    <s v="KARAIBA"/>
    <s v="38411-201"/>
    <m/>
    <s v="CEDEL"/>
    <x v="1"/>
    <n v="2"/>
    <n v="35"/>
    <n v="70"/>
    <m/>
    <x v="1"/>
  </r>
  <r>
    <n v="1534"/>
    <x v="2"/>
    <x v="5"/>
    <x v="8"/>
    <s v="9.9149-1390"/>
    <s v="R. JOSE ELIAS, 50, TORRE B , APTO 202"/>
    <s v="KARAIBA"/>
    <s v="38411-201"/>
    <m/>
    <s v="CEDEL"/>
    <x v="2"/>
    <n v="1"/>
    <n v="35"/>
    <n v="35"/>
    <m/>
    <x v="1"/>
  </r>
  <r>
    <n v="1533"/>
    <x v="2"/>
    <x v="4"/>
    <x v="56"/>
    <s v="9.9656-9977"/>
    <s v="R. ARNALDO TUCCI 1289 ANT34 "/>
    <s v="SANTA MONICA"/>
    <s v="38408-256"/>
    <m/>
    <m/>
    <x v="1"/>
    <n v="3"/>
    <n v="35"/>
    <n v="105"/>
    <m/>
    <x v="1"/>
  </r>
  <r>
    <n v="1532"/>
    <x v="2"/>
    <x v="2"/>
    <x v="20"/>
    <s v="9.9647-8862 / 9.9967-0416"/>
    <s v="R. DA TERNURA, 281"/>
    <s v="INTEGRAÇÃO"/>
    <s v="38407-503"/>
    <m/>
    <m/>
    <x v="1"/>
    <n v="1"/>
    <n v="35"/>
    <n v="35"/>
    <n v="35"/>
    <x v="2"/>
  </r>
  <r>
    <n v="1531"/>
    <x v="2"/>
    <x v="2"/>
    <x v="62"/>
    <s v="99676-2593 "/>
    <s v="R. ANITA 125 PASSARELA AV. LIBERDADE ALTAMIRA"/>
    <s v="MORADA DA COLINA"/>
    <s v="38411-014"/>
    <m/>
    <m/>
    <x v="2"/>
    <n v="3"/>
    <n v="35"/>
    <n v="105"/>
    <m/>
    <x v="1"/>
  </r>
  <r>
    <n v="1529"/>
    <x v="2"/>
    <x v="2"/>
    <x v="89"/>
    <s v="9.9929-8010"/>
    <s v="AV.MISAEL RODRIGUES DE CASTRO, 1177 APTO 101"/>
    <s v="SANTA MONICA"/>
    <s v="38408-184"/>
    <m/>
    <m/>
    <x v="0"/>
    <n v="1"/>
    <n v="35"/>
    <n v="35"/>
    <m/>
    <x v="1"/>
  </r>
  <r>
    <n v="1529"/>
    <x v="2"/>
    <x v="2"/>
    <x v="89"/>
    <s v="9.9929-8010"/>
    <s v="AV.MISAEL RODRIGUES DE CASTRO, 1177 APTO 101"/>
    <s v="SANTA MONICA"/>
    <s v="38408-184"/>
    <m/>
    <m/>
    <x v="3"/>
    <n v="1"/>
    <n v="35"/>
    <n v="35"/>
    <m/>
    <x v="1"/>
  </r>
  <r>
    <n v="1528"/>
    <x v="3"/>
    <x v="4"/>
    <x v="57"/>
    <s v="9.9860-0086"/>
    <s v="R. JAMILE CALIL ATIE, 451"/>
    <s v="JD EUROPA"/>
    <s v="38414-419"/>
    <m/>
    <m/>
    <x v="2"/>
    <n v="1"/>
    <n v="35"/>
    <n v="35"/>
    <m/>
    <x v="1"/>
  </r>
  <r>
    <n v="1528"/>
    <x v="3"/>
    <x v="4"/>
    <x v="57"/>
    <s v="9.9860-0086"/>
    <s v="R. JAMILE CALIL ATIE, 451"/>
    <s v="JD EUROPA"/>
    <s v="38414-419"/>
    <m/>
    <m/>
    <x v="3"/>
    <n v="1"/>
    <n v="35"/>
    <n v="35"/>
    <m/>
    <x v="1"/>
  </r>
  <r>
    <n v="1527"/>
    <x v="3"/>
    <x v="3"/>
    <x v="78"/>
    <s v="9.9120-9701/3225-2785"/>
    <s v="R. RONDONIA, 26"/>
    <s v="SANTA ROSA"/>
    <s v="38401-246"/>
    <m/>
    <m/>
    <x v="3"/>
    <n v="1"/>
    <n v="35"/>
    <n v="35"/>
    <m/>
    <x v="1"/>
  </r>
  <r>
    <n v="1526"/>
    <x v="3"/>
    <x v="3"/>
    <x v="15"/>
    <s v="9.9661-1352"/>
    <s v="R. PROF EUNICE BRANDAO DE PAIVA, 139"/>
    <s v="SHOPPING PARK"/>
    <s v="38411-466"/>
    <m/>
    <m/>
    <x v="1"/>
    <n v="1"/>
    <n v="35"/>
    <n v="35"/>
    <n v="35"/>
    <x v="2"/>
  </r>
  <r>
    <n v="1525"/>
    <x v="3"/>
    <x v="3"/>
    <x v="31"/>
    <s v="9.8899-1860"/>
    <s v="R. ENGENHEIRO HELVIO FELICI, 250"/>
    <s v="MORADA DA COLINA"/>
    <s v="38411-114"/>
    <m/>
    <m/>
    <x v="0"/>
    <n v="1"/>
    <n v="35"/>
    <n v="35"/>
    <m/>
    <x v="1"/>
  </r>
  <r>
    <n v="1524"/>
    <x v="3"/>
    <x v="3"/>
    <x v="76"/>
    <s v="9.8878-1706"/>
    <s v="R. ATHOS PARANHOS VELOSO, 1046 (ESTÁ CORRETO)"/>
    <s v=" TUBALINA "/>
    <s v="38412-076"/>
    <m/>
    <m/>
    <x v="1"/>
    <n v="1"/>
    <n v="35"/>
    <n v="35"/>
    <m/>
    <x v="1"/>
  </r>
  <r>
    <n v="1523"/>
    <x v="3"/>
    <x v="3"/>
    <x v="12"/>
    <s v="9.9670-9884"/>
    <s v="R. AGESILAU PASCHOAL GRECO, 318"/>
    <s v="MORADA DA COLINA"/>
    <s v="38411-112"/>
    <m/>
    <m/>
    <x v="2"/>
    <n v="4"/>
    <n v="35"/>
    <n v="140"/>
    <n v="140"/>
    <x v="2"/>
  </r>
  <r>
    <n v="1522"/>
    <x v="3"/>
    <x v="3"/>
    <x v="21"/>
    <s v="9.9182-8324"/>
    <s v="R.BERENICE REZENDE DINIZ,15"/>
    <s v="GAVEA"/>
    <s v="38411-162"/>
    <m/>
    <m/>
    <x v="3"/>
    <n v="1"/>
    <n v="35"/>
    <n v="35"/>
    <m/>
    <x v="1"/>
  </r>
  <r>
    <n v="1521"/>
    <x v="3"/>
    <x v="3"/>
    <x v="17"/>
    <n v="0"/>
    <n v="0"/>
    <n v="0"/>
    <n v="0"/>
    <m/>
    <m/>
    <x v="2"/>
    <n v="1"/>
    <n v="35"/>
    <n v="35"/>
    <n v="35"/>
    <x v="2"/>
  </r>
  <r>
    <n v="1520"/>
    <x v="3"/>
    <x v="3"/>
    <x v="32"/>
    <s v="9.9171-4462"/>
    <s v="R. MONLEVADE, 852"/>
    <s v="DANIEL FONSECA"/>
    <s v="38400-320"/>
    <m/>
    <m/>
    <x v="2"/>
    <n v="2"/>
    <n v="35"/>
    <n v="70"/>
    <m/>
    <x v="1"/>
  </r>
  <r>
    <n v="1519"/>
    <x v="3"/>
    <x v="3"/>
    <x v="10"/>
    <s v="3213-2775"/>
    <s v="R. PEDRO QUIRINO DA SILVA, 341 "/>
    <s v="MARTA HELENA "/>
    <s v="38402-075"/>
    <m/>
    <m/>
    <x v="1"/>
    <n v="1"/>
    <n v="35"/>
    <n v="35"/>
    <m/>
    <x v="1"/>
  </r>
  <r>
    <n v="1518"/>
    <x v="3"/>
    <x v="3"/>
    <x v="79"/>
    <s v="9.9799-9784"/>
    <s v="AL. JOSE OLIVEIRA GUIMARAES, 371, CASA 29"/>
    <s v="JD HOLANDA"/>
    <s v="38412-324"/>
    <m/>
    <m/>
    <x v="1"/>
    <n v="1"/>
    <n v="35"/>
    <n v="35"/>
    <m/>
    <x v="1"/>
  </r>
  <r>
    <n v="1517"/>
    <x v="3"/>
    <x v="3"/>
    <x v="80"/>
    <s v="99240-5393"/>
    <s v="R. RIO DE JANEIRO, 932 APTO 101"/>
    <s v=" BRASIL "/>
    <s v="38400-658"/>
    <m/>
    <m/>
    <x v="2"/>
    <n v="1"/>
    <n v="35"/>
    <n v="35"/>
    <m/>
    <x v="1"/>
  </r>
  <r>
    <n v="1516"/>
    <x v="3"/>
    <x v="3"/>
    <x v="30"/>
    <s v="3213-3201/ 9.9211-0864"/>
    <s v="AV. CLARA CAMARAO, 427"/>
    <s v="N.SRA GRAÇAS"/>
    <s v="38402-010"/>
    <m/>
    <m/>
    <x v="1"/>
    <n v="1"/>
    <n v="35"/>
    <n v="35"/>
    <m/>
    <x v="1"/>
  </r>
  <r>
    <n v="1516"/>
    <x v="3"/>
    <x v="3"/>
    <x v="30"/>
    <s v="3213-3201/ 9.9211-0864"/>
    <s v="AV. CLARA CAMARAO, 427"/>
    <s v="N.SRA GRAÇAS"/>
    <s v="38402-010"/>
    <m/>
    <m/>
    <x v="2"/>
    <n v="1"/>
    <n v="35"/>
    <n v="35"/>
    <m/>
    <x v="1"/>
  </r>
  <r>
    <n v="1515"/>
    <x v="3"/>
    <x v="3"/>
    <x v="19"/>
    <s v=" 99155-5564 / 3215-1758"/>
    <s v="AV. CESARIO CROSARA, 3525"/>
    <s v=" ROOSEVELT "/>
    <s v="38401-119"/>
    <m/>
    <m/>
    <x v="3"/>
    <n v="1"/>
    <n v="35"/>
    <n v="35"/>
    <m/>
    <x v="1"/>
  </r>
  <r>
    <n v="1514"/>
    <x v="3"/>
    <x v="3"/>
    <x v="14"/>
    <s v="9.9654-5772"/>
    <s v="AV. CHAD FAD, 05"/>
    <s v="CANAA"/>
    <s v="38412-474"/>
    <m/>
    <m/>
    <x v="1"/>
    <n v="1"/>
    <n v="35"/>
    <n v="35"/>
    <n v="35"/>
    <x v="2"/>
  </r>
  <r>
    <n v="1513"/>
    <x v="3"/>
    <x v="3"/>
    <x v="13"/>
    <s v="9.9775-4246"/>
    <s v="R. PETROPOLIS, 406 FRENTE"/>
    <s v="CUSTODIO PEREIRA"/>
    <s v="38405-218"/>
    <m/>
    <m/>
    <x v="1"/>
    <n v="1"/>
    <n v="35"/>
    <n v="35"/>
    <n v="35"/>
    <x v="2"/>
  </r>
  <r>
    <n v="1512"/>
    <x v="3"/>
    <x v="4"/>
    <x v="7"/>
    <s v="9.9678-7649"/>
    <n v="0"/>
    <n v="0"/>
    <n v="0"/>
    <m/>
    <s v="MARCELO AUGUSTO"/>
    <x v="0"/>
    <n v="1"/>
    <n v="35"/>
    <n v="35"/>
    <m/>
    <x v="1"/>
  </r>
  <r>
    <n v="1512"/>
    <x v="3"/>
    <x v="4"/>
    <x v="7"/>
    <s v="9.9678-7649"/>
    <n v="0"/>
    <n v="0"/>
    <n v="0"/>
    <m/>
    <s v="MARCELO AUGUSTO"/>
    <x v="2"/>
    <n v="1"/>
    <n v="35"/>
    <n v="35"/>
    <m/>
    <x v="1"/>
  </r>
  <r>
    <n v="1511"/>
    <x v="3"/>
    <x v="12"/>
    <x v="90"/>
    <n v="0"/>
    <n v="0"/>
    <n v="0"/>
    <n v="0"/>
    <m/>
    <m/>
    <x v="2"/>
    <n v="1"/>
    <n v="35"/>
    <n v="35"/>
    <n v="35"/>
    <x v="2"/>
  </r>
  <r>
    <n v="1510"/>
    <x v="3"/>
    <x v="12"/>
    <x v="91"/>
    <s v="9.9976-5102"/>
    <n v="0"/>
    <s v="CEDEL"/>
    <n v="0"/>
    <m/>
    <s v="XANDE/ELIS"/>
    <x v="2"/>
    <n v="1"/>
    <n v="35"/>
    <n v="35"/>
    <n v="35"/>
    <x v="2"/>
  </r>
  <r>
    <n v="1509"/>
    <x v="3"/>
    <x v="12"/>
    <x v="73"/>
    <s v="9.8876-6001"/>
    <s v="RUA JOSE LELIS FRANÇA, 1480 APTO 301"/>
    <s v="SANTA MONICA"/>
    <s v="38408-234"/>
    <m/>
    <s v="XANDE/ELIS"/>
    <x v="1"/>
    <n v="1"/>
    <n v="35"/>
    <n v="35"/>
    <n v="35"/>
    <x v="2"/>
  </r>
  <r>
    <n v="1508"/>
    <x v="3"/>
    <x v="12"/>
    <x v="92"/>
    <s v=" 9973-9967"/>
    <n v="0"/>
    <n v="0"/>
    <n v="0"/>
    <m/>
    <s v="XANDE/ELIS"/>
    <x v="1"/>
    <n v="1"/>
    <n v="35"/>
    <n v="35"/>
    <n v="35"/>
    <x v="2"/>
  </r>
  <r>
    <n v="1508"/>
    <x v="3"/>
    <x v="12"/>
    <x v="92"/>
    <s v=" 9973-9967"/>
    <n v="0"/>
    <n v="0"/>
    <n v="0"/>
    <m/>
    <s v="XANDE/ELIS"/>
    <x v="3"/>
    <n v="1"/>
    <n v="35"/>
    <n v="35"/>
    <n v="35"/>
    <x v="2"/>
  </r>
  <r>
    <n v="1507"/>
    <x v="3"/>
    <x v="12"/>
    <x v="74"/>
    <s v="9.9212-9093"/>
    <n v="0"/>
    <n v="0"/>
    <n v="0"/>
    <m/>
    <s v="CEDEL"/>
    <x v="2"/>
    <n v="1"/>
    <n v="35"/>
    <n v="35"/>
    <m/>
    <x v="1"/>
  </r>
  <r>
    <n v="1506"/>
    <x v="3"/>
    <x v="12"/>
    <x v="4"/>
    <s v="9.9197-7955"/>
    <n v="0"/>
    <s v="CEDEL"/>
    <n v="0"/>
    <s v="LEOBALDO"/>
    <m/>
    <x v="2"/>
    <n v="2"/>
    <n v="35"/>
    <n v="70"/>
    <m/>
    <x v="1"/>
  </r>
  <r>
    <n v="1505"/>
    <x v="3"/>
    <x v="12"/>
    <x v="75"/>
    <s v="9.9800-1285"/>
    <s v="RUA FRANCISCO RODRIGUES SERRALHA, 350 CONDOMINIO UCHOA BLOCO 27 APTO 402"/>
    <s v="CHACARAS TUBALINA"/>
    <s v="38413-297"/>
    <m/>
    <m/>
    <x v="1"/>
    <n v="1"/>
    <n v="35"/>
    <n v="35"/>
    <n v="35"/>
    <x v="2"/>
  </r>
  <r>
    <n v="1504"/>
    <x v="3"/>
    <x v="4"/>
    <x v="93"/>
    <n v="0"/>
    <n v="0"/>
    <n v="0"/>
    <n v="0"/>
    <m/>
    <m/>
    <x v="2"/>
    <n v="1"/>
    <n v="35"/>
    <n v="35"/>
    <m/>
    <x v="1"/>
  </r>
  <r>
    <n v="1503"/>
    <x v="3"/>
    <x v="5"/>
    <x v="8"/>
    <s v="9.9149-1390"/>
    <s v="R. JOSE ELIAS, 50, TORRE B , APTO 202"/>
    <s v="KARAIBA"/>
    <s v="38411-201"/>
    <m/>
    <m/>
    <x v="2"/>
    <n v="2"/>
    <n v="35"/>
    <n v="70"/>
    <m/>
    <x v="1"/>
  </r>
  <r>
    <n v="1503"/>
    <x v="3"/>
    <x v="5"/>
    <x v="8"/>
    <s v="9.9149-1390"/>
    <s v="R. JOSE ELIAS, 50, TORRE B , APTO 202"/>
    <s v="KARAIBA"/>
    <s v="38411-201"/>
    <m/>
    <m/>
    <x v="3"/>
    <n v="1"/>
    <n v="35"/>
    <n v="35"/>
    <m/>
    <x v="1"/>
  </r>
  <r>
    <n v="1502"/>
    <x v="3"/>
    <x v="8"/>
    <x v="42"/>
    <n v="0"/>
    <n v="0"/>
    <n v="0"/>
    <n v="0"/>
    <m/>
    <s v="LEONIDAS"/>
    <x v="0"/>
    <n v="2"/>
    <n v="35"/>
    <n v="70"/>
    <m/>
    <x v="1"/>
  </r>
  <r>
    <n v="1502"/>
    <x v="3"/>
    <x v="8"/>
    <x v="42"/>
    <n v="0"/>
    <n v="0"/>
    <n v="0"/>
    <n v="0"/>
    <m/>
    <s v="LEONIDAS"/>
    <x v="1"/>
    <n v="4"/>
    <n v="35"/>
    <n v="140"/>
    <m/>
    <x v="1"/>
  </r>
  <r>
    <n v="1502"/>
    <x v="3"/>
    <x v="8"/>
    <x v="42"/>
    <n v="0"/>
    <n v="0"/>
    <n v="0"/>
    <n v="0"/>
    <m/>
    <s v="LEONIDAS"/>
    <x v="2"/>
    <n v="6"/>
    <n v="35"/>
    <n v="210"/>
    <m/>
    <x v="1"/>
  </r>
  <r>
    <n v="1502"/>
    <x v="3"/>
    <x v="8"/>
    <x v="42"/>
    <n v="0"/>
    <n v="0"/>
    <n v="0"/>
    <n v="0"/>
    <m/>
    <s v="LEONIDAS"/>
    <x v="3"/>
    <n v="1"/>
    <n v="35"/>
    <n v="35"/>
    <m/>
    <x v="1"/>
  </r>
  <r>
    <n v="1501"/>
    <x v="3"/>
    <x v="10"/>
    <x v="59"/>
    <s v="9.9135-7263"/>
    <s v="Rua Pica Paus 1750, condomínio Jardins Roma, Rua Copaibeiras 95"/>
    <s v="NOVA UBERLANDIA"/>
    <s v="38412-641"/>
    <m/>
    <s v="RODOLFO"/>
    <x v="0"/>
    <n v="1"/>
    <n v="35"/>
    <n v="35"/>
    <m/>
    <x v="1"/>
  </r>
  <r>
    <n v="1501"/>
    <x v="3"/>
    <x v="10"/>
    <x v="59"/>
    <s v="9.9135-7263"/>
    <s v="Rua Pica Paus 1750, condomínio Jardins Roma, Rua Copaibeiras 95"/>
    <s v="NOVA UBERLANDIA"/>
    <s v="38412-641"/>
    <m/>
    <s v="RODOLFO"/>
    <x v="1"/>
    <n v="1"/>
    <n v="35"/>
    <n v="35"/>
    <m/>
    <x v="1"/>
  </r>
  <r>
    <n v="1500"/>
    <x v="3"/>
    <x v="10"/>
    <x v="58"/>
    <s v="99147-8758"/>
    <n v="0"/>
    <n v="0"/>
    <n v="0"/>
    <m/>
    <s v="RODOLFO"/>
    <x v="0"/>
    <n v="2"/>
    <n v="35"/>
    <n v="70"/>
    <m/>
    <x v="1"/>
  </r>
  <r>
    <n v="1499"/>
    <x v="3"/>
    <x v="10"/>
    <x v="10"/>
    <s v="3213-2775"/>
    <s v="R. PEDRO QUIRINO DA SILVA, 341 "/>
    <s v="MARTA HELENA "/>
    <s v="38402-075"/>
    <s v="RODOLFO"/>
    <m/>
    <x v="1"/>
    <n v="2"/>
    <n v="35"/>
    <n v="70"/>
    <m/>
    <x v="1"/>
  </r>
  <r>
    <n v="1498"/>
    <x v="3"/>
    <x v="10"/>
    <x v="60"/>
    <n v="0"/>
    <n v="0"/>
    <n v="0"/>
    <n v="0"/>
    <m/>
    <s v="RODOLFO"/>
    <x v="1"/>
    <n v="2"/>
    <n v="35"/>
    <n v="70"/>
    <m/>
    <x v="1"/>
  </r>
  <r>
    <n v="1497"/>
    <x v="3"/>
    <x v="11"/>
    <x v="64"/>
    <s v="9.9115-9445"/>
    <s v="AV LAZARA ALVES FERREIRA, 80, APTO 1202 BLOCO C - COND.IMPERIAL RESIDENCE"/>
    <s v="SANTA MONICA"/>
    <s v="38408-092"/>
    <m/>
    <m/>
    <x v="1"/>
    <n v="1"/>
    <n v="35"/>
    <n v="35"/>
    <m/>
    <x v="1"/>
  </r>
  <r>
    <n v="1496"/>
    <x v="3"/>
    <x v="11"/>
    <x v="65"/>
    <s v="99996-4095"/>
    <s v="END: RUA VIRGILIO M. FRANCO, 340,  APTO 32"/>
    <s v=" TABAJARAS "/>
    <s v="38400-238"/>
    <s v="RECEBER 30,00 / LEVAR TROCO"/>
    <m/>
    <x v="3"/>
    <n v="1"/>
    <n v="35"/>
    <n v="35"/>
    <m/>
    <x v="1"/>
  </r>
  <r>
    <n v="1495"/>
    <x v="3"/>
    <x v="4"/>
    <x v="56"/>
    <s v="9.9656-9977"/>
    <s v="R. ARNALDO TUCCI 1289 ANT34 "/>
    <s v="SANTA MONICA"/>
    <s v="38408-256"/>
    <s v="ACERTARÁ COM LEANDRO"/>
    <m/>
    <x v="1"/>
    <n v="3"/>
    <n v="35"/>
    <n v="105"/>
    <m/>
    <x v="1"/>
  </r>
  <r>
    <n v="1494"/>
    <x v="3"/>
    <x v="2"/>
    <x v="62"/>
    <s v="99676-2593 "/>
    <s v="R. ANITA 125 PASSARELA AV. LIBERDADE ALTAMIRA"/>
    <s v="MORADA DA COLINA"/>
    <s v="38411-014"/>
    <m/>
    <s v="MILVAR"/>
    <x v="2"/>
    <n v="3"/>
    <n v="35"/>
    <n v="105"/>
    <m/>
    <x v="1"/>
  </r>
  <r>
    <n v="1493"/>
    <x v="3"/>
    <x v="2"/>
    <x v="20"/>
    <s v="9.9647-8862 / 9.9967-0416"/>
    <s v="R. DA TERNURA, 281"/>
    <s v="INTEGRAÇÃO"/>
    <s v="38407-503"/>
    <m/>
    <m/>
    <x v="1"/>
    <n v="1"/>
    <n v="35"/>
    <n v="35"/>
    <n v="35"/>
    <x v="2"/>
  </r>
  <r>
    <n v="1492"/>
    <x v="3"/>
    <x v="9"/>
    <x v="94"/>
    <s v="9.9976-8255"/>
    <s v="R. IRENE ROSA, 54 OU R. DO BORRACHEIRO, 221"/>
    <s v="OSVALDO REZENDE"/>
    <s v="38400-480"/>
    <m/>
    <m/>
    <x v="1"/>
    <n v="1"/>
    <n v="35"/>
    <n v="35"/>
    <m/>
    <x v="1"/>
  </r>
  <r>
    <n v="1491"/>
    <x v="3"/>
    <x v="9"/>
    <x v="52"/>
    <s v="9.9679-6465"/>
    <s v="AV.CESARIO CROSARA, 4400"/>
    <s v="ROOSEVELT"/>
    <s v="38401-188"/>
    <m/>
    <m/>
    <x v="2"/>
    <n v="2"/>
    <n v="35"/>
    <n v="70"/>
    <m/>
    <x v="1"/>
  </r>
  <r>
    <n v="1490"/>
    <x v="3"/>
    <x v="9"/>
    <x v="47"/>
    <s v="9.9233-2040"/>
    <s v="RUA JUVENAL TERTULIANO SILVA, 62"/>
    <s v="ROOSEVELT"/>
    <s v="38401-838"/>
    <m/>
    <m/>
    <x v="1"/>
    <n v="1"/>
    <n v="35"/>
    <n v="35"/>
    <m/>
    <x v="1"/>
  </r>
  <r>
    <n v="1489"/>
    <x v="3"/>
    <x v="9"/>
    <x v="45"/>
    <s v="9.3255-6765"/>
    <s v="R.PAULO MAIA, 146"/>
    <s v="SAO JORGE"/>
    <s v="38410-046"/>
    <m/>
    <m/>
    <x v="1"/>
    <n v="1"/>
    <n v="35"/>
    <n v="35"/>
    <n v="35"/>
    <x v="2"/>
  </r>
  <r>
    <n v="1488"/>
    <x v="3"/>
    <x v="9"/>
    <x v="53"/>
    <s v="9.9219-9467"/>
    <s v="R.NORDAU GONÇALVES DE MELO, 1232"/>
    <s v="SANTA MONICA"/>
    <s v="38408-218"/>
    <s v="MISTA-LILIAN"/>
    <m/>
    <x v="0"/>
    <n v="1"/>
    <n v="35"/>
    <n v="35"/>
    <n v="35"/>
    <x v="2"/>
  </r>
  <r>
    <n v="1488"/>
    <x v="3"/>
    <x v="9"/>
    <x v="53"/>
    <s v="9.9219-9467"/>
    <s v="R.NORDAU GONÇALVES DE MELO, 1232"/>
    <s v="SANTA MONICA"/>
    <s v="38408-218"/>
    <s v="MISTA-LILIAN"/>
    <m/>
    <x v="1"/>
    <n v="1"/>
    <n v="35"/>
    <n v="35"/>
    <n v="35"/>
    <x v="2"/>
  </r>
  <r>
    <n v="1488"/>
    <x v="3"/>
    <x v="9"/>
    <x v="53"/>
    <s v="9.9219-9467"/>
    <s v="R.NORDAU GONÇALVES DE MELO, 1232"/>
    <s v="SANTA MONICA"/>
    <s v="38408-218"/>
    <s v="MISTA-LILIAN"/>
    <m/>
    <x v="2"/>
    <n v="2"/>
    <n v="35"/>
    <n v="35"/>
    <n v="35"/>
    <x v="2"/>
  </r>
  <r>
    <n v="1487"/>
    <x v="3"/>
    <x v="9"/>
    <x v="50"/>
    <s v="9.9684-7889"/>
    <s v="AV. IMBAÚBA 2200 BL03 AP404"/>
    <s v="JARAGUA"/>
    <s v="38413-108"/>
    <m/>
    <m/>
    <x v="1"/>
    <n v="1"/>
    <n v="35"/>
    <n v="35"/>
    <n v="35"/>
    <x v="2"/>
  </r>
  <r>
    <n v="1486"/>
    <x v="3"/>
    <x v="9"/>
    <x v="10"/>
    <s v="3213-2775"/>
    <s v="R. PEDRO QUIRINO DA SILVA, 341 "/>
    <s v="MARTA HELENA "/>
    <s v="38402-075"/>
    <s v="MARCELO"/>
    <m/>
    <x v="1"/>
    <n v="6"/>
    <n v="35"/>
    <n v="210"/>
    <n v="210"/>
    <x v="2"/>
  </r>
  <r>
    <n v="1485"/>
    <x v="3"/>
    <x v="9"/>
    <x v="49"/>
    <n v="0"/>
    <s v="RUA JOSE PIRES DEFENSOR, 600, CASA 28"/>
    <n v="0"/>
    <n v="0"/>
    <s v="RUDIMAR"/>
    <s v="LEANDRO"/>
    <x v="2"/>
    <n v="1"/>
    <n v="35"/>
    <n v="35"/>
    <n v="35"/>
    <x v="2"/>
  </r>
  <r>
    <n v="1484"/>
    <x v="3"/>
    <x v="9"/>
    <x v="49"/>
    <n v="0"/>
    <s v="RUA JOSE PIRES DEFENSOR, 600, CASA 28"/>
    <n v="0"/>
    <n v="0"/>
    <s v="CASA"/>
    <s v="LEANDRO"/>
    <x v="0"/>
    <n v="1"/>
    <n v="35"/>
    <n v="35"/>
    <n v="35"/>
    <x v="2"/>
  </r>
  <r>
    <n v="1483"/>
    <x v="3"/>
    <x v="9"/>
    <x v="46"/>
    <s v="9.9971-2853/ 9.9997-2853"/>
    <s v="ALAMEDA ALFREDO PETRI, 161"/>
    <s v="JD KARAIBA"/>
    <s v="38411-200"/>
    <m/>
    <m/>
    <x v="1"/>
    <n v="1"/>
    <n v="35"/>
    <n v="35"/>
    <m/>
    <x v="1"/>
  </r>
  <r>
    <n v="1482"/>
    <x v="3"/>
    <x v="9"/>
    <x v="95"/>
    <s v="9.9222-2656"/>
    <s v="ALAMEDA BENETIDO JOSE DE SOUZA, Nº 81"/>
    <s v=" JD HOLANDA "/>
    <s v="38412-887"/>
    <m/>
    <m/>
    <x v="0"/>
    <n v="1"/>
    <n v="35"/>
    <n v="35"/>
    <n v="35"/>
    <x v="2"/>
  </r>
  <r>
    <n v="1481"/>
    <x v="3"/>
    <x v="6"/>
    <x v="34"/>
    <s v="9.9979 1518"/>
    <s v="R. TABAJARAS, 200 esq. R. URUCANIA"/>
    <s v="VIGILATO PEREIRA "/>
    <s v="38408-391"/>
    <m/>
    <m/>
    <x v="1"/>
    <n v="1"/>
    <n v="35"/>
    <n v="35"/>
    <m/>
    <x v="1"/>
  </r>
  <r>
    <n v="1480"/>
    <x v="3"/>
    <x v="6"/>
    <x v="34"/>
    <s v="9.9979 1518"/>
    <s v="R. TABAJARAS, 200 esq. R. URUCANIA"/>
    <s v="VIGILATO PEREIRA "/>
    <s v="38408-391"/>
    <s v="ligar antes"/>
    <m/>
    <x v="2"/>
    <n v="1"/>
    <n v="35"/>
    <n v="35"/>
    <m/>
    <x v="1"/>
  </r>
  <r>
    <n v="1479"/>
    <x v="3"/>
    <x v="6"/>
    <x v="37"/>
    <s v="9.9781-0678"/>
    <s v="Av dos Jardins,1500 // Condomínio Jardins Gênova // Alameda das Carolinas, 210"/>
    <s v="NOVA UBERLANDIA"/>
    <s v="38412-639"/>
    <m/>
    <m/>
    <x v="2"/>
    <n v="1"/>
    <n v="35"/>
    <n v="35"/>
    <m/>
    <x v="1"/>
  </r>
  <r>
    <n v="1478"/>
    <x v="3"/>
    <x v="6"/>
    <x v="35"/>
    <s v="9.9121-7971"/>
    <s v="Av.Dimas Machado, 642 -J &amp; M Centro Automotivo "/>
    <s v="CHACARAS TUBALINA"/>
    <s v="38413-291"/>
    <m/>
    <m/>
    <x v="2"/>
    <n v="1"/>
    <n v="35"/>
    <n v="35"/>
    <m/>
    <x v="1"/>
  </r>
  <r>
    <n v="1477"/>
    <x v="3"/>
    <x v="6"/>
    <x v="33"/>
    <s v="99942-3020"/>
    <s v="RUA CIPRIANO DEL FAVERO 659 APTº 1200  "/>
    <s v=" CENTRO "/>
    <s v="38400-106"/>
    <m/>
    <m/>
    <x v="2"/>
    <n v="1"/>
    <n v="35"/>
    <n v="35"/>
    <m/>
    <x v="1"/>
  </r>
  <r>
    <n v="1477"/>
    <x v="3"/>
    <x v="6"/>
    <x v="33"/>
    <s v="99942-3020"/>
    <s v="RUA CIPRIANO DEL FAVERO 659 APTº 1200  "/>
    <s v=" CENTRO "/>
    <s v="38400-106"/>
    <m/>
    <m/>
    <x v="3"/>
    <n v="1"/>
    <n v="35"/>
    <n v="35"/>
    <m/>
    <x v="1"/>
  </r>
  <r>
    <n v="1476"/>
    <x v="3"/>
    <x v="6"/>
    <x v="38"/>
    <n v="0"/>
    <n v="0"/>
    <n v="0"/>
    <n v="0"/>
    <m/>
    <s v="JOSE LUIZ"/>
    <x v="2"/>
    <n v="1"/>
    <n v="35"/>
    <n v="35"/>
    <m/>
    <x v="1"/>
  </r>
  <r>
    <n v="1475"/>
    <x v="3"/>
    <x v="6"/>
    <x v="10"/>
    <s v="3213-2775"/>
    <s v="R. PEDRO QUIRINO DA SILVA, 341 "/>
    <s v="MARTA HELENA "/>
    <s v="38402-075"/>
    <s v="RODRIGO/VALÉRIA"/>
    <m/>
    <x v="1"/>
    <n v="2"/>
    <n v="35"/>
    <n v="70"/>
    <m/>
    <x v="1"/>
  </r>
  <r>
    <n v="1474"/>
    <x v="3"/>
    <x v="6"/>
    <x v="96"/>
    <s v="9.9961-5416"/>
    <s v="R. MARIA CONCEIÇAO DE ANDRADE, 10, APTO 01"/>
    <s v="PATRIMONIO"/>
    <s v="38411-336"/>
    <m/>
    <m/>
    <x v="1"/>
    <n v="1"/>
    <n v="35"/>
    <n v="35"/>
    <m/>
    <x v="1"/>
  </r>
  <r>
    <n v="1473"/>
    <x v="3"/>
    <x v="7"/>
    <x v="97"/>
    <s v="9.9680-4728"/>
    <s v="R. DOS TROMPETES, 51"/>
    <s v="TAIAMAN"/>
    <s v="38415-108"/>
    <m/>
    <m/>
    <x v="1"/>
    <n v="1"/>
    <n v="35"/>
    <n v="35"/>
    <m/>
    <x v="1"/>
  </r>
  <r>
    <n v="1472"/>
    <x v="3"/>
    <x v="7"/>
    <x v="40"/>
    <s v="98845-0023"/>
    <s v="RUA PROF. CIRO DE CASTRO ALMEIDA, 1576"/>
    <s v="CUSTODIO PEREIRA"/>
    <s v="38405-250"/>
    <m/>
    <s v="GABRIEL"/>
    <x v="0"/>
    <n v="1"/>
    <n v="35"/>
    <n v="35"/>
    <m/>
    <x v="1"/>
  </r>
  <r>
    <n v="1472"/>
    <x v="3"/>
    <x v="7"/>
    <x v="40"/>
    <s v="98845-0023"/>
    <s v="RUA PROF. CIRO DE CASTRO ALMEIDA, 1576"/>
    <s v="CUSTODIO PEREIRA"/>
    <s v="38405-250"/>
    <m/>
    <s v="GABRIEL"/>
    <x v="2"/>
    <n v="1"/>
    <n v="35"/>
    <n v="35"/>
    <m/>
    <x v="1"/>
  </r>
  <r>
    <n v="1471"/>
    <x v="3"/>
    <x v="7"/>
    <x v="39"/>
    <s v="98803-5267"/>
    <s v="RUA CAMPO RUPESTRE, 193"/>
    <s v=" JD. BOTANICO "/>
    <s v="38410-664"/>
    <m/>
    <m/>
    <x v="1"/>
    <n v="1"/>
    <n v="35"/>
    <n v="35"/>
    <n v="35"/>
    <x v="2"/>
  </r>
  <r>
    <n v="1470"/>
    <x v="3"/>
    <x v="7"/>
    <x v="41"/>
    <s v="99133-6005"/>
    <s v="RUA CAXAMBU, 284 - AP 103"/>
    <s v=" OSVALDO RESENDE "/>
    <s v="38400-418"/>
    <m/>
    <s v="GABRIEL"/>
    <x v="0"/>
    <n v="1"/>
    <n v="35"/>
    <n v="35"/>
    <m/>
    <x v="1"/>
  </r>
  <r>
    <n v="1469"/>
    <x v="4"/>
    <x v="12"/>
    <x v="72"/>
    <s v="9.8884-2276"/>
    <s v="R. NITEROI, 1366"/>
    <s v="APARECIDA"/>
    <s v="38400-769"/>
    <m/>
    <m/>
    <x v="0"/>
    <n v="1"/>
    <n v="35"/>
    <n v="35"/>
    <m/>
    <x v="1"/>
  </r>
  <r>
    <n v="1468"/>
    <x v="4"/>
    <x v="2"/>
    <x v="51"/>
    <s v="9.9140-5267"/>
    <s v="AV. VIRGILIO CARRIJO, 290"/>
    <s v="MARTA HELENA "/>
    <s v="38402-248"/>
    <m/>
    <m/>
    <x v="1"/>
    <n v="1"/>
    <n v="35"/>
    <n v="35"/>
    <m/>
    <x v="1"/>
  </r>
  <r>
    <n v="1467"/>
    <x v="5"/>
    <x v="8"/>
    <x v="42"/>
    <n v="0"/>
    <n v="0"/>
    <n v="0"/>
    <n v="0"/>
    <m/>
    <m/>
    <x v="0"/>
    <n v="4"/>
    <n v="35"/>
    <n v="140"/>
    <m/>
    <x v="1"/>
  </r>
  <r>
    <n v="1467"/>
    <x v="5"/>
    <x v="8"/>
    <x v="42"/>
    <n v="0"/>
    <n v="0"/>
    <n v="0"/>
    <n v="0"/>
    <m/>
    <m/>
    <x v="1"/>
    <n v="5"/>
    <n v="35"/>
    <n v="175"/>
    <m/>
    <x v="1"/>
  </r>
  <r>
    <n v="1467"/>
    <x v="5"/>
    <x v="8"/>
    <x v="42"/>
    <n v="0"/>
    <n v="0"/>
    <n v="0"/>
    <n v="0"/>
    <m/>
    <m/>
    <x v="2"/>
    <n v="6"/>
    <n v="35"/>
    <n v="210"/>
    <m/>
    <x v="1"/>
  </r>
  <r>
    <n v="1467"/>
    <x v="5"/>
    <x v="8"/>
    <x v="42"/>
    <n v="0"/>
    <n v="0"/>
    <n v="0"/>
    <n v="0"/>
    <m/>
    <m/>
    <x v="3"/>
    <n v="1"/>
    <n v="35"/>
    <n v="35"/>
    <m/>
    <x v="1"/>
  </r>
  <r>
    <n v="1466"/>
    <x v="5"/>
    <x v="3"/>
    <x v="49"/>
    <n v="0"/>
    <s v="RUA JOSE PIRES DEFENSOR, 600, CASA 28"/>
    <n v="0"/>
    <n v="0"/>
    <s v="DOAÇÃO MªLUCIA"/>
    <m/>
    <x v="1"/>
    <n v="1"/>
    <n v="35"/>
    <n v="35"/>
    <n v="35"/>
    <x v="2"/>
  </r>
  <r>
    <n v="1465"/>
    <x v="5"/>
    <x v="3"/>
    <x v="13"/>
    <s v="9.9775-4246"/>
    <s v="R. PETROPOLIS, 406 FRENTE"/>
    <s v="CUSTODIO PEREIRA"/>
    <s v="38405-218"/>
    <m/>
    <m/>
    <x v="1"/>
    <n v="1"/>
    <n v="35"/>
    <n v="35"/>
    <n v="35"/>
    <x v="2"/>
  </r>
  <r>
    <n v="1464"/>
    <x v="5"/>
    <x v="3"/>
    <x v="14"/>
    <s v="9.9654-5772"/>
    <s v="AV. CHAD FAD, 05"/>
    <s v="CANAA"/>
    <s v="38412-474"/>
    <m/>
    <m/>
    <x v="1"/>
    <n v="2"/>
    <n v="35"/>
    <n v="70"/>
    <n v="70"/>
    <x v="2"/>
  </r>
  <r>
    <n v="1463"/>
    <x v="5"/>
    <x v="3"/>
    <x v="78"/>
    <s v="9.9120-9701/3225-2785"/>
    <s v="R. RONDONIA, 26"/>
    <s v="SANTA ROSA"/>
    <s v="38401-246"/>
    <m/>
    <m/>
    <x v="1"/>
    <n v="1"/>
    <n v="35"/>
    <n v="35"/>
    <m/>
    <x v="1"/>
  </r>
  <r>
    <n v="1462"/>
    <x v="5"/>
    <x v="3"/>
    <x v="79"/>
    <s v="9.9799-9784"/>
    <s v="AL. JOSE OLIVEIRA GUIMARAES, 371, CASA 29"/>
    <s v="JD HOLANDA"/>
    <s v="38412-324"/>
    <m/>
    <m/>
    <x v="1"/>
    <n v="1"/>
    <n v="35"/>
    <n v="35"/>
    <m/>
    <x v="1"/>
  </r>
  <r>
    <n v="1461"/>
    <x v="5"/>
    <x v="3"/>
    <x v="98"/>
    <s v="9.9991-4357"/>
    <s v="R.ALBERTO GOMES, 213"/>
    <s v="ALTO UMUARAMA"/>
    <s v="38405-360"/>
    <s v="RECEBER 70,00"/>
    <m/>
    <x v="1"/>
    <n v="1"/>
    <n v="35"/>
    <n v="35"/>
    <m/>
    <x v="1"/>
  </r>
  <r>
    <n v="1460"/>
    <x v="5"/>
    <x v="3"/>
    <x v="99"/>
    <s v=" 3214-4522 / 99996-0527"/>
    <s v="R.CEL ANTONIO ALVES PEREIRA, 1874"/>
    <s v=" SARAIVA "/>
    <s v="38408-370"/>
    <m/>
    <m/>
    <x v="1"/>
    <n v="1"/>
    <n v="35"/>
    <n v="35"/>
    <m/>
    <x v="1"/>
  </r>
  <r>
    <n v="1459"/>
    <x v="5"/>
    <x v="3"/>
    <x v="5"/>
    <s v="9.9120-3519"/>
    <s v="R. PROF JOAO BASILIO, 41"/>
    <s v="MARTINS"/>
    <s v="38400-460"/>
    <m/>
    <m/>
    <x v="1"/>
    <n v="1"/>
    <n v="35"/>
    <n v="35"/>
    <m/>
    <x v="1"/>
  </r>
  <r>
    <n v="1458"/>
    <x v="5"/>
    <x v="3"/>
    <x v="30"/>
    <s v="3213-3201/ 9.9211-0864"/>
    <s v="AV. CLARA CAMARAO, 427"/>
    <s v="N.SRA GRAÇAS"/>
    <s v="38402-010"/>
    <m/>
    <m/>
    <x v="1"/>
    <n v="1"/>
    <n v="35"/>
    <n v="35"/>
    <m/>
    <x v="1"/>
  </r>
  <r>
    <n v="1458"/>
    <x v="5"/>
    <x v="3"/>
    <x v="30"/>
    <s v="3213-3201/ 9.9211-0864"/>
    <s v="AV. CLARA CAMARAO, 427"/>
    <s v="N.SRA GRAÇAS"/>
    <s v="38402-010"/>
    <m/>
    <m/>
    <x v="2"/>
    <n v="1"/>
    <n v="35"/>
    <n v="35"/>
    <m/>
    <x v="1"/>
  </r>
  <r>
    <n v="1457"/>
    <x v="5"/>
    <x v="3"/>
    <x v="19"/>
    <s v=" 99155-5564 / 3215-1758"/>
    <s v="AV. CESARIO CROSARA, 3525"/>
    <s v=" ROOSEVELT "/>
    <s v="38401-119"/>
    <m/>
    <m/>
    <x v="3"/>
    <n v="1"/>
    <n v="35"/>
    <n v="35"/>
    <m/>
    <x v="1"/>
  </r>
  <r>
    <n v="1456"/>
    <x v="5"/>
    <x v="3"/>
    <x v="12"/>
    <s v="9.9670-9884"/>
    <s v="R. AGESILAU PASCHOAL GRECO, 318"/>
    <s v="MORADA DA COLINA"/>
    <s v="38411-112"/>
    <m/>
    <m/>
    <x v="2"/>
    <n v="4"/>
    <n v="35"/>
    <n v="140"/>
    <n v="140"/>
    <x v="2"/>
  </r>
  <r>
    <n v="1455"/>
    <x v="5"/>
    <x v="3"/>
    <x v="21"/>
    <s v="9.9182-8324"/>
    <s v="R.BERENICE REZENDE DINIZ,15"/>
    <s v="GAVEA"/>
    <s v="38411-162"/>
    <m/>
    <m/>
    <x v="3"/>
    <n v="1"/>
    <n v="35"/>
    <n v="35"/>
    <m/>
    <x v="1"/>
  </r>
  <r>
    <n v="1454"/>
    <x v="5"/>
    <x v="3"/>
    <x v="17"/>
    <n v="0"/>
    <n v="0"/>
    <n v="0"/>
    <n v="0"/>
    <m/>
    <s v="CEDEL"/>
    <x v="2"/>
    <n v="1"/>
    <n v="35"/>
    <n v="35"/>
    <n v="35"/>
    <x v="2"/>
  </r>
  <r>
    <n v="1453"/>
    <x v="5"/>
    <x v="3"/>
    <x v="25"/>
    <s v="99148-4283"/>
    <s v="R. JADE, 45 "/>
    <s v="JD. BOTANICO"/>
    <s v="38411-634"/>
    <m/>
    <m/>
    <x v="2"/>
    <n v="2"/>
    <n v="35"/>
    <n v="70"/>
    <m/>
    <x v="1"/>
  </r>
  <r>
    <n v="1452"/>
    <x v="5"/>
    <x v="3"/>
    <x v="100"/>
    <s v="9.8877-4323"/>
    <s v="R.JUDITE MOREIRA, 280"/>
    <s v="ROOSEVELT"/>
    <s v="38401-160"/>
    <m/>
    <m/>
    <x v="2"/>
    <n v="1"/>
    <n v="35"/>
    <n v="35"/>
    <m/>
    <x v="1"/>
  </r>
  <r>
    <n v="1451"/>
    <x v="5"/>
    <x v="3"/>
    <x v="10"/>
    <s v="3213-2775"/>
    <s v="R. PEDRO QUIRINO DA SILVA, 341 "/>
    <s v="MARTA HELENA "/>
    <s v="38402-075"/>
    <m/>
    <m/>
    <x v="1"/>
    <n v="1"/>
    <n v="35"/>
    <n v="35"/>
    <n v="35"/>
    <x v="2"/>
  </r>
  <r>
    <n v="1450"/>
    <x v="5"/>
    <x v="3"/>
    <x v="15"/>
    <s v="9.9661-1352"/>
    <s v="R. PROF EUNICE BRANDAO DE PAIVA, 139"/>
    <s v="SHOPPING PARK"/>
    <s v="38411-466"/>
    <m/>
    <m/>
    <x v="1"/>
    <n v="1"/>
    <n v="35"/>
    <n v="35"/>
    <n v="35"/>
    <x v="2"/>
  </r>
  <r>
    <n v="1449"/>
    <x v="5"/>
    <x v="3"/>
    <x v="16"/>
    <s v="9.9232-5605"/>
    <s v="R. EDMUNDO MUNIR ARANTES, 79"/>
    <s v="PLANALTO"/>
    <s v="38413-276"/>
    <m/>
    <m/>
    <x v="1"/>
    <n v="1"/>
    <n v="35"/>
    <n v="35"/>
    <n v="35"/>
    <x v="2"/>
  </r>
  <r>
    <n v="1448"/>
    <x v="5"/>
    <x v="3"/>
    <x v="31"/>
    <s v="9.8899-1860"/>
    <s v="R. ENGENHEIRO HELVIO FELICI, 250"/>
    <s v="MORADA DA COLINA"/>
    <s v="38411-114"/>
    <s v="RECEBER 70,00"/>
    <m/>
    <x v="0"/>
    <n v="1"/>
    <n v="35"/>
    <n v="35"/>
    <m/>
    <x v="1"/>
  </r>
  <r>
    <n v="1447"/>
    <x v="5"/>
    <x v="3"/>
    <x v="18"/>
    <s v="9.9656-9764"/>
    <s v="AV. SACRAMENTO, 2047"/>
    <s v="MARTINS"/>
    <s v="38400-466"/>
    <m/>
    <m/>
    <x v="1"/>
    <n v="1"/>
    <n v="35"/>
    <n v="35"/>
    <m/>
    <x v="1"/>
  </r>
  <r>
    <n v="1446"/>
    <x v="5"/>
    <x v="3"/>
    <x v="101"/>
    <s v="9.9971-4647"/>
    <s v="AV. PAES LEME, 145 APTO 602"/>
    <s v="OSVALDO REZENDE"/>
    <s v="38400-392"/>
    <m/>
    <m/>
    <x v="1"/>
    <n v="1"/>
    <n v="35"/>
    <n v="35"/>
    <m/>
    <x v="1"/>
  </r>
  <r>
    <n v="1446"/>
    <x v="5"/>
    <x v="3"/>
    <x v="101"/>
    <s v="9.9971-4647"/>
    <s v="AV. PAES LEME, 145 APTO 602"/>
    <s v="OSVALDO REZENDE"/>
    <s v="38400-392"/>
    <m/>
    <m/>
    <x v="2"/>
    <n v="1"/>
    <n v="35"/>
    <n v="35"/>
    <m/>
    <x v="1"/>
  </r>
  <r>
    <n v="1445"/>
    <x v="5"/>
    <x v="9"/>
    <x v="53"/>
    <s v="9.9219-9467"/>
    <s v="R.NORDAU GONÇALVES DE MELO, 1232"/>
    <s v="SANTA MONICA"/>
    <s v="38408-218"/>
    <m/>
    <m/>
    <x v="0"/>
    <n v="1"/>
    <n v="35"/>
    <n v="35"/>
    <n v="35"/>
    <x v="2"/>
  </r>
  <r>
    <n v="1445"/>
    <x v="5"/>
    <x v="9"/>
    <x v="53"/>
    <s v="9.9219-9467"/>
    <s v="R.NORDAU GONÇALVES DE MELO, 1232"/>
    <s v="SANTA MONICA"/>
    <s v="38408-218"/>
    <m/>
    <m/>
    <x v="1"/>
    <n v="2"/>
    <n v="35"/>
    <n v="70"/>
    <n v="70"/>
    <x v="2"/>
  </r>
  <r>
    <n v="1444"/>
    <x v="5"/>
    <x v="9"/>
    <x v="45"/>
    <s v="9.3255-6765"/>
    <s v="R.PAULO MAIA, 146"/>
    <s v="SAO JORGE"/>
    <s v="38410-046"/>
    <m/>
    <m/>
    <x v="0"/>
    <n v="1"/>
    <n v="35"/>
    <n v="35"/>
    <n v="35"/>
    <x v="2"/>
  </r>
  <r>
    <n v="1443"/>
    <x v="5"/>
    <x v="9"/>
    <x v="102"/>
    <s v="9.9121-6880"/>
    <s v="R. BENJAMIN CONSTANT, 270, APTO 104"/>
    <s v="APARECIDA"/>
    <s v="38400-678"/>
    <m/>
    <m/>
    <x v="1"/>
    <n v="1"/>
    <n v="35"/>
    <n v="35"/>
    <m/>
    <x v="1"/>
  </r>
  <r>
    <n v="1442"/>
    <x v="5"/>
    <x v="9"/>
    <x v="49"/>
    <n v="0"/>
    <s v="RUA JOSE PIRES DEFENSOR, 600, CASA 28"/>
    <n v="0"/>
    <n v="0"/>
    <s v="CASA"/>
    <m/>
    <x v="0"/>
    <n v="2"/>
    <n v="35"/>
    <n v="70"/>
    <n v="70"/>
    <x v="2"/>
  </r>
  <r>
    <n v="1442"/>
    <x v="5"/>
    <x v="9"/>
    <x v="49"/>
    <n v="0"/>
    <s v="RUA JOSE PIRES DEFENSOR, 600, CASA 28"/>
    <n v="0"/>
    <n v="0"/>
    <s v="CASA"/>
    <m/>
    <x v="1"/>
    <n v="1"/>
    <n v="35"/>
    <n v="35"/>
    <n v="35"/>
    <x v="2"/>
  </r>
  <r>
    <n v="1442"/>
    <x v="5"/>
    <x v="9"/>
    <x v="49"/>
    <n v="0"/>
    <s v="RUA JOSE PIRES DEFENSOR, 600, CASA 28"/>
    <n v="0"/>
    <n v="0"/>
    <s v="CASA"/>
    <m/>
    <x v="2"/>
    <n v="2"/>
    <n v="35"/>
    <n v="70"/>
    <n v="70"/>
    <x v="2"/>
  </r>
  <r>
    <n v="1441"/>
    <x v="5"/>
    <x v="9"/>
    <x v="46"/>
    <s v="9.9971-2853/ 9.9997-2853"/>
    <s v="ALAMEDA ALFREDO PETRI, 161"/>
    <s v="JD KARAIBA"/>
    <s v="38411-200"/>
    <m/>
    <m/>
    <x v="1"/>
    <n v="1"/>
    <n v="35"/>
    <n v="35"/>
    <m/>
    <x v="1"/>
  </r>
  <r>
    <n v="1440"/>
    <x v="5"/>
    <x v="9"/>
    <x v="95"/>
    <s v="9.9222-2656"/>
    <s v="ALAMEDA BENETIDO JOSE DE SOUZA, Nº 81"/>
    <s v=" JD HOLANDA "/>
    <s v="38412-887"/>
    <m/>
    <m/>
    <x v="0"/>
    <n v="1"/>
    <n v="35"/>
    <n v="35"/>
    <n v="35"/>
    <x v="2"/>
  </r>
  <r>
    <n v="1439"/>
    <x v="5"/>
    <x v="9"/>
    <x v="103"/>
    <s v="9.8414-0925"/>
    <s v="AV.CESARIO CROSARA, 4400"/>
    <s v="ROOSEVELT"/>
    <s v="38401-188"/>
    <m/>
    <m/>
    <x v="2"/>
    <n v="2"/>
    <n v="35"/>
    <n v="70"/>
    <m/>
    <x v="1"/>
  </r>
  <r>
    <n v="1438"/>
    <x v="5"/>
    <x v="9"/>
    <x v="10"/>
    <s v="3213-2775"/>
    <s v="R. PEDRO QUIRINO DA SILVA, 341 "/>
    <s v="MARTA HELENA "/>
    <s v="38402-075"/>
    <s v="MARCELO"/>
    <m/>
    <x v="1"/>
    <n v="6"/>
    <n v="35"/>
    <n v="210"/>
    <n v="210"/>
    <x v="2"/>
  </r>
  <r>
    <n v="1437"/>
    <x v="5"/>
    <x v="9"/>
    <x v="94"/>
    <s v="9.9976-8255"/>
    <s v="R. IRENE ROSA, 54 OU R. DO BORRACHEIRO, 221"/>
    <s v="OSVALDO REZENDE"/>
    <s v="38400-480"/>
    <s v="ligar antes"/>
    <m/>
    <x v="1"/>
    <n v="1"/>
    <n v="35"/>
    <n v="35"/>
    <m/>
    <x v="1"/>
  </r>
  <r>
    <n v="1436"/>
    <x v="5"/>
    <x v="4"/>
    <x v="57"/>
    <s v="9.9860-0086"/>
    <s v="R. JAMILE CALIL ATIE, 451"/>
    <s v="JD EUROPA"/>
    <s v="38414-419"/>
    <m/>
    <m/>
    <x v="2"/>
    <n v="1"/>
    <n v="35"/>
    <n v="35"/>
    <n v="35"/>
    <x v="2"/>
  </r>
  <r>
    <n v="1436"/>
    <x v="5"/>
    <x v="4"/>
    <x v="57"/>
    <s v="9.9860-0086"/>
    <s v="R. JAMILE CALIL ATIE, 451"/>
    <s v="JD EUROPA"/>
    <s v="38414-419"/>
    <m/>
    <m/>
    <x v="3"/>
    <n v="1"/>
    <n v="35"/>
    <n v="35"/>
    <n v="35"/>
    <x v="2"/>
  </r>
  <r>
    <n v="1435"/>
    <x v="5"/>
    <x v="13"/>
    <x v="3"/>
    <s v="99979-5832"/>
    <n v="0"/>
    <n v="0"/>
    <n v="0"/>
    <m/>
    <m/>
    <x v="2"/>
    <n v="1"/>
    <n v="35"/>
    <n v="35"/>
    <m/>
    <x v="1"/>
  </r>
  <r>
    <n v="1435"/>
    <x v="5"/>
    <x v="13"/>
    <x v="3"/>
    <s v="99979-5832"/>
    <n v="0"/>
    <n v="0"/>
    <n v="0"/>
    <m/>
    <m/>
    <x v="3"/>
    <n v="1"/>
    <n v="35"/>
    <n v="35"/>
    <m/>
    <x v="1"/>
  </r>
  <r>
    <n v="1433"/>
    <x v="5"/>
    <x v="5"/>
    <x v="8"/>
    <s v="9.9149-1390"/>
    <n v="0"/>
    <s v="CEDEL"/>
    <n v="0"/>
    <m/>
    <s v="CEDEL"/>
    <x v="1"/>
    <n v="2"/>
    <n v="35"/>
    <n v="70"/>
    <m/>
    <x v="1"/>
  </r>
  <r>
    <n v="1433"/>
    <x v="5"/>
    <x v="5"/>
    <x v="8"/>
    <s v="9.9149-1390"/>
    <n v="0"/>
    <s v="CEDEL"/>
    <n v="0"/>
    <m/>
    <s v="CEDEL"/>
    <x v="2"/>
    <n v="1"/>
    <n v="35"/>
    <n v="35"/>
    <m/>
    <x v="1"/>
  </r>
  <r>
    <n v="1432"/>
    <x v="5"/>
    <x v="4"/>
    <x v="7"/>
    <s v="9.9678-7649"/>
    <n v="0"/>
    <n v="0"/>
    <n v="0"/>
    <m/>
    <m/>
    <x v="0"/>
    <n v="1"/>
    <n v="35"/>
    <n v="35"/>
    <m/>
    <x v="1"/>
  </r>
  <r>
    <n v="1432"/>
    <x v="5"/>
    <x v="4"/>
    <x v="7"/>
    <s v="9.9678-7649"/>
    <n v="0"/>
    <n v="0"/>
    <n v="0"/>
    <m/>
    <m/>
    <x v="2"/>
    <n v="1"/>
    <n v="35"/>
    <n v="35"/>
    <m/>
    <x v="1"/>
  </r>
  <r>
    <n v="1431"/>
    <x v="5"/>
    <x v="10"/>
    <x v="58"/>
    <s v="99147-8758"/>
    <n v="0"/>
    <n v="0"/>
    <n v="0"/>
    <m/>
    <s v="RODOLFO"/>
    <x v="0"/>
    <n v="2"/>
    <n v="35"/>
    <n v="70"/>
    <m/>
    <x v="1"/>
  </r>
  <r>
    <n v="1430"/>
    <x v="5"/>
    <x v="10"/>
    <x v="59"/>
    <s v="9.9135-7263"/>
    <s v="Rua Pica Paus 1750, condomínio Jardins Roma, Rua Copaibeiras 95"/>
    <s v="NOVA UBERLANDIA"/>
    <s v="38412-641"/>
    <m/>
    <s v="RODOLFO"/>
    <x v="0"/>
    <n v="1"/>
    <n v="35"/>
    <n v="35"/>
    <m/>
    <x v="1"/>
  </r>
  <r>
    <n v="1430"/>
    <x v="5"/>
    <x v="10"/>
    <x v="59"/>
    <s v="9.9135-7263"/>
    <s v="Rua Pica Paus 1750, condomínio Jardins Roma, Rua Copaibeiras 95"/>
    <s v="NOVA UBERLANDIA"/>
    <s v="38412-641"/>
    <m/>
    <s v="RODOLFO"/>
    <x v="1"/>
    <n v="1"/>
    <n v="35"/>
    <n v="35"/>
    <m/>
    <x v="1"/>
  </r>
  <r>
    <n v="1429"/>
    <x v="5"/>
    <x v="10"/>
    <x v="51"/>
    <s v="9.9140-5267"/>
    <s v="AV. VIRGILIO CARRIJO, 290"/>
    <s v="MARTA HELENA "/>
    <s v="38402-248"/>
    <s v="RODOLFO"/>
    <m/>
    <x v="1"/>
    <n v="2"/>
    <n v="35"/>
    <n v="70"/>
    <m/>
    <x v="1"/>
  </r>
  <r>
    <n v="1428"/>
    <x v="5"/>
    <x v="10"/>
    <x v="60"/>
    <n v="0"/>
    <n v="0"/>
    <n v="0"/>
    <n v="0"/>
    <s v="TOTAL 5  - 2 FALE"/>
    <m/>
    <x v="1"/>
    <n v="3"/>
    <n v="35"/>
    <n v="105"/>
    <m/>
    <x v="1"/>
  </r>
  <r>
    <n v="1427"/>
    <x v="5"/>
    <x v="2"/>
    <x v="62"/>
    <s v="99676-2593 "/>
    <s v="R. ANITA 125 PASSARELA AV. LIBERDADE ALTAMIRA"/>
    <s v="MORADA DA COLINA"/>
    <s v="38411-014"/>
    <m/>
    <s v="MILVAR"/>
    <x v="2"/>
    <n v="3"/>
    <n v="35"/>
    <n v="105"/>
    <m/>
    <x v="1"/>
  </r>
  <r>
    <n v="1426"/>
    <x v="5"/>
    <x v="4"/>
    <x v="56"/>
    <s v="9.9656-9977"/>
    <s v="R. ARNALDO TUCCI 1289 ANT34 "/>
    <s v="SANTA MONICA"/>
    <s v="38408-256"/>
    <m/>
    <m/>
    <x v="1"/>
    <n v="3"/>
    <n v="35"/>
    <n v="105"/>
    <m/>
    <x v="1"/>
  </r>
  <r>
    <n v="1425"/>
    <x v="5"/>
    <x v="4"/>
    <x v="86"/>
    <s v="9.9166-1547"/>
    <n v="0"/>
    <s v="CEDEL"/>
    <n v="0"/>
    <m/>
    <s v="MARCIA"/>
    <x v="0"/>
    <n v="2"/>
    <n v="35"/>
    <n v="70"/>
    <m/>
    <x v="1"/>
  </r>
  <r>
    <n v="1425"/>
    <x v="5"/>
    <x v="4"/>
    <x v="86"/>
    <s v="9.9166-1547"/>
    <n v="0"/>
    <s v="CEDEL"/>
    <n v="0"/>
    <m/>
    <s v="MARCIA"/>
    <x v="1"/>
    <n v="2"/>
    <n v="35"/>
    <n v="70"/>
    <m/>
    <x v="1"/>
  </r>
  <r>
    <n v="1425"/>
    <x v="5"/>
    <x v="4"/>
    <x v="86"/>
    <s v="9.9166-1547"/>
    <n v="0"/>
    <s v="CEDEL"/>
    <n v="0"/>
    <m/>
    <s v="MARCIA"/>
    <x v="2"/>
    <n v="2"/>
    <n v="35"/>
    <n v="70"/>
    <m/>
    <x v="1"/>
  </r>
  <r>
    <n v="1425"/>
    <x v="5"/>
    <x v="4"/>
    <x v="86"/>
    <s v="9.9166-1547"/>
    <n v="0"/>
    <s v="CEDEL"/>
    <n v="0"/>
    <m/>
    <s v="MARCIA"/>
    <x v="3"/>
    <n v="2"/>
    <n v="35"/>
    <n v="70"/>
    <m/>
    <x v="1"/>
  </r>
  <r>
    <n v="1424"/>
    <x v="5"/>
    <x v="11"/>
    <x v="84"/>
    <s v="9.9992-0097"/>
    <s v="R. HORACIO REZENDE, 241"/>
    <s v="OSVALDO REZENDE"/>
    <s v="38400-302"/>
    <m/>
    <m/>
    <x v="2"/>
    <n v="1"/>
    <n v="35"/>
    <n v="35"/>
    <m/>
    <x v="1"/>
  </r>
  <r>
    <n v="1423"/>
    <x v="5"/>
    <x v="11"/>
    <x v="104"/>
    <s v="99143-7767"/>
    <s v="R. JATAI, 730 - ENTRE AV JOAO  PINHEIRO E BRASIL"/>
    <s v="APARECIDA"/>
    <s v="38400-679"/>
    <m/>
    <m/>
    <x v="3"/>
    <n v="1"/>
    <n v="35"/>
    <n v="35"/>
    <m/>
    <x v="1"/>
  </r>
  <r>
    <n v="1422"/>
    <x v="5"/>
    <x v="11"/>
    <x v="65"/>
    <s v="99996-4095"/>
    <s v="END: RUA VIRGILIO M. FRANCO, 340,  APTO 32"/>
    <s v=" TABAJARAS "/>
    <s v="38400-238"/>
    <m/>
    <m/>
    <x v="3"/>
    <n v="1"/>
    <n v="35"/>
    <n v="35"/>
    <m/>
    <x v="1"/>
  </r>
  <r>
    <n v="1421"/>
    <x v="5"/>
    <x v="12"/>
    <x v="105"/>
    <s v="9.9806-2250"/>
    <s v="AL. SOSTHENES GUIMARAES, 129"/>
    <s v="MORADA DA COLINA"/>
    <s v="38411-160"/>
    <m/>
    <m/>
    <x v="2"/>
    <n v="1"/>
    <n v="35"/>
    <n v="35"/>
    <m/>
    <x v="1"/>
  </r>
  <r>
    <n v="1420"/>
    <x v="5"/>
    <x v="12"/>
    <x v="106"/>
    <s v="9.9966-0044"/>
    <s v="R. IPANEMA, 1033"/>
    <s v="PATRIMONIO"/>
    <s v="38411-038"/>
    <m/>
    <m/>
    <x v="2"/>
    <n v="1"/>
    <n v="35"/>
    <n v="35"/>
    <n v="35"/>
    <x v="2"/>
  </r>
  <r>
    <n v="1419"/>
    <x v="5"/>
    <x v="12"/>
    <x v="107"/>
    <s v="9.9192-9792"/>
    <s v="R. MARCOLINO RIBEIRO, 495"/>
    <s v="KARAIBA"/>
    <s v="38411-382"/>
    <m/>
    <m/>
    <x v="1"/>
    <n v="2"/>
    <n v="35"/>
    <n v="70"/>
    <n v="70"/>
    <x v="2"/>
  </r>
  <r>
    <n v="1418"/>
    <x v="5"/>
    <x v="12"/>
    <x v="108"/>
    <s v="9.9966-4650"/>
    <s v="R. PAINEIRA, 296"/>
    <s v="MORADA DO SOL "/>
    <s v="38415-168"/>
    <m/>
    <m/>
    <x v="1"/>
    <n v="1"/>
    <n v="35"/>
    <n v="35"/>
    <m/>
    <x v="1"/>
  </r>
  <r>
    <n v="1417"/>
    <x v="5"/>
    <x v="12"/>
    <x v="71"/>
    <s v="9.9971-2858"/>
    <s v="Av. dos Vinhedos, 100 / R. FLOR DO EGITO, 160 COND GAVEA HILL 1"/>
    <s v="MORADA DA COLINA"/>
    <s v="38411-159"/>
    <m/>
    <m/>
    <x v="0"/>
    <n v="1"/>
    <n v="35"/>
    <n v="35"/>
    <m/>
    <x v="1"/>
  </r>
  <r>
    <n v="1416"/>
    <x v="5"/>
    <x v="12"/>
    <x v="109"/>
    <s v="9.9990-5569"/>
    <s v="AV. AMAZONAS, 236"/>
    <s v="BRASIL"/>
    <s v="38400-734"/>
    <m/>
    <m/>
    <x v="0"/>
    <n v="1"/>
    <n v="35"/>
    <n v="35"/>
    <m/>
    <x v="1"/>
  </r>
  <r>
    <n v="1415"/>
    <x v="5"/>
    <x v="12"/>
    <x v="110"/>
    <s v="9.9673-6262"/>
    <s v="R. IRAEL PINHEIRO, 156 "/>
    <s v="MORADA DA COLINA"/>
    <s v="38411-144"/>
    <m/>
    <m/>
    <x v="1"/>
    <n v="1"/>
    <n v="35"/>
    <n v="35"/>
    <n v="35"/>
    <x v="2"/>
  </r>
  <r>
    <n v="1415"/>
    <x v="5"/>
    <x v="12"/>
    <x v="110"/>
    <s v="9.9673-6262"/>
    <s v="R. IRAEL PINHEIRO, 156 "/>
    <s v="MORADA DA COLINA"/>
    <s v="38411-144"/>
    <m/>
    <m/>
    <x v="2"/>
    <n v="1"/>
    <n v="35"/>
    <n v="35"/>
    <n v="35"/>
    <x v="2"/>
  </r>
  <r>
    <n v="1414"/>
    <x v="5"/>
    <x v="12"/>
    <x v="74"/>
    <s v="9.9212-9093"/>
    <n v="0"/>
    <n v="0"/>
    <n v="0"/>
    <m/>
    <s v="CEDEL"/>
    <x v="1"/>
    <n v="1"/>
    <n v="35"/>
    <n v="35"/>
    <m/>
    <x v="1"/>
  </r>
  <r>
    <n v="1413"/>
    <x v="5"/>
    <x v="12"/>
    <x v="67"/>
    <n v="0"/>
    <n v="0"/>
    <n v="0"/>
    <n v="0"/>
    <m/>
    <s v="MARCIA"/>
    <x v="2"/>
    <n v="2"/>
    <n v="35"/>
    <n v="70"/>
    <m/>
    <x v="1"/>
  </r>
  <r>
    <n v="1412"/>
    <x v="5"/>
    <x v="12"/>
    <x v="73"/>
    <s v="9.8876-6001"/>
    <s v="RUA JOSE LELIS FRANÇA, 1480 APTO 301"/>
    <s v="SANTA MONICA"/>
    <s v="38408-234"/>
    <m/>
    <s v="XANDE/ELIS"/>
    <x v="1"/>
    <n v="1"/>
    <n v="35"/>
    <n v="35"/>
    <n v="35"/>
    <x v="2"/>
  </r>
  <r>
    <n v="1411"/>
    <x v="5"/>
    <x v="12"/>
    <x v="111"/>
    <n v="0"/>
    <n v="0"/>
    <n v="0"/>
    <n v="0"/>
    <m/>
    <m/>
    <x v="2"/>
    <n v="1"/>
    <n v="35"/>
    <n v="35"/>
    <m/>
    <x v="1"/>
  </r>
  <r>
    <n v="1410"/>
    <x v="5"/>
    <x v="12"/>
    <x v="70"/>
    <n v="0"/>
    <n v="0"/>
    <n v="0"/>
    <n v="0"/>
    <m/>
    <m/>
    <x v="0"/>
    <n v="2"/>
    <n v="35"/>
    <n v="70"/>
    <m/>
    <x v="1"/>
  </r>
  <r>
    <n v="1410"/>
    <x v="5"/>
    <x v="12"/>
    <x v="70"/>
    <n v="0"/>
    <n v="0"/>
    <n v="0"/>
    <n v="0"/>
    <m/>
    <m/>
    <x v="2"/>
    <n v="2"/>
    <n v="35"/>
    <n v="70"/>
    <m/>
    <x v="1"/>
  </r>
  <r>
    <n v="1409"/>
    <x v="5"/>
    <x v="12"/>
    <x v="112"/>
    <n v="0"/>
    <n v="0"/>
    <n v="0"/>
    <n v="0"/>
    <m/>
    <s v="XANDE/ELIS"/>
    <x v="1"/>
    <n v="1"/>
    <n v="35"/>
    <n v="35"/>
    <m/>
    <x v="1"/>
  </r>
  <r>
    <n v="1409"/>
    <x v="5"/>
    <x v="12"/>
    <x v="112"/>
    <n v="0"/>
    <n v="0"/>
    <n v="0"/>
    <n v="0"/>
    <m/>
    <s v="XANDE/ELIS"/>
    <x v="2"/>
    <n v="1"/>
    <n v="35"/>
    <n v="35"/>
    <m/>
    <x v="1"/>
  </r>
  <r>
    <n v="1408"/>
    <x v="5"/>
    <x v="12"/>
    <x v="113"/>
    <n v="0"/>
    <n v="0"/>
    <n v="0"/>
    <n v="0"/>
    <m/>
    <s v="XANDE/ELIS"/>
    <x v="1"/>
    <n v="1"/>
    <n v="35"/>
    <n v="35"/>
    <m/>
    <x v="1"/>
  </r>
  <r>
    <n v="1407"/>
    <x v="5"/>
    <x v="12"/>
    <x v="91"/>
    <s v="9.9976-5102"/>
    <n v="0"/>
    <s v="CEDEL"/>
    <n v="0"/>
    <m/>
    <s v="XANDE/ELIS"/>
    <x v="2"/>
    <n v="1"/>
    <n v="35"/>
    <n v="35"/>
    <n v="35"/>
    <x v="2"/>
  </r>
  <r>
    <n v="1406"/>
    <x v="5"/>
    <x v="6"/>
    <x v="33"/>
    <s v="99942-3020"/>
    <s v="RUA CIPRIANO DEL FAVERO 659 APTº 1200  "/>
    <s v=" CENTRO "/>
    <s v="38400-106"/>
    <m/>
    <m/>
    <x v="2"/>
    <n v="1"/>
    <n v="35"/>
    <n v="35"/>
    <m/>
    <x v="1"/>
  </r>
  <r>
    <n v="1406"/>
    <x v="5"/>
    <x v="6"/>
    <x v="33"/>
    <s v="99942-3020"/>
    <s v="RUA CIPRIANO DEL FAVERO 659 APTº 1200  "/>
    <s v=" CENTRO "/>
    <s v="38400-106"/>
    <m/>
    <m/>
    <x v="3"/>
    <n v="1"/>
    <n v="35"/>
    <n v="35"/>
    <m/>
    <x v="1"/>
  </r>
  <r>
    <n v="1405"/>
    <x v="5"/>
    <x v="6"/>
    <x v="38"/>
    <n v="0"/>
    <n v="0"/>
    <n v="0"/>
    <n v="0"/>
    <m/>
    <s v="JOSE LUIZ"/>
    <x v="2"/>
    <n v="1"/>
    <n v="35"/>
    <n v="35"/>
    <m/>
    <x v="1"/>
  </r>
  <r>
    <n v="1404"/>
    <x v="5"/>
    <x v="6"/>
    <x v="35"/>
    <s v="9.9121-7971"/>
    <s v="Av.Dimas Machado, 642 -J &amp; M Centro Automotivo "/>
    <s v="CHACARAS TUBALINA"/>
    <s v="38413-291"/>
    <m/>
    <m/>
    <x v="2"/>
    <n v="1"/>
    <n v="35"/>
    <n v="35"/>
    <m/>
    <x v="1"/>
  </r>
  <r>
    <n v="1403"/>
    <x v="5"/>
    <x v="6"/>
    <x v="10"/>
    <s v="3213-2775"/>
    <s v="R. PEDRO QUIRINO DA SILVA, 341 "/>
    <s v="MARTA HELENA "/>
    <s v="38402-075"/>
    <s v="RODRIGO/VALÉRIA"/>
    <s v="CEDEL"/>
    <x v="1"/>
    <n v="2"/>
    <n v="35"/>
    <n v="70"/>
    <m/>
    <x v="1"/>
  </r>
  <r>
    <n v="1402"/>
    <x v="5"/>
    <x v="12"/>
    <x v="92"/>
    <s v=" 9973-9967"/>
    <n v="0"/>
    <n v="0"/>
    <n v="0"/>
    <m/>
    <s v="XANDE/ELIS"/>
    <x v="1"/>
    <n v="1"/>
    <n v="35"/>
    <n v="35"/>
    <m/>
    <x v="1"/>
  </r>
  <r>
    <n v="1402"/>
    <x v="5"/>
    <x v="12"/>
    <x v="92"/>
    <s v=" 9973-9967"/>
    <n v="0"/>
    <n v="0"/>
    <n v="0"/>
    <m/>
    <s v="XANDE/ELIS"/>
    <x v="3"/>
    <n v="1"/>
    <n v="35"/>
    <n v="35"/>
    <m/>
    <x v="1"/>
  </r>
  <r>
    <n v="1401"/>
    <x v="5"/>
    <x v="12"/>
    <x v="4"/>
    <s v="9.9197-7955"/>
    <n v="0"/>
    <s v="CEDEL"/>
    <n v="0"/>
    <m/>
    <s v="CEDEL"/>
    <x v="2"/>
    <n v="3"/>
    <n v="35"/>
    <n v="105"/>
    <m/>
    <x v="1"/>
  </r>
  <r>
    <n v="1400"/>
    <x v="5"/>
    <x v="12"/>
    <x v="75"/>
    <s v="9.9800-1285"/>
    <s v="RUA FRANCISCO RODRIGUES SERRALHA, 350 CONDOMINIO UCHOA BLOCO 27 APTO 402"/>
    <s v="CHACARAS TUBALINA"/>
    <s v="38413-297"/>
    <m/>
    <m/>
    <x v="1"/>
    <n v="1"/>
    <n v="35"/>
    <n v="35"/>
    <n v="35"/>
    <x v="2"/>
  </r>
  <r>
    <n v="1399"/>
    <x v="5"/>
    <x v="7"/>
    <x v="40"/>
    <s v="98845-0023"/>
    <s v="RUA PROF. CIRO DE CASTRO ALMEIDA, 1576"/>
    <s v="CUSTODIO PEREIRA"/>
    <s v="38405-250"/>
    <m/>
    <m/>
    <x v="0"/>
    <n v="1"/>
    <n v="35"/>
    <n v="35"/>
    <n v="35"/>
    <x v="2"/>
  </r>
  <r>
    <n v="1399"/>
    <x v="5"/>
    <x v="7"/>
    <x v="40"/>
    <s v="98845-0023"/>
    <s v="RUA PROF. CIRO DE CASTRO ALMEIDA, 1576"/>
    <s v="CUSTODIO PEREIRA"/>
    <s v="38405-250"/>
    <m/>
    <m/>
    <x v="2"/>
    <n v="1"/>
    <n v="35"/>
    <n v="35"/>
    <n v="35"/>
    <x v="2"/>
  </r>
  <r>
    <n v="1398"/>
    <x v="5"/>
    <x v="7"/>
    <x v="39"/>
    <s v="98803-5267"/>
    <s v="RUA CAMPO RUPESTRE, 193"/>
    <s v=" JD. BOTANICO "/>
    <s v="38410-664"/>
    <m/>
    <m/>
    <x v="1"/>
    <n v="1"/>
    <n v="35"/>
    <n v="35"/>
    <n v="35"/>
    <x v="2"/>
  </r>
  <r>
    <n v="1397"/>
    <x v="5"/>
    <x v="7"/>
    <x v="41"/>
    <s v="99133-6005"/>
    <s v="RUA CAXAMBU, 284 - AP 103"/>
    <s v=" OSVALDO RESENDE "/>
    <s v="38400-418"/>
    <s v="SÁB ATÉ 10H OU DOMINGO APÓS 19H"/>
    <m/>
    <x v="0"/>
    <n v="1"/>
    <n v="35"/>
    <n v="35"/>
    <m/>
    <x v="1"/>
  </r>
  <r>
    <n v="1396"/>
    <x v="6"/>
    <x v="14"/>
    <x v="89"/>
    <s v="9.9929-8010"/>
    <s v="AV.MISAEL RODRIGUES DE CASTRO, 1177 APTO 101"/>
    <s v="SANTA MONICA"/>
    <s v="38408-184"/>
    <m/>
    <m/>
    <x v="1"/>
    <n v="1"/>
    <n v="35"/>
    <n v="35"/>
    <m/>
    <x v="1"/>
  </r>
  <r>
    <n v="1396"/>
    <x v="6"/>
    <x v="14"/>
    <x v="89"/>
    <s v="9.9929-8010"/>
    <s v="AV.MISAEL RODRIGUES DE CASTRO, 1177 APTO 101"/>
    <s v="SANTA MONICA"/>
    <s v="38408-184"/>
    <m/>
    <m/>
    <x v="2"/>
    <n v="1"/>
    <n v="35"/>
    <n v="35"/>
    <m/>
    <x v="1"/>
  </r>
  <r>
    <n v="1396"/>
    <x v="6"/>
    <x v="14"/>
    <x v="89"/>
    <s v="9.9929-8010"/>
    <s v="AV.MISAEL RODRIGUES DE CASTRO, 1177 APTO 101"/>
    <s v="SANTA MONICA"/>
    <s v="38408-184"/>
    <m/>
    <m/>
    <x v="3"/>
    <n v="1"/>
    <n v="35"/>
    <n v="35"/>
    <m/>
    <x v="1"/>
  </r>
  <r>
    <n v="1395"/>
    <x v="6"/>
    <x v="3"/>
    <x v="98"/>
    <s v="9.9991-4357"/>
    <s v="R.ALBERTO GOMES, 213"/>
    <s v="ALTO UMUARAMA"/>
    <s v="38405-360"/>
    <m/>
    <m/>
    <x v="0"/>
    <n v="1"/>
    <n v="35"/>
    <n v="35"/>
    <m/>
    <x v="1"/>
  </r>
  <r>
    <n v="1394"/>
    <x v="6"/>
    <x v="3"/>
    <x v="101"/>
    <s v="9.9971-4647"/>
    <s v="AV. PAES LEME, 145 APTO 602"/>
    <s v="OSVALDO REZENDE"/>
    <s v="38400-392"/>
    <s v="HELIO - 2 CALABRESAS"/>
    <m/>
    <x v="0"/>
    <n v="1"/>
    <n v="35"/>
    <n v="35"/>
    <m/>
    <x v="1"/>
  </r>
  <r>
    <n v="1394"/>
    <x v="6"/>
    <x v="3"/>
    <x v="101"/>
    <s v="9.9971-4647"/>
    <s v="AV. PAES LEME, 145 APTO 602"/>
    <s v="OSVALDO REZENDE"/>
    <s v="38400-392"/>
    <s v="HELIO - 2 CALABRESAS"/>
    <m/>
    <x v="1"/>
    <n v="1"/>
    <n v="35"/>
    <n v="35"/>
    <m/>
    <x v="1"/>
  </r>
  <r>
    <n v="1394"/>
    <x v="6"/>
    <x v="3"/>
    <x v="101"/>
    <s v="9.9971-4647"/>
    <s v="AV. PAES LEME, 145 APTO 602"/>
    <s v="OSVALDO REZENDE"/>
    <s v="38400-392"/>
    <s v="HELIO - 2 CALABRESAS"/>
    <m/>
    <x v="2"/>
    <n v="2"/>
    <n v="35"/>
    <n v="70"/>
    <m/>
    <x v="1"/>
  </r>
  <r>
    <n v="1393"/>
    <x v="6"/>
    <x v="3"/>
    <x v="114"/>
    <s v="9.8224-7769"/>
    <s v="R.CEL ANTONIO ALVES PEREIRA, 1590 APTO 13"/>
    <s v="SARAIVA"/>
    <s v="38408-370"/>
    <m/>
    <m/>
    <x v="1"/>
    <n v="1"/>
    <n v="35"/>
    <n v="35"/>
    <n v="35"/>
    <x v="2"/>
  </r>
  <r>
    <n v="1392"/>
    <x v="6"/>
    <x v="3"/>
    <x v="115"/>
    <s v="9.9149-9388"/>
    <s v="AV. ARAGUARI, 255 APTO 101 BLOCO 3"/>
    <s v="MARTINS"/>
    <s v="38400-464"/>
    <m/>
    <m/>
    <x v="1"/>
    <n v="1"/>
    <n v="35"/>
    <n v="35"/>
    <m/>
    <x v="1"/>
  </r>
  <r>
    <n v="1391"/>
    <x v="6"/>
    <x v="3"/>
    <x v="16"/>
    <s v="9.9232-5605"/>
    <s v="R. EDMUNDO MUNIR ARANTES, 79"/>
    <s v="PLANALTO"/>
    <s v="38413-276"/>
    <m/>
    <m/>
    <x v="1"/>
    <n v="1"/>
    <n v="35"/>
    <n v="35"/>
    <n v="35"/>
    <x v="2"/>
  </r>
  <r>
    <n v="1390"/>
    <x v="6"/>
    <x v="3"/>
    <x v="31"/>
    <s v="9.8899-1860"/>
    <s v="R. ENGENHEIRO HELVIO FELICI, 250"/>
    <s v="MORADA DA COLINA"/>
    <s v="38411-114"/>
    <m/>
    <m/>
    <x v="0"/>
    <n v="1"/>
    <n v="35"/>
    <n v="35"/>
    <m/>
    <x v="1"/>
  </r>
  <r>
    <n v="1389"/>
    <x v="6"/>
    <x v="3"/>
    <x v="116"/>
    <s v="99661-5002"/>
    <s v="AV. PAULO GRACINDO, 1000 - COND. GAVEA PARADISO - ALAMEDA GAVIAO REAL, 90"/>
    <s v="COND. GAVEA PARADISO"/>
    <s v="38411-145"/>
    <s v="QUEBRAR LINHA"/>
    <m/>
    <x v="2"/>
    <n v="1"/>
    <n v="35"/>
    <n v="35"/>
    <m/>
    <x v="1"/>
  </r>
  <r>
    <n v="1388"/>
    <x v="6"/>
    <x v="3"/>
    <x v="19"/>
    <s v=" 99155-5564 / 3215-1758"/>
    <s v="AV. CESARIO CROSARA, 3525"/>
    <s v=" ROOSEVELT "/>
    <s v="38401-119"/>
    <m/>
    <m/>
    <x v="1"/>
    <n v="1"/>
    <n v="35"/>
    <n v="35"/>
    <m/>
    <x v="1"/>
  </r>
  <r>
    <n v="1388"/>
    <x v="6"/>
    <x v="3"/>
    <x v="19"/>
    <s v=" 99155-5564 / 3215-1758"/>
    <s v="AV. CESARIO CROSARA, 3525"/>
    <s v=" ROOSEVELT "/>
    <s v="38401-119"/>
    <m/>
    <m/>
    <x v="3"/>
    <n v="1"/>
    <n v="35"/>
    <n v="35"/>
    <m/>
    <x v="1"/>
  </r>
  <r>
    <n v="1387"/>
    <x v="6"/>
    <x v="3"/>
    <x v="12"/>
    <s v="9.9670-9884"/>
    <s v="R. AGESILAU PASCHOAL GRECO, 318"/>
    <s v="MORADA DA COLINA"/>
    <s v="38411-112"/>
    <m/>
    <m/>
    <x v="2"/>
    <n v="2"/>
    <n v="35"/>
    <n v="70"/>
    <m/>
    <x v="1"/>
  </r>
  <r>
    <n v="1386"/>
    <x v="6"/>
    <x v="3"/>
    <x v="21"/>
    <s v="9.9182-8324"/>
    <s v="R.BERENICE REZENDE DINIZ,15"/>
    <s v="GAVEA"/>
    <s v="38411-162"/>
    <m/>
    <m/>
    <x v="3"/>
    <n v="1"/>
    <n v="35"/>
    <n v="35"/>
    <m/>
    <x v="1"/>
  </r>
  <r>
    <n v="1385"/>
    <x v="6"/>
    <x v="3"/>
    <x v="17"/>
    <n v="0"/>
    <n v="0"/>
    <n v="0"/>
    <n v="0"/>
    <m/>
    <s v="CEDEL"/>
    <x v="2"/>
    <n v="1"/>
    <n v="35"/>
    <n v="35"/>
    <n v="35"/>
    <x v="2"/>
  </r>
  <r>
    <n v="1384"/>
    <x v="6"/>
    <x v="3"/>
    <x v="25"/>
    <s v="99148-4283"/>
    <s v="R. JADE, 45 "/>
    <s v="JD. BOTANICO"/>
    <s v="38411-634"/>
    <m/>
    <m/>
    <x v="2"/>
    <n v="1"/>
    <n v="35"/>
    <n v="35"/>
    <m/>
    <x v="1"/>
  </r>
  <r>
    <n v="1383"/>
    <x v="6"/>
    <x v="3"/>
    <x v="100"/>
    <s v="9.8877-4323"/>
    <s v="R.JUDITE MOREIRA, 280"/>
    <s v="ROOSEVELT"/>
    <s v="38401-160"/>
    <m/>
    <m/>
    <x v="2"/>
    <n v="1"/>
    <n v="35"/>
    <n v="35"/>
    <m/>
    <x v="1"/>
  </r>
  <r>
    <n v="1382"/>
    <x v="6"/>
    <x v="3"/>
    <x v="29"/>
    <s v="99195-9740"/>
    <s v="AV. BELO HORIZONTE, 1786 - ESQUINA C/ R. LAMBARI"/>
    <s v=" OSVALDO RESENDE "/>
    <s v="38400-454"/>
    <m/>
    <m/>
    <x v="0"/>
    <n v="1"/>
    <n v="35"/>
    <n v="35"/>
    <m/>
    <x v="1"/>
  </r>
  <r>
    <n v="1381"/>
    <x v="6"/>
    <x v="3"/>
    <x v="117"/>
    <s v="9.8408-2408"/>
    <s v="R. ERNESTO VICENTINI, 430 FUNDOS"/>
    <s v="ROOSEVELT"/>
    <s v="38401-062"/>
    <m/>
    <m/>
    <x v="1"/>
    <n v="1"/>
    <n v="35"/>
    <n v="35"/>
    <n v="35"/>
    <x v="2"/>
  </r>
  <r>
    <n v="1380"/>
    <x v="6"/>
    <x v="3"/>
    <x v="118"/>
    <s v="9.9971-2121"/>
    <s v="AV. CONCORDIA, 365"/>
    <s v="MORADA DA COLINA"/>
    <s v="38411-122"/>
    <m/>
    <m/>
    <x v="2"/>
    <n v="1"/>
    <n v="35"/>
    <n v="35"/>
    <m/>
    <x v="1"/>
  </r>
  <r>
    <n v="1379"/>
    <x v="6"/>
    <x v="3"/>
    <x v="80"/>
    <s v="99240-5393"/>
    <s v="R. RIO DE JANEIRO, 932 APTO 101"/>
    <s v=" BRASIL "/>
    <s v="38400-658"/>
    <m/>
    <m/>
    <x v="2"/>
    <n v="2"/>
    <n v="35"/>
    <n v="70"/>
    <m/>
    <x v="1"/>
  </r>
  <r>
    <n v="1378"/>
    <x v="6"/>
    <x v="3"/>
    <x v="30"/>
    <s v="3213-3201/ 9.9211-0864"/>
    <s v="AV. CLARA CAMARAO, 427"/>
    <s v="N.SRA GRAÇAS"/>
    <s v="38402-010"/>
    <m/>
    <m/>
    <x v="1"/>
    <n v="1"/>
    <n v="35"/>
    <n v="35"/>
    <m/>
    <x v="1"/>
  </r>
  <r>
    <n v="1378"/>
    <x v="6"/>
    <x v="3"/>
    <x v="30"/>
    <s v="3213-3201/ 9.9211-0864"/>
    <s v="AV. CLARA CAMARAO, 427"/>
    <s v="N.SRA GRAÇAS"/>
    <s v="38402-010"/>
    <m/>
    <m/>
    <x v="2"/>
    <n v="1"/>
    <n v="35"/>
    <n v="35"/>
    <m/>
    <x v="1"/>
  </r>
  <r>
    <n v="1376"/>
    <x v="6"/>
    <x v="2"/>
    <x v="119"/>
    <s v="9.9967-0416"/>
    <s v="R. DA TERNURA, 281"/>
    <s v="INTEGRAÇÃO"/>
    <s v="38407-503"/>
    <m/>
    <m/>
    <x v="2"/>
    <n v="1"/>
    <n v="35"/>
    <n v="35"/>
    <m/>
    <x v="1"/>
  </r>
  <r>
    <n v="1376"/>
    <x v="6"/>
    <x v="2"/>
    <x v="61"/>
    <s v="9.9148-0722"/>
    <s v="R. OROZIMBO JOSE FERREIRA,25"/>
    <s v="APARECIDA"/>
    <s v="38400-774"/>
    <m/>
    <m/>
    <x v="2"/>
    <n v="1"/>
    <n v="35"/>
    <n v="35"/>
    <m/>
    <x v="1"/>
  </r>
  <r>
    <n v="1375"/>
    <x v="6"/>
    <x v="2"/>
    <x v="62"/>
    <s v="99676-2593 "/>
    <s v="R. ANITA 125 PASSARELA AV. LIBERDADE ALTAMIRA"/>
    <s v="MORADA DA COLINA"/>
    <s v="38411-014"/>
    <m/>
    <s v="MILVAR"/>
    <x v="2"/>
    <n v="1"/>
    <n v="40"/>
    <n v="40"/>
    <m/>
    <x v="1"/>
  </r>
  <r>
    <n v="1375"/>
    <x v="6"/>
    <x v="2"/>
    <x v="62"/>
    <s v="99676-2593 "/>
    <s v="R. ANITA 125 PASSARELA AV. LIBERDADE ALTAMIRA"/>
    <s v="MORADA DA COLINA"/>
    <s v="38411-014"/>
    <m/>
    <s v="MILVAR"/>
    <x v="3"/>
    <n v="1"/>
    <n v="40"/>
    <n v="40"/>
    <m/>
    <x v="1"/>
  </r>
  <r>
    <n v="1374"/>
    <x v="6"/>
    <x v="9"/>
    <x v="45"/>
    <s v="9.3255-6765"/>
    <s v="R.PAULO MAIA, 146"/>
    <s v="SAO JORGE"/>
    <s v="38410-046"/>
    <m/>
    <m/>
    <x v="0"/>
    <n v="1"/>
    <n v="40"/>
    <n v="40"/>
    <n v="40"/>
    <x v="2"/>
  </r>
  <r>
    <n v="1373"/>
    <x v="6"/>
    <x v="9"/>
    <x v="53"/>
    <s v="9.9219-9467"/>
    <s v="R.NORDAU GONÇALVES DE MELO, 1232"/>
    <s v="SANTA MONICA"/>
    <s v="38408-218"/>
    <m/>
    <m/>
    <x v="0"/>
    <n v="1"/>
    <n v="40"/>
    <n v="40"/>
    <m/>
    <x v="1"/>
  </r>
  <r>
    <n v="1372"/>
    <x v="6"/>
    <x v="9"/>
    <x v="120"/>
    <s v="9.8848-0036"/>
    <s v="R.DO POETA, 931"/>
    <s v="JD DAS PALMEIRAS"/>
    <s v="38412-276"/>
    <m/>
    <m/>
    <x v="2"/>
    <n v="1"/>
    <n v="40"/>
    <n v="40"/>
    <m/>
    <x v="1"/>
  </r>
  <r>
    <n v="1371"/>
    <x v="6"/>
    <x v="9"/>
    <x v="103"/>
    <s v="9.8414-0925"/>
    <s v="AV.CESARIO CROSARA, 4400"/>
    <s v="ROOSEVELT"/>
    <s v="38401-188"/>
    <m/>
    <m/>
    <x v="2"/>
    <n v="2"/>
    <n v="40"/>
    <n v="80"/>
    <m/>
    <x v="1"/>
  </r>
  <r>
    <n v="1370"/>
    <x v="6"/>
    <x v="9"/>
    <x v="49"/>
    <n v="0"/>
    <s v="RUA JOSE PIRES DEFENSOR, 600, CASA 28"/>
    <n v="0"/>
    <n v="0"/>
    <s v="CAMILA"/>
    <m/>
    <x v="1"/>
    <n v="1"/>
    <n v="40"/>
    <n v="40"/>
    <n v="40"/>
    <x v="2"/>
  </r>
  <r>
    <n v="1369"/>
    <x v="6"/>
    <x v="9"/>
    <x v="49"/>
    <n v="0"/>
    <s v="RUA JOSE PIRES DEFENSOR, 600, CASA 28"/>
    <n v="0"/>
    <n v="0"/>
    <s v="DANI"/>
    <m/>
    <x v="0"/>
    <n v="1"/>
    <n v="40"/>
    <n v="40"/>
    <m/>
    <x v="1"/>
  </r>
  <r>
    <n v="1368"/>
    <x v="6"/>
    <x v="9"/>
    <x v="49"/>
    <n v="0"/>
    <s v="RUA JOSE PIRES DEFENSOR, 600, CASA 28"/>
    <n v="0"/>
    <n v="0"/>
    <m/>
    <m/>
    <x v="0"/>
    <n v="1"/>
    <n v="40"/>
    <n v="40"/>
    <m/>
    <x v="1"/>
  </r>
  <r>
    <n v="1367"/>
    <x v="6"/>
    <x v="9"/>
    <x v="46"/>
    <s v="9.9971-2853/ 9.9997-2853"/>
    <s v="ALAMEDA ALFREDO PETRI, 161"/>
    <s v="JD KARAIBA"/>
    <s v="38411-200"/>
    <m/>
    <m/>
    <x v="1"/>
    <n v="1"/>
    <n v="40"/>
    <n v="40"/>
    <m/>
    <x v="1"/>
  </r>
  <r>
    <n v="1366"/>
    <x v="6"/>
    <x v="9"/>
    <x v="95"/>
    <s v="9.9222-2656"/>
    <s v="ALAMEDA BENETIDO JOSE DE SOUZA, Nº 81"/>
    <s v=" JD HOLANDA "/>
    <s v="38412-887"/>
    <m/>
    <m/>
    <x v="0"/>
    <n v="1"/>
    <n v="40"/>
    <n v="40"/>
    <n v="40"/>
    <x v="2"/>
  </r>
  <r>
    <n v="1365"/>
    <x v="6"/>
    <x v="9"/>
    <x v="10"/>
    <s v="3213-2775"/>
    <s v="R. PEDRO QUIRINO DA SILVA, 341 "/>
    <s v="MARTA HELENA "/>
    <s v="38402-075"/>
    <s v="PAULA"/>
    <m/>
    <x v="1"/>
    <n v="1"/>
    <n v="40"/>
    <n v="40"/>
    <m/>
    <x v="1"/>
  </r>
  <r>
    <n v="1364"/>
    <x v="6"/>
    <x v="9"/>
    <x v="10"/>
    <s v="3213-2775"/>
    <s v="R. PEDRO QUIRINO DA SILVA, 341 "/>
    <s v="MARTA HELENA "/>
    <s v="38402-075"/>
    <s v="MARCELO"/>
    <m/>
    <x v="1"/>
    <n v="5"/>
    <n v="40"/>
    <n v="200"/>
    <n v="200"/>
    <x v="2"/>
  </r>
  <r>
    <n v="1363"/>
    <x v="6"/>
    <x v="9"/>
    <x v="10"/>
    <s v="3213-2775"/>
    <s v="R. PEDRO QUIRINO DA SILVA, 341 "/>
    <s v="MARTA HELENA "/>
    <s v="38402-075"/>
    <s v="FERNANDO"/>
    <m/>
    <x v="1"/>
    <n v="1"/>
    <n v="40"/>
    <n v="40"/>
    <n v="40"/>
    <x v="2"/>
  </r>
  <r>
    <n v="1362"/>
    <x v="6"/>
    <x v="9"/>
    <x v="94"/>
    <s v="9.9976-8255"/>
    <s v="R. IRENE ROSA, 54 OU R. DO BORRACHEIRO, 221"/>
    <s v="OSVALDO REZENDE"/>
    <s v="38400-480"/>
    <s v="ligar antes"/>
    <m/>
    <x v="1"/>
    <n v="1"/>
    <n v="40"/>
    <n v="40"/>
    <m/>
    <x v="1"/>
  </r>
  <r>
    <n v="1361"/>
    <x v="6"/>
    <x v="9"/>
    <x v="121"/>
    <s v="99979-3354"/>
    <s v="AV. DOS JARDINS, 250 - ALAMEDA DAS FENIX, 350 - COND JD BARCELONA"/>
    <s v="NOVA UBERLANDIA"/>
    <s v="38412-639"/>
    <m/>
    <m/>
    <x v="1"/>
    <n v="3"/>
    <n v="40"/>
    <n v="120"/>
    <m/>
    <x v="1"/>
  </r>
  <r>
    <n v="1360"/>
    <x v="6"/>
    <x v="12"/>
    <x v="90"/>
    <n v="0"/>
    <n v="0"/>
    <n v="0"/>
    <n v="0"/>
    <m/>
    <s v="XANDE/ELIS"/>
    <x v="2"/>
    <n v="2"/>
    <n v="40"/>
    <n v="80"/>
    <n v="80"/>
    <x v="2"/>
  </r>
  <r>
    <n v="1359"/>
    <x v="6"/>
    <x v="12"/>
    <x v="91"/>
    <s v="9.9976-5102"/>
    <n v="0"/>
    <s v="CEDEL"/>
    <n v="0"/>
    <m/>
    <s v="CEDEL"/>
    <x v="0"/>
    <n v="2"/>
    <n v="40"/>
    <n v="80"/>
    <m/>
    <x v="1"/>
  </r>
  <r>
    <n v="1359"/>
    <x v="6"/>
    <x v="12"/>
    <x v="91"/>
    <s v="9.9976-5102"/>
    <n v="0"/>
    <s v="CEDEL"/>
    <n v="0"/>
    <m/>
    <s v="CEDEL"/>
    <x v="1"/>
    <n v="1"/>
    <n v="40"/>
    <n v="40"/>
    <m/>
    <x v="1"/>
  </r>
  <r>
    <n v="1359"/>
    <x v="6"/>
    <x v="12"/>
    <x v="91"/>
    <s v="9.9976-5102"/>
    <n v="0"/>
    <s v="CEDEL"/>
    <n v="0"/>
    <m/>
    <s v="CEDEL"/>
    <x v="2"/>
    <n v="1"/>
    <n v="40"/>
    <n v="40"/>
    <m/>
    <x v="1"/>
  </r>
  <r>
    <n v="1358"/>
    <x v="6"/>
    <x v="12"/>
    <x v="110"/>
    <n v="0"/>
    <n v="0"/>
    <n v="0"/>
    <n v="0"/>
    <m/>
    <s v="XANDE/ELIS"/>
    <x v="2"/>
    <n v="1"/>
    <n v="40"/>
    <n v="40"/>
    <n v="40"/>
    <x v="2"/>
  </r>
  <r>
    <n v="1358"/>
    <x v="6"/>
    <x v="12"/>
    <x v="110"/>
    <n v="0"/>
    <n v="0"/>
    <n v="0"/>
    <n v="0"/>
    <m/>
    <s v="XANDE/ELIS"/>
    <x v="3"/>
    <n v="1"/>
    <n v="40"/>
    <n v="40"/>
    <n v="40"/>
    <x v="2"/>
  </r>
  <r>
    <n v="1357"/>
    <x v="6"/>
    <x v="12"/>
    <x v="73"/>
    <s v="9.8876-6001"/>
    <s v="RUA JOSE LELIS FRANÇA, 1480 APTO 301"/>
    <s v="SANTA MONICA"/>
    <s v="38408-234"/>
    <m/>
    <s v="XANDE/ELIS"/>
    <x v="1"/>
    <n v="1"/>
    <n v="40"/>
    <n v="40"/>
    <n v="40"/>
    <x v="2"/>
  </r>
  <r>
    <n v="1356"/>
    <x v="6"/>
    <x v="12"/>
    <x v="74"/>
    <n v="0"/>
    <n v="0"/>
    <n v="0"/>
    <n v="0"/>
    <m/>
    <s v="CEDEL"/>
    <x v="2"/>
    <n v="1"/>
    <n v="40"/>
    <n v="40"/>
    <m/>
    <x v="1"/>
  </r>
  <r>
    <n v="1355"/>
    <x v="6"/>
    <x v="12"/>
    <x v="92"/>
    <s v=" 9973-9967"/>
    <n v="0"/>
    <n v="0"/>
    <n v="0"/>
    <m/>
    <s v="XANDE/ELIS"/>
    <x v="1"/>
    <n v="1"/>
    <n v="40"/>
    <n v="40"/>
    <n v="40"/>
    <x v="2"/>
  </r>
  <r>
    <n v="1355"/>
    <x v="6"/>
    <x v="12"/>
    <x v="92"/>
    <s v=" 9973-9967"/>
    <n v="0"/>
    <n v="0"/>
    <n v="0"/>
    <m/>
    <s v="XANDE/ELIS"/>
    <x v="3"/>
    <n v="1"/>
    <n v="40"/>
    <n v="40"/>
    <n v="40"/>
    <x v="2"/>
  </r>
  <r>
    <n v="1354"/>
    <x v="6"/>
    <x v="12"/>
    <x v="4"/>
    <s v="9.9197-7955"/>
    <n v="0"/>
    <s v="CEDEL"/>
    <n v="0"/>
    <m/>
    <s v="CEDEL"/>
    <x v="1"/>
    <n v="3"/>
    <n v="40"/>
    <n v="120"/>
    <m/>
    <x v="1"/>
  </r>
  <r>
    <n v="1353"/>
    <x v="6"/>
    <x v="12"/>
    <x v="75"/>
    <s v="9.9932-1907"/>
    <s v="RUA FRANCISCO RODRIGUES SERRALHA, 350 CONDOMINIO UCHOA BLOCO 27 APTO 402"/>
    <s v="CHACARAS TUBALINA"/>
    <s v="38413-297"/>
    <s v="quebrar linha"/>
    <m/>
    <x v="1"/>
    <n v="1"/>
    <n v="40"/>
    <n v="40"/>
    <n v="40"/>
    <x v="2"/>
  </r>
  <r>
    <n v="1352"/>
    <x v="6"/>
    <x v="6"/>
    <x v="122"/>
    <s v="9.9277-2761"/>
    <s v="R. ODORICO ANTONIO LIMA, 59 OU 39 (CASA BARBARA)"/>
    <s v="ROOSEVELT"/>
    <s v="38401-204"/>
    <m/>
    <m/>
    <x v="1"/>
    <n v="2"/>
    <n v="40"/>
    <n v="80"/>
    <m/>
    <x v="1"/>
  </r>
  <r>
    <n v="1351"/>
    <x v="6"/>
    <x v="7"/>
    <x v="40"/>
    <s v="98845-0023"/>
    <s v="RUA PROF. CIRO DE CASTRO ALMEIDA, 1576"/>
    <s v="CUSTODIO PEREIRA"/>
    <s v="38405-250"/>
    <m/>
    <s v="GABRIEL"/>
    <x v="0"/>
    <n v="1"/>
    <n v="40"/>
    <n v="40"/>
    <n v="40"/>
    <x v="2"/>
  </r>
  <r>
    <n v="1351"/>
    <x v="6"/>
    <x v="7"/>
    <x v="40"/>
    <s v="98845-0023"/>
    <s v="RUA PROF. CIRO DE CASTRO ALMEIDA, 1576"/>
    <s v="CUSTODIO PEREIRA"/>
    <s v="38405-250"/>
    <m/>
    <s v="GABRIEL"/>
    <x v="2"/>
    <n v="1"/>
    <n v="40"/>
    <n v="40"/>
    <n v="40"/>
    <x v="2"/>
  </r>
  <r>
    <n v="1350"/>
    <x v="6"/>
    <x v="7"/>
    <x v="39"/>
    <s v="98803-5267"/>
    <s v="RUA CAMPO RUPESTRE, 193"/>
    <s v=" JD. BOTANICO "/>
    <s v="38410-664"/>
    <m/>
    <m/>
    <x v="1"/>
    <n v="1"/>
    <n v="40"/>
    <n v="40"/>
    <n v="40"/>
    <x v="2"/>
  </r>
  <r>
    <n v="1349"/>
    <x v="6"/>
    <x v="7"/>
    <x v="41"/>
    <s v="99133-6005"/>
    <s v="RUA CAXAMBU, 284 - AP 103"/>
    <s v=" OSVALDO RESENDE "/>
    <s v="38400-418"/>
    <m/>
    <m/>
    <x v="0"/>
    <n v="1"/>
    <n v="40"/>
    <n v="40"/>
    <m/>
    <x v="1"/>
  </r>
  <r>
    <n v="1348"/>
    <x v="6"/>
    <x v="6"/>
    <x v="123"/>
    <s v="9.9888-6094"/>
    <s v="Rua Ana Valentina Nogueira, 820"/>
    <s v="SHOPPING PARK"/>
    <s v="38411-552"/>
    <s v="LIGAR ANTES"/>
    <m/>
    <x v="2"/>
    <n v="1"/>
    <n v="40"/>
    <n v="40"/>
    <m/>
    <x v="1"/>
  </r>
  <r>
    <n v="1347"/>
    <x v="6"/>
    <x v="6"/>
    <x v="35"/>
    <s v="9.9121-7971"/>
    <s v="Av.Dimas Machado, 642 -J &amp; M Centro Automotivo "/>
    <s v="CHACARAS TUBALINA"/>
    <s v="38413-291"/>
    <m/>
    <m/>
    <x v="2"/>
    <n v="1"/>
    <n v="40"/>
    <n v="40"/>
    <m/>
    <x v="1"/>
  </r>
  <r>
    <n v="1346"/>
    <x v="6"/>
    <x v="6"/>
    <x v="38"/>
    <n v="0"/>
    <n v="0"/>
    <n v="0"/>
    <n v="0"/>
    <m/>
    <m/>
    <x v="2"/>
    <n v="1"/>
    <n v="40"/>
    <n v="40"/>
    <m/>
    <x v="1"/>
  </r>
  <r>
    <n v="1345"/>
    <x v="6"/>
    <x v="6"/>
    <x v="10"/>
    <s v="3213-2775"/>
    <s v="R. PEDRO QUIRINO DA SILVA, 341 "/>
    <s v="MARTA HELENA "/>
    <s v="38402-075"/>
    <s v="RODRIGO/VALERIA"/>
    <m/>
    <x v="1"/>
    <n v="2"/>
    <n v="40"/>
    <n v="80"/>
    <m/>
    <x v="1"/>
  </r>
  <r>
    <n v="1344"/>
    <x v="6"/>
    <x v="6"/>
    <x v="33"/>
    <s v="99942-3020"/>
    <s v="RUA CIPRIANO DEL FAVERO 659 APTº 1200  "/>
    <s v=" CENTRO "/>
    <s v="38400-106"/>
    <m/>
    <m/>
    <x v="2"/>
    <n v="1"/>
    <n v="40"/>
    <n v="40"/>
    <m/>
    <x v="1"/>
  </r>
  <r>
    <n v="1344"/>
    <x v="6"/>
    <x v="6"/>
    <x v="33"/>
    <s v="99942-3020"/>
    <s v="RUA CIPRIANO DEL FAVERO 659 APTº 1200  "/>
    <s v=" CENTRO "/>
    <s v="38400-106"/>
    <m/>
    <m/>
    <x v="3"/>
    <n v="1"/>
    <n v="40"/>
    <n v="40"/>
    <m/>
    <x v="1"/>
  </r>
  <r>
    <n v="1343"/>
    <x v="6"/>
    <x v="8"/>
    <x v="42"/>
    <n v="0"/>
    <n v="0"/>
    <n v="0"/>
    <n v="0"/>
    <m/>
    <m/>
    <x v="0"/>
    <n v="4"/>
    <n v="40"/>
    <n v="160"/>
    <m/>
    <x v="1"/>
  </r>
  <r>
    <n v="1343"/>
    <x v="6"/>
    <x v="8"/>
    <x v="42"/>
    <n v="0"/>
    <n v="0"/>
    <n v="0"/>
    <n v="0"/>
    <m/>
    <m/>
    <x v="1"/>
    <n v="9"/>
    <n v="40"/>
    <n v="360"/>
    <m/>
    <x v="1"/>
  </r>
  <r>
    <n v="1343"/>
    <x v="6"/>
    <x v="8"/>
    <x v="42"/>
    <n v="0"/>
    <n v="0"/>
    <n v="0"/>
    <n v="0"/>
    <m/>
    <m/>
    <x v="2"/>
    <n v="7"/>
    <n v="40"/>
    <n v="280"/>
    <m/>
    <x v="1"/>
  </r>
  <r>
    <n v="1343"/>
    <x v="6"/>
    <x v="8"/>
    <x v="42"/>
    <n v="0"/>
    <n v="0"/>
    <n v="0"/>
    <n v="0"/>
    <m/>
    <m/>
    <x v="3"/>
    <n v="2"/>
    <n v="40"/>
    <n v="80"/>
    <m/>
    <x v="1"/>
  </r>
  <r>
    <n v="1342"/>
    <x v="6"/>
    <x v="4"/>
    <x v="124"/>
    <n v="0"/>
    <n v="0"/>
    <n v="0"/>
    <n v="0"/>
    <m/>
    <m/>
    <x v="2"/>
    <n v="2"/>
    <n v="40"/>
    <n v="80"/>
    <m/>
    <x v="1"/>
  </r>
  <r>
    <n v="1341"/>
    <x v="6"/>
    <x v="4"/>
    <x v="125"/>
    <s v="9.9661-1352"/>
    <s v="R. PROF EUNICE BRANDAO DE PAIVA, 139"/>
    <s v="SHOPPING PARK"/>
    <s v="38411-466"/>
    <m/>
    <m/>
    <x v="1"/>
    <n v="1"/>
    <n v="40"/>
    <n v="40"/>
    <m/>
    <x v="1"/>
  </r>
  <r>
    <n v="1340"/>
    <x v="6"/>
    <x v="4"/>
    <x v="57"/>
    <s v="9.9860-0086"/>
    <s v="R. JAMILE CALIL ATIE, 451"/>
    <s v="JD EUROPA"/>
    <s v="38414-419"/>
    <m/>
    <m/>
    <x v="2"/>
    <n v="1"/>
    <n v="40"/>
    <n v="40"/>
    <n v="40"/>
    <x v="2"/>
  </r>
  <r>
    <n v="1340"/>
    <x v="6"/>
    <x v="4"/>
    <x v="57"/>
    <s v="9.9860-0086"/>
    <s v="R. JAMILE CALIL ATIE, 451"/>
    <s v="JD EUROPA"/>
    <s v="38414-419"/>
    <m/>
    <m/>
    <x v="3"/>
    <n v="1"/>
    <n v="40"/>
    <n v="40"/>
    <n v="40"/>
    <x v="2"/>
  </r>
  <r>
    <n v="1339"/>
    <x v="6"/>
    <x v="4"/>
    <x v="55"/>
    <s v="9.8409-2820"/>
    <s v="Av. Fernando Vilela, 1207"/>
    <s v="MARTINS"/>
    <s v="38400-456"/>
    <m/>
    <m/>
    <x v="2"/>
    <n v="1"/>
    <n v="40"/>
    <n v="40"/>
    <m/>
    <x v="1"/>
  </r>
  <r>
    <n v="1338"/>
    <x v="6"/>
    <x v="4"/>
    <x v="86"/>
    <s v="9.9166-1547"/>
    <n v="0"/>
    <s v="CEDEL"/>
    <n v="0"/>
    <m/>
    <m/>
    <x v="0"/>
    <n v="2"/>
    <n v="40"/>
    <n v="80"/>
    <m/>
    <x v="1"/>
  </r>
  <r>
    <n v="1338"/>
    <x v="6"/>
    <x v="4"/>
    <x v="86"/>
    <s v="9.9166-1547"/>
    <n v="0"/>
    <s v="CEDEL"/>
    <n v="0"/>
    <m/>
    <m/>
    <x v="1"/>
    <n v="2"/>
    <n v="40"/>
    <n v="80"/>
    <m/>
    <x v="1"/>
  </r>
  <r>
    <n v="1338"/>
    <x v="6"/>
    <x v="4"/>
    <x v="86"/>
    <s v="9.9166-1547"/>
    <n v="0"/>
    <s v="CEDEL"/>
    <n v="0"/>
    <m/>
    <m/>
    <x v="2"/>
    <n v="2"/>
    <n v="40"/>
    <n v="80"/>
    <m/>
    <x v="1"/>
  </r>
  <r>
    <n v="1338"/>
    <x v="6"/>
    <x v="4"/>
    <x v="86"/>
    <s v="9.9166-1547"/>
    <n v="0"/>
    <s v="CEDEL"/>
    <n v="0"/>
    <m/>
    <m/>
    <x v="3"/>
    <n v="2"/>
    <n v="40"/>
    <n v="80"/>
    <m/>
    <x v="1"/>
  </r>
  <r>
    <n v="1337"/>
    <x v="6"/>
    <x v="13"/>
    <x v="3"/>
    <s v="99979-5832"/>
    <n v="0"/>
    <n v="0"/>
    <n v="0"/>
    <m/>
    <m/>
    <x v="2"/>
    <n v="2"/>
    <n v="40"/>
    <n v="80"/>
    <m/>
    <x v="1"/>
  </r>
  <r>
    <n v="1337"/>
    <x v="6"/>
    <x v="13"/>
    <x v="3"/>
    <s v="99979-5832"/>
    <n v="0"/>
    <n v="0"/>
    <n v="0"/>
    <m/>
    <m/>
    <x v="3"/>
    <n v="2"/>
    <n v="40"/>
    <n v="80"/>
    <m/>
    <x v="1"/>
  </r>
  <r>
    <n v="1336"/>
    <x v="6"/>
    <x v="5"/>
    <x v="8"/>
    <s v="9.9149-1390"/>
    <n v="0"/>
    <s v="CEDEL"/>
    <n v="0"/>
    <m/>
    <m/>
    <x v="1"/>
    <n v="1"/>
    <n v="40"/>
    <n v="40"/>
    <m/>
    <x v="1"/>
  </r>
  <r>
    <n v="1336"/>
    <x v="6"/>
    <x v="5"/>
    <x v="8"/>
    <s v="9.9149-1390"/>
    <n v="0"/>
    <s v="CEDEL"/>
    <n v="0"/>
    <m/>
    <m/>
    <x v="2"/>
    <n v="1"/>
    <n v="40"/>
    <n v="40"/>
    <m/>
    <x v="1"/>
  </r>
  <r>
    <n v="1336"/>
    <x v="6"/>
    <x v="5"/>
    <x v="8"/>
    <s v="9.9149-1390"/>
    <n v="0"/>
    <s v="CEDEL"/>
    <n v="0"/>
    <m/>
    <m/>
    <x v="3"/>
    <n v="1"/>
    <n v="40"/>
    <n v="40"/>
    <m/>
    <x v="1"/>
  </r>
  <r>
    <n v="1335"/>
    <x v="6"/>
    <x v="4"/>
    <x v="56"/>
    <s v="9.9656-9977"/>
    <s v="R. ARNALDO TUCCI 1289 ANT34 "/>
    <s v="SANTA MONICA"/>
    <s v="38408-256"/>
    <m/>
    <m/>
    <x v="1"/>
    <n v="3"/>
    <n v="40"/>
    <n v="120"/>
    <m/>
    <x v="1"/>
  </r>
  <r>
    <n v="1334"/>
    <x v="6"/>
    <x v="10"/>
    <x v="10"/>
    <s v="3213-2775"/>
    <s v="R. PEDRO QUIRINO DA SILVA, 341 "/>
    <s v="MARTA HELENA "/>
    <s v="38402-075"/>
    <s v="RODOLFO"/>
    <m/>
    <x v="1"/>
    <n v="2"/>
    <n v="40"/>
    <n v="80"/>
    <m/>
    <x v="1"/>
  </r>
  <r>
    <n v="1333"/>
    <x v="6"/>
    <x v="10"/>
    <x v="60"/>
    <n v="0"/>
    <n v="0"/>
    <n v="0"/>
    <n v="0"/>
    <s v="+2FALE"/>
    <s v="RODOLFO"/>
    <x v="1"/>
    <n v="4"/>
    <n v="40"/>
    <n v="160"/>
    <m/>
    <x v="1"/>
  </r>
  <r>
    <n v="1332"/>
    <x v="6"/>
    <x v="10"/>
    <x v="58"/>
    <s v="99147-8758"/>
    <n v="0"/>
    <n v="0"/>
    <n v="0"/>
    <m/>
    <m/>
    <x v="0"/>
    <n v="2"/>
    <n v="40"/>
    <n v="80"/>
    <m/>
    <x v="1"/>
  </r>
  <r>
    <n v="1331"/>
    <x v="6"/>
    <x v="10"/>
    <x v="59"/>
    <s v="9.9135-7263"/>
    <s v="Rua Pica Paus 1750, condomínio Jardins Roma, Rua Copaibeiras 95"/>
    <s v="NOVA UBERLANDIA"/>
    <s v="38412-641"/>
    <m/>
    <s v="RODOLFO"/>
    <x v="0"/>
    <n v="1"/>
    <n v="40"/>
    <n v="40"/>
    <m/>
    <x v="1"/>
  </r>
  <r>
    <n v="1331"/>
    <x v="6"/>
    <x v="10"/>
    <x v="59"/>
    <s v="9.9135-7263"/>
    <s v="Rua Pica Paus 1750, condomínio Jardins Roma, Rua Copaibeiras 95"/>
    <s v="NOVA UBERLANDIA"/>
    <s v="38412-641"/>
    <m/>
    <s v="RODOLFO"/>
    <x v="1"/>
    <n v="1"/>
    <n v="40"/>
    <n v="40"/>
    <m/>
    <x v="1"/>
  </r>
  <r>
    <n v="1330"/>
    <x v="6"/>
    <x v="11"/>
    <x v="63"/>
    <s v="9.8863-1720"/>
    <n v="0"/>
    <s v="CEDEL"/>
    <n v="0"/>
    <m/>
    <m/>
    <x v="2"/>
    <n v="1"/>
    <n v="40"/>
    <n v="40"/>
    <m/>
    <x v="1"/>
  </r>
  <r>
    <n v="1329"/>
    <x v="6"/>
    <x v="11"/>
    <x v="65"/>
    <s v="99996-4095"/>
    <s v="END: RUA VIRGILIO M. FRANCO, 340,  APTO 32"/>
    <s v=" TABAJARAS "/>
    <s v="38400-238"/>
    <m/>
    <m/>
    <x v="3"/>
    <n v="1"/>
    <n v="40"/>
    <n v="40"/>
    <m/>
    <x v="1"/>
  </r>
  <r>
    <n v="1328"/>
    <x v="6"/>
    <x v="11"/>
    <x v="84"/>
    <s v="9.9992-0097"/>
    <s v="R. HORACIO REZENDE, 241"/>
    <s v="OSVALDO REZENDE"/>
    <s v="38400-302"/>
    <m/>
    <m/>
    <x v="2"/>
    <n v="1"/>
    <n v="40"/>
    <n v="40"/>
    <m/>
    <x v="1"/>
  </r>
  <r>
    <n v="1328"/>
    <x v="6"/>
    <x v="11"/>
    <x v="84"/>
    <s v="9.9992-0097"/>
    <s v="R. HORACIO REZENDE, 241"/>
    <s v="OSVALDO REZENDE"/>
    <s v="38400-302"/>
    <m/>
    <m/>
    <x v="3"/>
    <n v="1"/>
    <n v="40"/>
    <n v="40"/>
    <m/>
    <x v="1"/>
  </r>
  <r>
    <n v="1293"/>
    <x v="7"/>
    <x v="9"/>
    <x v="126"/>
    <s v="9.9678-5568"/>
    <s v="R. BENJAMIN CONSTANT, 270, APTO 104"/>
    <s v="APARECIDA"/>
    <s v="38400-678"/>
    <m/>
    <m/>
    <x v="2"/>
    <n v="1"/>
    <n v="40"/>
    <n v="40"/>
    <m/>
    <x v="1"/>
  </r>
  <r>
    <n v="1326"/>
    <x v="7"/>
    <x v="6"/>
    <x v="122"/>
    <s v="9.9927-6276"/>
    <s v="R. ODORICO ANTONIO LIMA, 59"/>
    <s v="ROOSEVELT"/>
    <s v="38401-204"/>
    <m/>
    <m/>
    <x v="3"/>
    <n v="1"/>
    <n v="40"/>
    <n v="40"/>
    <m/>
    <x v="1"/>
  </r>
  <r>
    <n v="1325"/>
    <x v="7"/>
    <x v="6"/>
    <x v="33"/>
    <s v="99942-3020"/>
    <s v="RUA CIPRIANO DEL FAVERO 659 APTº 1200  "/>
    <s v=" CENTRO "/>
    <s v="38400-106"/>
    <m/>
    <m/>
    <x v="2"/>
    <n v="1"/>
    <n v="40"/>
    <n v="40"/>
    <m/>
    <x v="1"/>
  </r>
  <r>
    <n v="1325"/>
    <x v="7"/>
    <x v="6"/>
    <x v="33"/>
    <s v="99942-3020"/>
    <s v="RUA CIPRIANO DEL FAVERO 659 APTº 1200  "/>
    <s v=" CENTRO "/>
    <s v="38400-106"/>
    <m/>
    <m/>
    <x v="3"/>
    <n v="1"/>
    <n v="40"/>
    <n v="40"/>
    <m/>
    <x v="1"/>
  </r>
  <r>
    <n v="1324"/>
    <x v="7"/>
    <x v="6"/>
    <x v="35"/>
    <s v="9.9121-7971"/>
    <s v="Av.Dimas Machado, 642 -J &amp; M Centro Automotivo "/>
    <s v="CHACARAS TUBALINA"/>
    <s v="38413-291"/>
    <m/>
    <m/>
    <x v="2"/>
    <n v="1"/>
    <n v="40"/>
    <n v="40"/>
    <m/>
    <x v="1"/>
  </r>
  <r>
    <n v="1323"/>
    <x v="7"/>
    <x v="6"/>
    <x v="127"/>
    <s v="9.9237-0104"/>
    <s v="Rua EmIlia Fernandes de Brito, 113"/>
    <s v="JD AMERICA"/>
    <s v="38401-768"/>
    <m/>
    <m/>
    <x v="2"/>
    <n v="1"/>
    <n v="40"/>
    <n v="40"/>
    <m/>
    <x v="1"/>
  </r>
  <r>
    <n v="1322"/>
    <x v="7"/>
    <x v="6"/>
    <x v="128"/>
    <s v="9.9971-3460"/>
    <s v="R. SALVADOR, 1029"/>
    <s v="APARECIDA"/>
    <s v="38400-757"/>
    <m/>
    <m/>
    <x v="2"/>
    <n v="1"/>
    <n v="40"/>
    <n v="40"/>
    <m/>
    <x v="1"/>
  </r>
  <r>
    <n v="1321"/>
    <x v="7"/>
    <x v="6"/>
    <x v="36"/>
    <n v="0"/>
    <s v="RUA DOM ALMIR MARQUES FERREIRA, 820 "/>
    <s v="GAVEA"/>
    <s v="38411-170"/>
    <m/>
    <s v="JOSE LUIZ"/>
    <x v="2"/>
    <n v="1"/>
    <n v="40"/>
    <n v="40"/>
    <m/>
    <x v="1"/>
  </r>
  <r>
    <n v="1320"/>
    <x v="7"/>
    <x v="6"/>
    <x v="38"/>
    <n v="0"/>
    <n v="0"/>
    <n v="0"/>
    <n v="0"/>
    <m/>
    <s v="JOSE LUIZ"/>
    <x v="2"/>
    <n v="1"/>
    <n v="40"/>
    <n v="40"/>
    <m/>
    <x v="1"/>
  </r>
  <r>
    <n v="1319"/>
    <x v="7"/>
    <x v="6"/>
    <x v="10"/>
    <s v="3213-2775"/>
    <s v="R. PEDRO QUIRINO DA SILVA, 341 "/>
    <s v="MARTA HELENA "/>
    <s v="38402-075"/>
    <s v="RODRIGO/VALERIA"/>
    <m/>
    <x v="1"/>
    <n v="2"/>
    <n v="40"/>
    <n v="80"/>
    <m/>
    <x v="1"/>
  </r>
  <r>
    <n v="1318"/>
    <x v="7"/>
    <x v="4"/>
    <x v="129"/>
    <n v="0"/>
    <s v="AV DOS VINHEDOS, 900 ALAMEDA BELA EMILIA, 185 CONDOM. GAVEA 2"/>
    <s v="MORADA DA COLINA"/>
    <s v="38411-159"/>
    <s v="QUEBRAR LINHA PEGAR TELEFONE"/>
    <m/>
    <x v="0"/>
    <n v="1"/>
    <n v="40"/>
    <n v="40"/>
    <m/>
    <x v="1"/>
  </r>
  <r>
    <n v="1318"/>
    <x v="7"/>
    <x v="4"/>
    <x v="129"/>
    <n v="0"/>
    <s v="AV DOS VINHEDOS, 900 ALAMEDA BELA EMILIA, 185 CONDOM. GAVEA 2"/>
    <s v="MORADA DA COLINA"/>
    <s v="38411-159"/>
    <s v="QUEBRAR LINHA PEGAR TELEFONE"/>
    <m/>
    <x v="1"/>
    <n v="1"/>
    <n v="40"/>
    <n v="40"/>
    <m/>
    <x v="1"/>
  </r>
  <r>
    <n v="1317"/>
    <x v="7"/>
    <x v="4"/>
    <x v="130"/>
    <n v="0"/>
    <n v="0"/>
    <n v="0"/>
    <n v="0"/>
    <m/>
    <s v="CEDEL"/>
    <x v="0"/>
    <n v="1"/>
    <n v="40"/>
    <n v="40"/>
    <m/>
    <x v="1"/>
  </r>
  <r>
    <n v="1317"/>
    <x v="7"/>
    <x v="4"/>
    <x v="130"/>
    <n v="0"/>
    <n v="0"/>
    <n v="0"/>
    <n v="0"/>
    <m/>
    <s v="CEDEL"/>
    <x v="2"/>
    <n v="3"/>
    <n v="40"/>
    <n v="120"/>
    <m/>
    <x v="1"/>
  </r>
  <r>
    <n v="1317"/>
    <x v="7"/>
    <x v="4"/>
    <x v="130"/>
    <n v="0"/>
    <n v="0"/>
    <n v="0"/>
    <n v="0"/>
    <m/>
    <s v="CEDEL"/>
    <x v="3"/>
    <n v="1"/>
    <n v="40"/>
    <n v="40"/>
    <m/>
    <x v="1"/>
  </r>
  <r>
    <n v="1316"/>
    <x v="7"/>
    <x v="3"/>
    <x v="27"/>
    <s v="9.9817-7487"/>
    <s v="R. LOURDES DE CARVALHO, 1364"/>
    <s v="SANTA MONICA"/>
    <s v="38408-268"/>
    <m/>
    <m/>
    <x v="1"/>
    <n v="1"/>
    <n v="40"/>
    <n v="40"/>
    <m/>
    <x v="1"/>
  </r>
  <r>
    <n v="1315"/>
    <x v="7"/>
    <x v="3"/>
    <x v="131"/>
    <s v="9.9925-0260"/>
    <s v="R. AGESILAU PASCHOAL GRECO, 136"/>
    <s v="MORADA DA COLINA"/>
    <s v="38411-112"/>
    <m/>
    <m/>
    <x v="2"/>
    <n v="1"/>
    <n v="40"/>
    <n v="40"/>
    <m/>
    <x v="1"/>
  </r>
  <r>
    <n v="1314"/>
    <x v="7"/>
    <x v="3"/>
    <x v="117"/>
    <s v="9.8408-2408"/>
    <s v="R. ERNESTO VICENTINI, 430 FUNDOS"/>
    <s v="ROOSEVELT"/>
    <s v="38401-062"/>
    <m/>
    <m/>
    <x v="1"/>
    <n v="1"/>
    <n v="40"/>
    <n v="40"/>
    <n v="40"/>
    <x v="2"/>
  </r>
  <r>
    <n v="1313"/>
    <x v="7"/>
    <x v="3"/>
    <x v="26"/>
    <s v="9.9799-9784"/>
    <s v="R. BELARMINO COTA PACHECO, 1461 APTO 101"/>
    <s v="SANTA MONICA"/>
    <s v="38408-168"/>
    <m/>
    <m/>
    <x v="1"/>
    <n v="1"/>
    <n v="40"/>
    <n v="40"/>
    <m/>
    <x v="1"/>
  </r>
  <r>
    <n v="1312"/>
    <x v="7"/>
    <x v="3"/>
    <x v="83"/>
    <s v="9.9108-2161"/>
    <s v="R. BERNARDO CUPERTINO, 965 APTO 304 PODE DEIXAR PORTARIA"/>
    <s v="MARTINS"/>
    <s v="38400-323"/>
    <m/>
    <m/>
    <x v="1"/>
    <n v="1"/>
    <n v="40"/>
    <n v="40"/>
    <m/>
    <x v="1"/>
  </r>
  <r>
    <n v="1311"/>
    <x v="7"/>
    <x v="3"/>
    <x v="16"/>
    <s v="9.9232-5605"/>
    <s v="R. EDMUNDO MUNIR ARANTES, 79"/>
    <s v="PLANALTO"/>
    <s v="38413-276"/>
    <m/>
    <m/>
    <x v="1"/>
    <n v="1"/>
    <n v="40"/>
    <n v="40"/>
    <n v="40"/>
    <x v="2"/>
  </r>
  <r>
    <n v="1310"/>
    <x v="7"/>
    <x v="3"/>
    <x v="78"/>
    <s v="9.9120-9701/3225-2785"/>
    <s v="R. RONDONIA, 26"/>
    <s v="SANTA ROSA"/>
    <s v="38401-246"/>
    <m/>
    <m/>
    <x v="2"/>
    <n v="1"/>
    <n v="40"/>
    <n v="40"/>
    <m/>
    <x v="1"/>
  </r>
  <r>
    <n v="1309"/>
    <x v="7"/>
    <x v="3"/>
    <x v="98"/>
    <s v="9.9991-4357"/>
    <s v="R. MICHELE VIRNO, 4093"/>
    <s v="CUSTODIO PEREIRA"/>
    <s v="38405-190"/>
    <m/>
    <m/>
    <x v="0"/>
    <n v="1"/>
    <n v="40"/>
    <n v="40"/>
    <m/>
    <x v="1"/>
  </r>
  <r>
    <n v="1308"/>
    <x v="7"/>
    <x v="3"/>
    <x v="80"/>
    <s v="99240-5393"/>
    <s v="R. RIO DE JANEIRO, 932 APTO 101"/>
    <s v=" BRASIL "/>
    <s v="38400-658"/>
    <m/>
    <m/>
    <x v="0"/>
    <n v="1"/>
    <n v="40"/>
    <n v="40"/>
    <m/>
    <x v="1"/>
  </r>
  <r>
    <n v="1307"/>
    <x v="7"/>
    <x v="3"/>
    <x v="30"/>
    <s v="3213-3201/ 9.9211-0864"/>
    <s v="AV. CLARA CAMARAO, 427"/>
    <s v="N.SRA GRAÇAS"/>
    <s v="38402-010"/>
    <m/>
    <m/>
    <x v="1"/>
    <n v="1"/>
    <n v="40"/>
    <n v="40"/>
    <m/>
    <x v="1"/>
  </r>
  <r>
    <n v="1307"/>
    <x v="7"/>
    <x v="3"/>
    <x v="30"/>
    <s v="3213-3201/ 9.9211-0864"/>
    <s v="AV. CLARA CAMARAO, 427"/>
    <s v="N.SRA GRAÇAS"/>
    <s v="38402-010"/>
    <m/>
    <m/>
    <x v="2"/>
    <n v="1"/>
    <n v="40"/>
    <n v="40"/>
    <m/>
    <x v="1"/>
  </r>
  <r>
    <n v="1306"/>
    <x v="7"/>
    <x v="3"/>
    <x v="19"/>
    <s v=" 99155-5564 / 3215-1758"/>
    <s v="AV. CESARIO CROSARA, 3525"/>
    <s v=" ROOSEVELT "/>
    <s v="38401-119"/>
    <m/>
    <m/>
    <x v="3"/>
    <n v="2"/>
    <n v="40"/>
    <n v="80"/>
    <m/>
    <x v="1"/>
  </r>
  <r>
    <n v="1305"/>
    <x v="7"/>
    <x v="3"/>
    <x v="17"/>
    <n v="0"/>
    <n v="0"/>
    <n v="0"/>
    <n v="0"/>
    <m/>
    <s v="CEDEL"/>
    <x v="2"/>
    <n v="1"/>
    <n v="40"/>
    <n v="40"/>
    <n v="40"/>
    <x v="2"/>
  </r>
  <r>
    <n v="1304"/>
    <x v="7"/>
    <x v="3"/>
    <x v="32"/>
    <s v="9.9171-4462"/>
    <s v="R. MONLEVADE, 852"/>
    <s v="DANIEL FONSECA"/>
    <s v="38400-320"/>
    <m/>
    <m/>
    <x v="2"/>
    <n v="2"/>
    <n v="40"/>
    <n v="80"/>
    <m/>
    <x v="1"/>
  </r>
  <r>
    <n v="1303"/>
    <x v="7"/>
    <x v="3"/>
    <x v="25"/>
    <s v="99148-4283"/>
    <s v="R. JADE, 45 "/>
    <s v="JD. BOTANICO"/>
    <s v="38411-634"/>
    <m/>
    <m/>
    <x v="2"/>
    <n v="1"/>
    <n v="40"/>
    <n v="40"/>
    <m/>
    <x v="1"/>
  </r>
  <r>
    <n v="1302"/>
    <x v="7"/>
    <x v="3"/>
    <x v="100"/>
    <s v="9.8877-4323"/>
    <s v="R.JUDITE MOREIRA, 280"/>
    <s v="ROOSEVELT"/>
    <s v="38401-160"/>
    <m/>
    <m/>
    <x v="2"/>
    <n v="1"/>
    <n v="40"/>
    <n v="40"/>
    <m/>
    <x v="1"/>
  </r>
  <r>
    <n v="1301"/>
    <x v="7"/>
    <x v="3"/>
    <x v="29"/>
    <s v="99195-9740"/>
    <s v="AV. BELO HORIZONTE, 1786 - ESQUINA C/ R. LAMBARI"/>
    <s v=" OSVALDO RESENDE "/>
    <s v="38400-454"/>
    <s v="DEPOIS DAS 14H"/>
    <m/>
    <x v="0"/>
    <n v="1"/>
    <n v="40"/>
    <n v="40"/>
    <m/>
    <x v="1"/>
  </r>
  <r>
    <n v="1300"/>
    <x v="7"/>
    <x v="3"/>
    <x v="31"/>
    <s v="9.8899-1860"/>
    <s v="R. ENGENHEIRO HELVIO FELICI, 250"/>
    <s v="MORADA DA COLINA"/>
    <s v="38411-114"/>
    <m/>
    <m/>
    <x v="0"/>
    <n v="1"/>
    <n v="40"/>
    <n v="40"/>
    <m/>
    <x v="1"/>
  </r>
  <r>
    <n v="1299"/>
    <x v="7"/>
    <x v="3"/>
    <x v="76"/>
    <s v="9.8878-1706"/>
    <s v="R. ATHOS PARANHOS VELOSO, 1046 (ESTÁ CORRETO)"/>
    <s v=" TUBALINA "/>
    <s v="38412-076"/>
    <m/>
    <m/>
    <x v="1"/>
    <n v="1"/>
    <n v="40"/>
    <n v="40"/>
    <m/>
    <x v="1"/>
  </r>
  <r>
    <n v="1298"/>
    <x v="7"/>
    <x v="11"/>
    <x v="63"/>
    <s v="9.8863-1720"/>
    <n v="0"/>
    <s v="CEDEL"/>
    <n v="0"/>
    <m/>
    <s v="CEDEL"/>
    <x v="1"/>
    <n v="1"/>
    <n v="40"/>
    <n v="40"/>
    <m/>
    <x v="1"/>
  </r>
  <r>
    <n v="1297"/>
    <x v="7"/>
    <x v="11"/>
    <x v="132"/>
    <s v="9.8843-2819"/>
    <s v="R. LUPICINIO RODRIGUES, 399"/>
    <s v="SANTA ROSA"/>
    <s v="38401-282"/>
    <m/>
    <m/>
    <x v="2"/>
    <n v="1"/>
    <n v="40"/>
    <n v="40"/>
    <m/>
    <x v="1"/>
  </r>
  <r>
    <n v="1296"/>
    <x v="7"/>
    <x v="9"/>
    <x v="133"/>
    <s v="9.8848-0037"/>
    <s v=" Rua Marinho Lozzi, 165"/>
    <s v="JARDIM PATRICIA"/>
    <s v="38414-106"/>
    <s v="LIGAR ANTES"/>
    <m/>
    <x v="2"/>
    <n v="1"/>
    <n v="40"/>
    <n v="40"/>
    <m/>
    <x v="1"/>
  </r>
  <r>
    <n v="1295"/>
    <x v="7"/>
    <x v="9"/>
    <x v="134"/>
    <s v="9.9634-0246"/>
    <s v="RUA JOSE MIGUEL SARAMAGO, 63, CASA 02"/>
    <s v="SANTA MONICA"/>
    <s v="38408-222"/>
    <m/>
    <m/>
    <x v="1"/>
    <n v="1"/>
    <n v="40"/>
    <n v="40"/>
    <m/>
    <x v="1"/>
  </r>
  <r>
    <n v="1294"/>
    <x v="7"/>
    <x v="9"/>
    <x v="50"/>
    <s v="9.9684-7889"/>
    <s v="AV. IMBAÚBA 2200 BL03 AP404"/>
    <s v="JARAGUA"/>
    <s v="38413-108"/>
    <m/>
    <m/>
    <x v="1"/>
    <n v="1"/>
    <n v="40"/>
    <n v="40"/>
    <m/>
    <x v="1"/>
  </r>
  <r>
    <n v="1293"/>
    <x v="7"/>
    <x v="9"/>
    <x v="49"/>
    <n v="0"/>
    <s v="RUA JOSE PIRES DEFENSOR, 600, CASA 28"/>
    <n v="0"/>
    <n v="0"/>
    <m/>
    <m/>
    <x v="1"/>
    <n v="1"/>
    <n v="40"/>
    <n v="40"/>
    <m/>
    <x v="1"/>
  </r>
  <r>
    <n v="1292"/>
    <x v="7"/>
    <x v="9"/>
    <x v="95"/>
    <s v="9.9222-2656"/>
    <s v="ALAMEDA BENETIDO JOSE DE SOUZA, Nº 81"/>
    <s v=" JD HOLANDA "/>
    <s v="38412-887"/>
    <m/>
    <m/>
    <x v="0"/>
    <n v="1"/>
    <n v="40"/>
    <n v="40"/>
    <m/>
    <x v="1"/>
  </r>
  <r>
    <n v="1291"/>
    <x v="7"/>
    <x v="9"/>
    <x v="46"/>
    <s v="9.9971-2853/ 9.9997-2853"/>
    <s v="ALAMEDA ALFREDO PETRI, 161"/>
    <s v="JD KARAIBA"/>
    <s v="38411-200"/>
    <s v="COBRAR SÓ 30,00"/>
    <m/>
    <x v="1"/>
    <n v="1"/>
    <n v="40"/>
    <n v="40"/>
    <m/>
    <x v="1"/>
  </r>
  <r>
    <n v="1290"/>
    <x v="7"/>
    <x v="9"/>
    <x v="10"/>
    <s v="3213-2775"/>
    <s v="R. PEDRO QUIRINO DA SILVA, 341 "/>
    <s v="MARTA HELENA "/>
    <s v="38402-075"/>
    <s v="MARCELO"/>
    <m/>
    <x v="1"/>
    <n v="5"/>
    <n v="40"/>
    <n v="200"/>
    <m/>
    <x v="1"/>
  </r>
  <r>
    <n v="1289"/>
    <x v="7"/>
    <x v="9"/>
    <x v="94"/>
    <s v="9.9976-8255"/>
    <s v="R. IRENE ROSA, 54 OU R. DO BORRACHEIRO, 221"/>
    <s v="OSVALDO REZENDE"/>
    <s v="38400-480"/>
    <s v="LIGAR ANTES"/>
    <m/>
    <x v="1"/>
    <n v="1"/>
    <n v="40"/>
    <n v="40"/>
    <m/>
    <x v="1"/>
  </r>
  <r>
    <n v="1288"/>
    <x v="7"/>
    <x v="9"/>
    <x v="121"/>
    <s v="99979-3354"/>
    <s v="AV. DOS JARDINS, 250 - ALAMEDA DAS FENIX, 350 - COND JD BARCELONA"/>
    <s v="NOVA UBERLANDIA"/>
    <s v="38412-639"/>
    <m/>
    <m/>
    <x v="2"/>
    <n v="2"/>
    <n v="40"/>
    <n v="80"/>
    <m/>
    <x v="1"/>
  </r>
  <r>
    <n v="1287"/>
    <x v="7"/>
    <x v="9"/>
    <x v="135"/>
    <s v="9.9644-7144/9.9999-2219"/>
    <s v="R. SÃO JUDAS TADEU, 193"/>
    <s v="CARAJAS"/>
    <s v="38408-562"/>
    <m/>
    <m/>
    <x v="2"/>
    <n v="1"/>
    <n v="40"/>
    <n v="40"/>
    <m/>
    <x v="1"/>
  </r>
  <r>
    <n v="1286"/>
    <x v="7"/>
    <x v="8"/>
    <x v="42"/>
    <n v="0"/>
    <n v="0"/>
    <n v="0"/>
    <n v="0"/>
    <m/>
    <s v="LEONIDAS"/>
    <x v="0"/>
    <n v="3"/>
    <n v="40"/>
    <n v="120"/>
    <m/>
    <x v="1"/>
  </r>
  <r>
    <n v="1286"/>
    <x v="7"/>
    <x v="8"/>
    <x v="42"/>
    <n v="0"/>
    <n v="0"/>
    <n v="0"/>
    <n v="0"/>
    <m/>
    <s v="LEONIDAS"/>
    <x v="1"/>
    <n v="9"/>
    <n v="40"/>
    <n v="360"/>
    <m/>
    <x v="1"/>
  </r>
  <r>
    <n v="1286"/>
    <x v="7"/>
    <x v="8"/>
    <x v="42"/>
    <n v="0"/>
    <n v="0"/>
    <n v="0"/>
    <n v="0"/>
    <m/>
    <s v="LEONIDAS"/>
    <x v="2"/>
    <n v="5"/>
    <n v="40"/>
    <n v="200"/>
    <m/>
    <x v="1"/>
  </r>
  <r>
    <n v="1286"/>
    <x v="7"/>
    <x v="8"/>
    <x v="42"/>
    <n v="0"/>
    <n v="0"/>
    <n v="0"/>
    <n v="0"/>
    <m/>
    <s v="LEONIDAS"/>
    <x v="3"/>
    <n v="4"/>
    <n v="40"/>
    <n v="160"/>
    <m/>
    <x v="1"/>
  </r>
  <r>
    <n v="1285"/>
    <x v="7"/>
    <x v="12"/>
    <x v="90"/>
    <n v="0"/>
    <n v="0"/>
    <n v="0"/>
    <n v="0"/>
    <m/>
    <s v="XANDE/ELIS"/>
    <x v="2"/>
    <n v="2"/>
    <n v="40"/>
    <n v="80"/>
    <m/>
    <x v="1"/>
  </r>
  <r>
    <n v="1284"/>
    <x v="7"/>
    <x v="12"/>
    <x v="136"/>
    <n v="0"/>
    <n v="0"/>
    <n v="0"/>
    <n v="0"/>
    <m/>
    <s v="XANDE/ELIS"/>
    <x v="2"/>
    <n v="1"/>
    <n v="40"/>
    <n v="40"/>
    <m/>
    <x v="1"/>
  </r>
  <r>
    <n v="1283"/>
    <x v="7"/>
    <x v="12"/>
    <x v="91"/>
    <s v="9.9976-5102"/>
    <n v="0"/>
    <s v="CEDEL"/>
    <n v="0"/>
    <m/>
    <s v="XANDE/ELIS"/>
    <x v="0"/>
    <n v="2"/>
    <n v="40"/>
    <n v="80"/>
    <m/>
    <x v="1"/>
  </r>
  <r>
    <n v="1283"/>
    <x v="7"/>
    <x v="12"/>
    <x v="91"/>
    <s v="9.9976-5102"/>
    <n v="0"/>
    <s v="CEDEL"/>
    <n v="0"/>
    <m/>
    <s v="XANDE/ELIS"/>
    <x v="1"/>
    <n v="1"/>
    <n v="40"/>
    <n v="40"/>
    <m/>
    <x v="1"/>
  </r>
  <r>
    <n v="1283"/>
    <x v="7"/>
    <x v="12"/>
    <x v="91"/>
    <s v="9.9976-5102"/>
    <n v="0"/>
    <s v="CEDEL"/>
    <n v="0"/>
    <m/>
    <s v="XANDE/ELIS"/>
    <x v="2"/>
    <n v="1"/>
    <n v="40"/>
    <n v="40"/>
    <m/>
    <x v="1"/>
  </r>
  <r>
    <n v="1282"/>
    <x v="7"/>
    <x v="12"/>
    <x v="110"/>
    <n v="0"/>
    <n v="0"/>
    <n v="0"/>
    <n v="0"/>
    <m/>
    <s v="XANDE/ELIS"/>
    <x v="2"/>
    <n v="1"/>
    <n v="40"/>
    <n v="40"/>
    <m/>
    <x v="1"/>
  </r>
  <r>
    <n v="1282"/>
    <x v="7"/>
    <x v="12"/>
    <x v="110"/>
    <n v="0"/>
    <n v="0"/>
    <n v="0"/>
    <n v="0"/>
    <m/>
    <s v="XANDE/ELIS"/>
    <x v="3"/>
    <n v="1"/>
    <n v="40"/>
    <n v="40"/>
    <m/>
    <x v="1"/>
  </r>
  <r>
    <n v="1281"/>
    <x v="7"/>
    <x v="12"/>
    <x v="70"/>
    <n v="0"/>
    <n v="0"/>
    <n v="0"/>
    <n v="0"/>
    <m/>
    <s v="XANDE/ELIS"/>
    <x v="0"/>
    <n v="1"/>
    <n v="40"/>
    <n v="40"/>
    <m/>
    <x v="1"/>
  </r>
  <r>
    <n v="1281"/>
    <x v="7"/>
    <x v="12"/>
    <x v="70"/>
    <n v="0"/>
    <n v="0"/>
    <n v="0"/>
    <n v="0"/>
    <m/>
    <s v="XANDE/ELIS"/>
    <x v="2"/>
    <n v="1"/>
    <n v="40"/>
    <n v="40"/>
    <m/>
    <x v="1"/>
  </r>
  <r>
    <n v="1280"/>
    <x v="7"/>
    <x v="12"/>
    <x v="72"/>
    <n v="0"/>
    <n v="0"/>
    <n v="0"/>
    <n v="0"/>
    <m/>
    <m/>
    <x v="2"/>
    <n v="1"/>
    <n v="40"/>
    <n v="40"/>
    <m/>
    <x v="1"/>
  </r>
  <r>
    <n v="1279"/>
    <x v="7"/>
    <x v="12"/>
    <x v="67"/>
    <n v="0"/>
    <n v="0"/>
    <n v="0"/>
    <n v="0"/>
    <m/>
    <s v="XANDE/ELIS"/>
    <x v="2"/>
    <n v="1"/>
    <n v="40"/>
    <n v="40"/>
    <m/>
    <x v="1"/>
  </r>
  <r>
    <n v="1278"/>
    <x v="7"/>
    <x v="12"/>
    <x v="73"/>
    <s v="9.8876-6001"/>
    <s v="RUA JOSE LELIS FRANÇA, 1480 APTO 301"/>
    <s v="SANTA MONICA"/>
    <s v="38408-234"/>
    <m/>
    <s v="XANDE/ELIS"/>
    <x v="1"/>
    <n v="1"/>
    <n v="40"/>
    <n v="40"/>
    <m/>
    <x v="1"/>
  </r>
  <r>
    <n v="1277"/>
    <x v="7"/>
    <x v="12"/>
    <x v="92"/>
    <s v=" 9973-9967"/>
    <n v="0"/>
    <n v="0"/>
    <n v="0"/>
    <m/>
    <s v="XANDE/ELIS"/>
    <x v="1"/>
    <n v="1"/>
    <n v="40"/>
    <n v="40"/>
    <m/>
    <x v="1"/>
  </r>
  <r>
    <n v="1277"/>
    <x v="7"/>
    <x v="12"/>
    <x v="92"/>
    <s v=" 9973-9967"/>
    <n v="0"/>
    <n v="0"/>
    <n v="0"/>
    <m/>
    <s v="XANDE/ELIS"/>
    <x v="3"/>
    <n v="1"/>
    <n v="40"/>
    <n v="40"/>
    <m/>
    <x v="1"/>
  </r>
  <r>
    <n v="1276"/>
    <x v="7"/>
    <x v="12"/>
    <x v="74"/>
    <n v="0"/>
    <n v="0"/>
    <n v="0"/>
    <n v="0"/>
    <m/>
    <s v="CEDEL"/>
    <x v="2"/>
    <n v="1"/>
    <n v="40"/>
    <n v="40"/>
    <m/>
    <x v="1"/>
  </r>
  <r>
    <n v="1275"/>
    <x v="7"/>
    <x v="12"/>
    <x v="4"/>
    <s v="9.9197-7955"/>
    <n v="0"/>
    <s v="CEDEL"/>
    <n v="0"/>
    <m/>
    <s v="CEDEL"/>
    <x v="1"/>
    <n v="2"/>
    <n v="40"/>
    <n v="80"/>
    <m/>
    <x v="1"/>
  </r>
  <r>
    <n v="1274"/>
    <x v="7"/>
    <x v="12"/>
    <x v="75"/>
    <s v="9.9932-1907"/>
    <s v="RUA FRANCISCO RODRIGUES SERRALHA, 350 CONDOMINIO UCHOA BLOCO 27 APTO 402"/>
    <s v="CHACARAS TUBALINA"/>
    <s v="38413-297"/>
    <s v="QUEBRAR LINHA"/>
    <m/>
    <x v="1"/>
    <n v="1"/>
    <n v="40"/>
    <n v="40"/>
    <n v="40"/>
    <x v="2"/>
  </r>
  <r>
    <n v="1273"/>
    <x v="7"/>
    <x v="7"/>
    <x v="137"/>
    <s v="9.8854-1569"/>
    <s v="R. FRANCISCO CANDIDO XAVIER, 1.071"/>
    <s v="ALTO UMUARAMA"/>
    <s v="38405-352"/>
    <m/>
    <s v="GABRIEL"/>
    <x v="2"/>
    <n v="1"/>
    <n v="40"/>
    <n v="40"/>
    <n v="40"/>
    <x v="2"/>
  </r>
  <r>
    <n v="1272"/>
    <x v="7"/>
    <x v="7"/>
    <x v="40"/>
    <s v="98845-0023"/>
    <s v="RUA PROF. CIRO DE CASTRO ALMEIDA, 1576"/>
    <s v="CUSTODIO PEREIRA"/>
    <s v="38405-250"/>
    <m/>
    <s v="GABRIEL"/>
    <x v="0"/>
    <n v="1"/>
    <n v="40"/>
    <n v="40"/>
    <n v="40"/>
    <x v="2"/>
  </r>
  <r>
    <n v="1272"/>
    <x v="7"/>
    <x v="7"/>
    <x v="40"/>
    <s v="98845-0023"/>
    <s v="RUA PROF. CIRO DE CASTRO ALMEIDA, 1576"/>
    <s v="CUSTODIO PEREIRA"/>
    <s v="38405-250"/>
    <m/>
    <s v="GABRIEL"/>
    <x v="1"/>
    <n v="1"/>
    <n v="40"/>
    <n v="40"/>
    <n v="40"/>
    <x v="2"/>
  </r>
  <r>
    <n v="1272"/>
    <x v="7"/>
    <x v="7"/>
    <x v="40"/>
    <s v="98845-0023"/>
    <s v="RUA PROF. CIRO DE CASTRO ALMEIDA, 1576"/>
    <s v="CUSTODIO PEREIRA"/>
    <s v="38405-250"/>
    <m/>
    <s v="GABRIEL"/>
    <x v="2"/>
    <n v="1"/>
    <n v="40"/>
    <n v="40"/>
    <n v="40"/>
    <x v="2"/>
  </r>
  <r>
    <n v="1271"/>
    <x v="7"/>
    <x v="7"/>
    <x v="41"/>
    <s v="99133-6005"/>
    <s v="RUA CAXAMBU, 284 - AP 103"/>
    <s v=" OSVALDO RESENDE "/>
    <s v="38400-418"/>
    <m/>
    <m/>
    <x v="0"/>
    <n v="1"/>
    <n v="40"/>
    <n v="40"/>
    <m/>
    <x v="1"/>
  </r>
  <r>
    <n v="1270"/>
    <x v="7"/>
    <x v="4"/>
    <x v="138"/>
    <s v="9.8845-9422"/>
    <s v="R. CARVALHO DE MENDONÇA, 361"/>
    <s v="PAMPULHA"/>
    <s v="38408-652"/>
    <m/>
    <m/>
    <x v="1"/>
    <n v="1"/>
    <n v="40"/>
    <n v="40"/>
    <m/>
    <x v="1"/>
  </r>
  <r>
    <n v="1269"/>
    <x v="7"/>
    <x v="5"/>
    <x v="8"/>
    <s v="9.9149-1390"/>
    <n v="0"/>
    <s v="CEDEL"/>
    <n v="0"/>
    <m/>
    <s v="FABIO MATOS"/>
    <x v="1"/>
    <n v="1"/>
    <n v="40"/>
    <n v="40"/>
    <m/>
    <x v="1"/>
  </r>
  <r>
    <n v="1269"/>
    <x v="7"/>
    <x v="5"/>
    <x v="8"/>
    <s v="9.9149-1390"/>
    <n v="0"/>
    <s v="CEDEL"/>
    <n v="0"/>
    <m/>
    <s v="FABIO MATOS"/>
    <x v="2"/>
    <n v="2"/>
    <n v="40"/>
    <n v="80"/>
    <m/>
    <x v="1"/>
  </r>
  <r>
    <n v="1269"/>
    <x v="7"/>
    <x v="5"/>
    <x v="8"/>
    <s v="9.9149-1390"/>
    <n v="0"/>
    <s v="CEDEL"/>
    <n v="0"/>
    <m/>
    <s v="FABIO MATOS"/>
    <x v="3"/>
    <n v="1"/>
    <n v="40"/>
    <n v="40"/>
    <m/>
    <x v="1"/>
  </r>
  <r>
    <n v="1268"/>
    <x v="7"/>
    <x v="4"/>
    <x v="55"/>
    <s v="9.8409-2820"/>
    <s v="Av. Fernando Vilela, 1207"/>
    <s v="MARTINS"/>
    <s v="38400-456"/>
    <m/>
    <m/>
    <x v="2"/>
    <n v="1"/>
    <n v="40"/>
    <n v="40"/>
    <m/>
    <x v="1"/>
  </r>
  <r>
    <n v="1267"/>
    <x v="7"/>
    <x v="2"/>
    <x v="62"/>
    <s v="99676-2593 "/>
    <s v="R. ANITA 125 PASSARELA AV. LIBERDADE ALTAMIRA"/>
    <s v="MORADA DA COLINA"/>
    <s v="38411-014"/>
    <m/>
    <m/>
    <x v="2"/>
    <n v="1"/>
    <n v="40"/>
    <n v="40"/>
    <m/>
    <x v="1"/>
  </r>
  <r>
    <n v="1267"/>
    <x v="7"/>
    <x v="2"/>
    <x v="62"/>
    <s v="99676-2593 "/>
    <s v="R. ANITA 125 PASSARELA AV. LIBERDADE ALTAMIRA"/>
    <s v="MORADA DA COLINA"/>
    <s v="38411-014"/>
    <m/>
    <m/>
    <x v="3"/>
    <n v="1"/>
    <n v="40"/>
    <n v="40"/>
    <m/>
    <x v="1"/>
  </r>
  <r>
    <n v="1266"/>
    <x v="7"/>
    <x v="10"/>
    <x v="59"/>
    <s v="9.9135-7263"/>
    <s v="Rua Pica Paus 1750, condomínio Jardins Roma, Rua Copaibeiras 95"/>
    <s v="NOVA UBERLANDIA"/>
    <s v="38412-641"/>
    <m/>
    <s v="RODOLFO"/>
    <x v="0"/>
    <n v="1"/>
    <n v="40"/>
    <n v="40"/>
    <m/>
    <x v="1"/>
  </r>
  <r>
    <n v="1266"/>
    <x v="7"/>
    <x v="10"/>
    <x v="59"/>
    <s v="9.9135-7263"/>
    <s v="Rua Pica Paus 1750, condomínio Jardins Roma, Rua Copaibeiras 95"/>
    <s v="NOVA UBERLANDIA"/>
    <s v="38412-641"/>
    <m/>
    <s v="RODOLFO"/>
    <x v="1"/>
    <n v="1"/>
    <n v="40"/>
    <n v="40"/>
    <m/>
    <x v="1"/>
  </r>
  <r>
    <n v="1265"/>
    <x v="7"/>
    <x v="10"/>
    <x v="58"/>
    <s v="99147-8758"/>
    <n v="0"/>
    <n v="0"/>
    <n v="0"/>
    <m/>
    <s v="RODOLFO"/>
    <x v="0"/>
    <n v="2"/>
    <n v="40"/>
    <n v="80"/>
    <m/>
    <x v="1"/>
  </r>
  <r>
    <n v="1264"/>
    <x v="7"/>
    <x v="10"/>
    <x v="60"/>
    <n v="0"/>
    <n v="0"/>
    <n v="0"/>
    <n v="0"/>
    <s v="COBRAR 3 - 1 FALE"/>
    <s v="RODOLFO"/>
    <x v="1"/>
    <n v="2"/>
    <n v="40"/>
    <n v="80"/>
    <m/>
    <x v="1"/>
  </r>
  <r>
    <n v="1263"/>
    <x v="7"/>
    <x v="10"/>
    <x v="10"/>
    <s v="3213-2775"/>
    <s v="R. PEDRO QUIRINO DA SILVA, 341 "/>
    <s v="MARTA HELENA "/>
    <s v="38402-075"/>
    <m/>
    <m/>
    <x v="1"/>
    <n v="1"/>
    <n v="40"/>
    <n v="40"/>
    <m/>
    <x v="1"/>
  </r>
  <r>
    <n v="1262"/>
    <x v="7"/>
    <x v="4"/>
    <x v="56"/>
    <s v="9.9656-9977"/>
    <s v="R. ARNALDO TUCCI 1289 ANT34 "/>
    <s v="SANTA MONICA"/>
    <s v="38408-256"/>
    <m/>
    <m/>
    <x v="1"/>
    <n v="3"/>
    <n v="40"/>
    <n v="120"/>
    <m/>
    <x v="1"/>
  </r>
  <r>
    <n v="1261"/>
    <x v="7"/>
    <x v="4"/>
    <x v="139"/>
    <n v="0"/>
    <s v="AVISAR QUANDO ESTIVER PRONTO"/>
    <n v="0"/>
    <n v="0"/>
    <m/>
    <s v="CEDEL"/>
    <x v="1"/>
    <n v="1"/>
    <n v="40"/>
    <n v="40"/>
    <m/>
    <x v="1"/>
  </r>
  <r>
    <n v="1261"/>
    <x v="7"/>
    <x v="4"/>
    <x v="139"/>
    <n v="0"/>
    <n v="0"/>
    <n v="0"/>
    <n v="0"/>
    <m/>
    <s v="CEDEL"/>
    <x v="3"/>
    <n v="1"/>
    <n v="40"/>
    <n v="40"/>
    <m/>
    <x v="1"/>
  </r>
  <r>
    <n v="1260"/>
    <x v="7"/>
    <x v="4"/>
    <x v="7"/>
    <s v="9.9678-7649"/>
    <n v="0"/>
    <n v="0"/>
    <n v="0"/>
    <m/>
    <s v="CEDEL"/>
    <x v="1"/>
    <n v="1"/>
    <n v="40"/>
    <n v="40"/>
    <m/>
    <x v="1"/>
  </r>
  <r>
    <n v="1259"/>
    <x v="7"/>
    <x v="2"/>
    <x v="140"/>
    <s v="9.9811-4187"/>
    <s v="RUA TUPACIGUARA 400 AP 701  - ENTREGA ATE 13H"/>
    <s v="APARECIDA"/>
    <s v="38400-618"/>
    <s v="LIGAR - INTERFONE Ñ FUNCIONA"/>
    <m/>
    <x v="0"/>
    <n v="2"/>
    <n v="40"/>
    <n v="80"/>
    <m/>
    <x v="1"/>
  </r>
  <r>
    <n v="1259"/>
    <x v="7"/>
    <x v="2"/>
    <x v="140"/>
    <s v="9.9811-4187"/>
    <s v="RUA TUPACIGUARA 400 AP 701  - ENTREGA ATE 13H"/>
    <s v="APARECIDA"/>
    <s v="38400-618"/>
    <s v="LIGAR - INTERFONE Ñ FUNCIONA"/>
    <m/>
    <x v="2"/>
    <n v="1"/>
    <n v="40"/>
    <n v="40"/>
    <m/>
    <x v="1"/>
  </r>
  <r>
    <n v="1258"/>
    <x v="7"/>
    <x v="13"/>
    <x v="3"/>
    <s v="99979-5832"/>
    <n v="0"/>
    <n v="0"/>
    <n v="0"/>
    <m/>
    <s v="CEDEL"/>
    <x v="2"/>
    <n v="1"/>
    <n v="40"/>
    <n v="40"/>
    <m/>
    <x v="1"/>
  </r>
  <r>
    <n v="1257"/>
    <x v="7"/>
    <x v="9"/>
    <x v="53"/>
    <s v="9.9219-9467"/>
    <n v="0"/>
    <n v="0"/>
    <n v="0"/>
    <m/>
    <s v="CEDEL"/>
    <x v="0"/>
    <n v="1"/>
    <n v="40"/>
    <n v="40"/>
    <m/>
    <x v="1"/>
  </r>
  <r>
    <n v="1256"/>
    <x v="7"/>
    <x v="13"/>
    <x v="89"/>
    <s v="9.9929-8010"/>
    <n v="0"/>
    <s v="CEDEL"/>
    <n v="0"/>
    <m/>
    <s v="CEDEL"/>
    <x v="0"/>
    <n v="1"/>
    <n v="40"/>
    <n v="40"/>
    <m/>
    <x v="1"/>
  </r>
  <r>
    <n v="1256"/>
    <x v="7"/>
    <x v="13"/>
    <x v="89"/>
    <s v="9.9929-8010"/>
    <n v="0"/>
    <s v="CEDEL"/>
    <n v="0"/>
    <m/>
    <s v="CEDEL"/>
    <x v="3"/>
    <n v="1"/>
    <n v="40"/>
    <n v="40"/>
    <m/>
    <x v="1"/>
  </r>
  <r>
    <n v="1255"/>
    <x v="7"/>
    <x v="4"/>
    <x v="85"/>
    <s v="9.9119-5618"/>
    <s v="AV. CESARIO ALVIM, 1.428"/>
    <s v="APARECIDA"/>
    <s v="38400-694"/>
    <s v="GABRIEL ENTREGA ATE 11:30"/>
    <s v="GABRIEL"/>
    <x v="1"/>
    <n v="6"/>
    <n v="40"/>
    <n v="240"/>
    <m/>
    <x v="1"/>
  </r>
  <r>
    <n v="1254"/>
    <x v="7"/>
    <x v="15"/>
    <x v="86"/>
    <s v="9.9166-1547"/>
    <n v="0"/>
    <s v="CEDEL"/>
    <n v="0"/>
    <m/>
    <s v="ZAIRA"/>
    <x v="0"/>
    <n v="2"/>
    <n v="40"/>
    <n v="80"/>
    <m/>
    <x v="1"/>
  </r>
  <r>
    <n v="1254"/>
    <x v="7"/>
    <x v="15"/>
    <x v="86"/>
    <s v="9.9166-1547"/>
    <n v="0"/>
    <s v="CEDEL"/>
    <n v="0"/>
    <m/>
    <s v="ZAIRA"/>
    <x v="1"/>
    <n v="2"/>
    <n v="40"/>
    <n v="80"/>
    <m/>
    <x v="1"/>
  </r>
  <r>
    <n v="1254"/>
    <x v="7"/>
    <x v="15"/>
    <x v="86"/>
    <s v="9.9166-1547"/>
    <n v="0"/>
    <s v="CEDEL"/>
    <n v="0"/>
    <m/>
    <s v="ZAIRA"/>
    <x v="2"/>
    <n v="2"/>
    <n v="40"/>
    <n v="80"/>
    <m/>
    <x v="1"/>
  </r>
  <r>
    <n v="1254"/>
    <x v="7"/>
    <x v="15"/>
    <x v="86"/>
    <s v="9.9166-1547"/>
    <n v="0"/>
    <s v="CEDEL"/>
    <n v="0"/>
    <m/>
    <s v="ZAIRA"/>
    <x v="3"/>
    <n v="2"/>
    <n v="40"/>
    <n v="80"/>
    <m/>
    <x v="1"/>
  </r>
  <r>
    <n v="1253"/>
    <x v="7"/>
    <x v="16"/>
    <x v="141"/>
    <n v="0"/>
    <s v="ENTREGA LEVY"/>
    <n v="0"/>
    <n v="0"/>
    <m/>
    <s v="CEDEL"/>
    <x v="1"/>
    <n v="2"/>
    <n v="40"/>
    <n v="80"/>
    <m/>
    <x v="1"/>
  </r>
  <r>
    <n v="1252"/>
    <x v="8"/>
    <x v="3"/>
    <x v="101"/>
    <s v="9.9971-4647"/>
    <s v="AV. PAES LEME, 145 APTO 602"/>
    <s v="OSVALDO REZENDE"/>
    <s v="38400-392"/>
    <m/>
    <m/>
    <x v="1"/>
    <n v="1"/>
    <n v="40"/>
    <n v="40"/>
    <m/>
    <x v="1"/>
  </r>
  <r>
    <n v="1251"/>
    <x v="8"/>
    <x v="3"/>
    <x v="142"/>
    <s v="9.9879-2212"/>
    <s v="R. PROMISSÃO, 85 BLOCO 10 APTO 203"/>
    <s v="GRANADA"/>
    <s v="38410-543"/>
    <m/>
    <m/>
    <x v="1"/>
    <n v="1"/>
    <n v="40"/>
    <n v="40"/>
    <m/>
    <x v="1"/>
  </r>
  <r>
    <n v="1250"/>
    <x v="8"/>
    <x v="3"/>
    <x v="143"/>
    <s v="9.9132-8720"/>
    <s v="AV. FLORIANO PEIXOTO, 2093 APTO 01"/>
    <s v="ALTO UMUARAMA"/>
    <s v="38405-184"/>
    <m/>
    <m/>
    <x v="1"/>
    <n v="1"/>
    <n v="40"/>
    <n v="40"/>
    <m/>
    <x v="1"/>
  </r>
  <r>
    <n v="1249"/>
    <x v="8"/>
    <x v="3"/>
    <x v="144"/>
    <s v="9.9667-9998"/>
    <s v="R. JOSÉ HUMBERTO ALCANTARA, 670"/>
    <s v="ALTO UMUARAMA"/>
    <s v="38405-368"/>
    <m/>
    <m/>
    <x v="2"/>
    <n v="1"/>
    <n v="40"/>
    <n v="40"/>
    <m/>
    <x v="1"/>
  </r>
  <r>
    <n v="1248"/>
    <x v="8"/>
    <x v="3"/>
    <x v="145"/>
    <s v="9.9979-1316"/>
    <n v="0"/>
    <n v="0"/>
    <m/>
    <m/>
    <s v="MARIA LUCIA"/>
    <x v="1"/>
    <n v="1"/>
    <n v="40"/>
    <n v="40"/>
    <m/>
    <x v="1"/>
  </r>
  <r>
    <n v="1247"/>
    <x v="8"/>
    <x v="3"/>
    <x v="146"/>
    <s v="9.9997-1216"/>
    <n v="0"/>
    <n v="0"/>
    <m/>
    <m/>
    <s v="MARIA LUCIA"/>
    <x v="1"/>
    <n v="1"/>
    <n v="40"/>
    <n v="40"/>
    <m/>
    <x v="1"/>
  </r>
  <r>
    <n v="1246"/>
    <x v="8"/>
    <x v="3"/>
    <x v="27"/>
    <s v="9.9817-7487"/>
    <s v="R. LOURDES DE CARVALHO, 1364"/>
    <s v="SANTA MONICA"/>
    <s v="38408-268"/>
    <m/>
    <m/>
    <x v="1"/>
    <n v="1"/>
    <n v="40"/>
    <n v="40"/>
    <m/>
    <x v="1"/>
  </r>
  <r>
    <n v="1245"/>
    <x v="8"/>
    <x v="3"/>
    <x v="147"/>
    <s v="9.9799-9784"/>
    <s v="R. BELARMINO COTA PACHECO, 1461 APTO 101"/>
    <s v="SANTA MONICA"/>
    <s v="38408-168"/>
    <m/>
    <m/>
    <x v="1"/>
    <n v="1"/>
    <n v="40"/>
    <n v="40"/>
    <m/>
    <x v="1"/>
  </r>
  <r>
    <n v="1244"/>
    <x v="8"/>
    <x v="3"/>
    <x v="131"/>
    <s v="9.9925-0260"/>
    <s v="R. AGESILAU PASCHOAL GRECO, 136"/>
    <s v="MORADA DA COLINA"/>
    <s v="38411-112"/>
    <m/>
    <s v="MARIA LUCIA"/>
    <x v="2"/>
    <n v="1"/>
    <n v="40"/>
    <n v="40"/>
    <m/>
    <x v="1"/>
  </r>
  <r>
    <n v="1243"/>
    <x v="8"/>
    <x v="3"/>
    <x v="148"/>
    <s v="9.9634-9292"/>
    <n v="0"/>
    <n v="0"/>
    <m/>
    <m/>
    <s v="MARIA LUCIA"/>
    <x v="1"/>
    <n v="1"/>
    <n v="40"/>
    <n v="40"/>
    <m/>
    <x v="1"/>
  </r>
  <r>
    <n v="1242"/>
    <x v="8"/>
    <x v="3"/>
    <x v="149"/>
    <n v="0"/>
    <s v="R. IPANEMA, 410"/>
    <s v="PATRIMONIO"/>
    <m/>
    <m/>
    <m/>
    <x v="2"/>
    <n v="1"/>
    <n v="40"/>
    <n v="40"/>
    <m/>
    <x v="1"/>
  </r>
  <r>
    <n v="1241"/>
    <x v="8"/>
    <x v="3"/>
    <x v="117"/>
    <s v="9.8408-2408"/>
    <s v="R. ERNESTO VICENTINI, 430 FUNDOS"/>
    <s v="ROOSEVELT"/>
    <s v="38401-062"/>
    <s v="+CESTA"/>
    <m/>
    <x v="1"/>
    <n v="1"/>
    <n v="40"/>
    <n v="40"/>
    <m/>
    <x v="1"/>
  </r>
  <r>
    <n v="1240"/>
    <x v="9"/>
    <x v="3"/>
    <x v="118"/>
    <s v="9.9971-2121"/>
    <s v="AV. CONCORDIA, 365"/>
    <s v="MORADA DA COLINA"/>
    <s v="38411-122"/>
    <m/>
    <s v="MARIA LUCIA"/>
    <x v="2"/>
    <n v="1"/>
    <n v="40"/>
    <n v="40"/>
    <m/>
    <x v="1"/>
  </r>
  <r>
    <n v="1239"/>
    <x v="9"/>
    <x v="3"/>
    <x v="98"/>
    <s v="9.9991-4357"/>
    <s v="R. MICHELE VIRNO, 4093"/>
    <s v="CUSTODIO PEREIRA"/>
    <s v="38405-190"/>
    <m/>
    <m/>
    <x v="0"/>
    <n v="1"/>
    <n v="40"/>
    <n v="40"/>
    <m/>
    <x v="1"/>
  </r>
  <r>
    <n v="1238"/>
    <x v="9"/>
    <x v="3"/>
    <x v="150"/>
    <s v="9.8873-8732 / 9.9136-4226"/>
    <s v="R. OROZIMBO FRANCISCO FERNANDES, 155 - BLOCO 01 APTO 304"/>
    <s v="ROOSEVELT"/>
    <s v="38401-208"/>
    <m/>
    <m/>
    <x v="0"/>
    <n v="1"/>
    <n v="40"/>
    <n v="40"/>
    <m/>
    <x v="1"/>
  </r>
  <r>
    <n v="1237"/>
    <x v="9"/>
    <x v="3"/>
    <x v="30"/>
    <s v="3213-3201/ 9.9211-0864"/>
    <s v="AV. CLARA CAMARAO, 427"/>
    <s v="N.SRA GRAÇAS"/>
    <s v="38402-010"/>
    <m/>
    <m/>
    <x v="1"/>
    <n v="1"/>
    <n v="40"/>
    <n v="40"/>
    <m/>
    <x v="1"/>
  </r>
  <r>
    <n v="1237"/>
    <x v="9"/>
    <x v="3"/>
    <x v="30"/>
    <s v="3213-3201/ 9.9211-0864"/>
    <s v="AV. CLARA CAMARAO, 427"/>
    <s v="N.SRA GRAÇAS"/>
    <s v="38402-010"/>
    <m/>
    <m/>
    <x v="2"/>
    <n v="1"/>
    <n v="40"/>
    <n v="40"/>
    <m/>
    <x v="1"/>
  </r>
  <r>
    <n v="1236"/>
    <x v="9"/>
    <x v="3"/>
    <x v="19"/>
    <s v=" 99155-5564 / 3215-1758"/>
    <s v="AV. CESARIO CROSARA, 3525"/>
    <s v=" ROOSEVELT "/>
    <s v="38401-119"/>
    <m/>
    <m/>
    <x v="3"/>
    <n v="1"/>
    <n v="40"/>
    <n v="40"/>
    <m/>
    <x v="1"/>
  </r>
  <r>
    <n v="1235"/>
    <x v="9"/>
    <x v="3"/>
    <x v="12"/>
    <s v="9.9670-9884"/>
    <s v="R. AGESILAU PASCHOAL GRECO, 318"/>
    <s v="MORADA DA COLINA"/>
    <s v="38411-112"/>
    <s v="1/2CAL 1/2 MUSS"/>
    <s v="MARIA LUCIA"/>
    <x v="4"/>
    <n v="1"/>
    <n v="40"/>
    <n v="40"/>
    <m/>
    <x v="1"/>
  </r>
  <r>
    <n v="1235"/>
    <x v="9"/>
    <x v="3"/>
    <x v="12"/>
    <s v="9.9670-9884"/>
    <s v="R. AGESILAU PASCHOAL GRECO, 318"/>
    <s v="MORADA DA COLINA"/>
    <s v="38411-112"/>
    <s v="1/2CAL 1/2 MUSS"/>
    <s v="MARIA LUCIA"/>
    <x v="0"/>
    <n v="1"/>
    <n v="40"/>
    <n v="40"/>
    <m/>
    <x v="1"/>
  </r>
  <r>
    <n v="1234"/>
    <x v="9"/>
    <x v="3"/>
    <x v="21"/>
    <s v="9.9670-9884"/>
    <s v="R. AGESILAU PASCHOAL GRECO, 318"/>
    <s v="MORADA DA COLINA"/>
    <s v="38411-112"/>
    <m/>
    <s v="MARIA LUCIA"/>
    <x v="3"/>
    <n v="1"/>
    <n v="40"/>
    <n v="40"/>
    <m/>
    <x v="1"/>
  </r>
  <r>
    <n v="1233"/>
    <x v="9"/>
    <x v="3"/>
    <x v="17"/>
    <n v="0"/>
    <n v="0"/>
    <n v="0"/>
    <m/>
    <m/>
    <s v="CEDEL"/>
    <x v="2"/>
    <n v="1"/>
    <n v="40"/>
    <n v="40"/>
    <n v="40"/>
    <x v="2"/>
  </r>
  <r>
    <n v="1232"/>
    <x v="9"/>
    <x v="3"/>
    <x v="25"/>
    <s v="99148-4283"/>
    <s v="R. JADE, 45 "/>
    <s v="JD. BOTANICO"/>
    <s v="38411-634"/>
    <m/>
    <m/>
    <x v="2"/>
    <n v="1"/>
    <n v="40"/>
    <n v="40"/>
    <n v="40"/>
    <x v="2"/>
  </r>
  <r>
    <n v="1231"/>
    <x v="9"/>
    <x v="3"/>
    <x v="115"/>
    <s v="9.9149-9388"/>
    <s v="AV. ARAGUARI, 255 APTO 101 BLOCO 3"/>
    <s v="MARTINS"/>
    <s v="38400-464"/>
    <m/>
    <m/>
    <x v="1"/>
    <n v="1"/>
    <n v="40"/>
    <n v="40"/>
    <m/>
    <x v="1"/>
  </r>
  <r>
    <n v="1230"/>
    <x v="9"/>
    <x v="3"/>
    <x v="151"/>
    <s v="3238-0561 / 9.9179-1612"/>
    <s v="ALAMEDA JOSE DE OLIVEIRA GUIMARAES, 307 CASA 04 COND FELICIDADE"/>
    <s v=" JD HOLANDA "/>
    <s v="38412-324"/>
    <s v="MªLOURDES"/>
    <m/>
    <x v="1"/>
    <n v="1"/>
    <n v="40"/>
    <n v="40"/>
    <m/>
    <x v="1"/>
  </r>
  <r>
    <n v="1230"/>
    <x v="9"/>
    <x v="3"/>
    <x v="151"/>
    <s v="3238-0561 / 9.9179-1612"/>
    <s v="ALAMEDA JOSE DE OLIVEIRA GUIMARAES, 307 CASA 04 COND FELICIDADE"/>
    <s v=" JD HOLANDA "/>
    <s v="38412-324"/>
    <s v="MªLOURDES"/>
    <m/>
    <x v="2"/>
    <n v="1"/>
    <n v="40"/>
    <n v="40"/>
    <m/>
    <x v="1"/>
  </r>
  <r>
    <n v="1229"/>
    <x v="9"/>
    <x v="3"/>
    <x v="31"/>
    <s v="9.8899-1860"/>
    <s v="R. ENGENHEIRO HELVIO FELICI, 250"/>
    <s v="MORADA DA COLINA"/>
    <s v="38411-114"/>
    <m/>
    <s v="MARIA LUCIA"/>
    <x v="0"/>
    <n v="1"/>
    <n v="40"/>
    <n v="40"/>
    <m/>
    <x v="1"/>
  </r>
  <r>
    <n v="1228"/>
    <x v="9"/>
    <x v="3"/>
    <x v="16"/>
    <s v="9.9232-5605"/>
    <s v="R. EDMUNDO MUNIR ARANTES, 79"/>
    <s v="PLANALTO"/>
    <s v="38413-276"/>
    <s v="+FRALDA"/>
    <m/>
    <x v="1"/>
    <n v="1"/>
    <n v="40"/>
    <n v="40"/>
    <n v="40"/>
    <x v="2"/>
  </r>
  <r>
    <n v="1227"/>
    <x v="9"/>
    <x v="3"/>
    <x v="116"/>
    <s v="99661-5002"/>
    <s v="AV. PAULO GRACINDO, 1000 - COND. GAVEA PARADISO - ALAMEDA GAVIAO REAL, 90"/>
    <s v="COND. GAVEA PARADISO"/>
    <s v="38411-145"/>
    <m/>
    <m/>
    <x v="2"/>
    <n v="1"/>
    <n v="40"/>
    <n v="40"/>
    <m/>
    <x v="1"/>
  </r>
  <r>
    <n v="1226"/>
    <x v="9"/>
    <x v="6"/>
    <x v="152"/>
    <s v="9.8438-2158"/>
    <s v="Rua Maria Cristina Rodrigues, 431 Obs. ligar antes. "/>
    <s v="ALTO UMUARAMA"/>
    <s v="38405-379"/>
    <m/>
    <m/>
    <x v="2"/>
    <n v="1"/>
    <n v="40"/>
    <n v="40"/>
    <m/>
    <x v="1"/>
  </r>
  <r>
    <n v="1225"/>
    <x v="9"/>
    <x v="6"/>
    <x v="153"/>
    <s v="9.9977-8897"/>
    <s v="Rua Rio de Janeiro, 903 Obs: sem queijo _x000a_Entre Av.Mato Grosso e  Prof. José Ignácio."/>
    <s v="BRASIL"/>
    <s v="38400-658"/>
    <s v="SEM QUEIJO"/>
    <m/>
    <x v="2"/>
    <n v="1"/>
    <n v="40"/>
    <n v="40"/>
    <m/>
    <x v="1"/>
  </r>
  <r>
    <n v="1224"/>
    <x v="9"/>
    <x v="6"/>
    <x v="123"/>
    <s v="9.9888-6094"/>
    <s v="Rua Ana Valentina Nogueira, 820"/>
    <s v="SHOPPING PARK"/>
    <s v="38411-552"/>
    <m/>
    <m/>
    <x v="3"/>
    <n v="1"/>
    <n v="40"/>
    <n v="40"/>
    <m/>
    <x v="1"/>
  </r>
  <r>
    <n v="1223"/>
    <x v="9"/>
    <x v="6"/>
    <x v="35"/>
    <s v="9.9121-7971"/>
    <s v="Av.Dimas Machado, 642 -J &amp; M Centro Automotivo "/>
    <s v="CHACARAS TUBALINA"/>
    <s v="38413-291"/>
    <m/>
    <m/>
    <x v="2"/>
    <n v="1"/>
    <n v="40"/>
    <n v="40"/>
    <m/>
    <x v="1"/>
  </r>
  <r>
    <n v="1222"/>
    <x v="9"/>
    <x v="6"/>
    <x v="154"/>
    <s v="9.8403-3071"/>
    <s v="AV. Oscarina Cunha Chaves, 510 Apto 1005 bl 4"/>
    <s v="PATRIMONIO"/>
    <s v="38411-102"/>
    <m/>
    <s v="JOSE LUIZ"/>
    <x v="1"/>
    <n v="1"/>
    <n v="40"/>
    <n v="40"/>
    <m/>
    <x v="1"/>
  </r>
  <r>
    <n v="1221"/>
    <x v="9"/>
    <x v="6"/>
    <x v="155"/>
    <s v="9.9977-5668"/>
    <s v="Av. Princesa Isabel, 505"/>
    <s v="CENTRO"/>
    <s v="38400-192"/>
    <m/>
    <m/>
    <x v="1"/>
    <n v="2"/>
    <n v="40"/>
    <n v="80"/>
    <m/>
    <x v="1"/>
  </r>
  <r>
    <n v="1221"/>
    <x v="9"/>
    <x v="6"/>
    <x v="155"/>
    <s v="9.9977-5668"/>
    <s v="Av. Princesa Isabel, 505"/>
    <s v="CENTRO"/>
    <s v="38400-192"/>
    <m/>
    <m/>
    <x v="2"/>
    <n v="1"/>
    <n v="40"/>
    <n v="40"/>
    <m/>
    <x v="1"/>
  </r>
  <r>
    <n v="1221"/>
    <x v="9"/>
    <x v="6"/>
    <x v="155"/>
    <s v="9.9977-5668"/>
    <s v="Av. Princesa Isabel, 505"/>
    <s v="CENTRO"/>
    <s v="38400-192"/>
    <m/>
    <m/>
    <x v="3"/>
    <n v="1"/>
    <n v="40"/>
    <n v="40"/>
    <m/>
    <x v="1"/>
  </r>
  <r>
    <n v="1220"/>
    <x v="9"/>
    <x v="6"/>
    <x v="96"/>
    <n v="0"/>
    <n v="0"/>
    <s v="ZE LUIZ"/>
    <m/>
    <m/>
    <s v="JOSE LUIZ"/>
    <x v="1"/>
    <n v="1"/>
    <n v="40"/>
    <n v="40"/>
    <m/>
    <x v="1"/>
  </r>
  <r>
    <n v="1219"/>
    <x v="9"/>
    <x v="6"/>
    <x v="33"/>
    <s v="99942-3020"/>
    <s v="RUA CIPRIANO DEL FAVERO 659 APTº 1200  "/>
    <s v=" CENTRO "/>
    <s v="38400-106"/>
    <m/>
    <m/>
    <x v="2"/>
    <n v="1"/>
    <n v="40"/>
    <n v="40"/>
    <m/>
    <x v="1"/>
  </r>
  <r>
    <n v="1219"/>
    <x v="9"/>
    <x v="6"/>
    <x v="33"/>
    <s v="99942-3020"/>
    <s v="RUA CIPRIANO DEL FAVERO 659 APTº 1200  "/>
    <s v=" CENTRO "/>
    <s v="38400-106"/>
    <m/>
    <m/>
    <x v="3"/>
    <n v="1"/>
    <n v="40"/>
    <n v="40"/>
    <m/>
    <x v="1"/>
  </r>
  <r>
    <n v="1218"/>
    <x v="9"/>
    <x v="6"/>
    <x v="10"/>
    <s v="3213-2775"/>
    <s v="R. PEDRO QUIRINO DA SILVA, 341 "/>
    <s v="MARTA HELENA "/>
    <s v="38402-075"/>
    <s v="RODRIGO"/>
    <m/>
    <x v="1"/>
    <n v="1"/>
    <n v="40"/>
    <n v="40"/>
    <m/>
    <x v="1"/>
  </r>
  <r>
    <n v="1217"/>
    <x v="9"/>
    <x v="5"/>
    <x v="8"/>
    <s v="9.9149-1390"/>
    <n v="0"/>
    <s v="CEDEL"/>
    <m/>
    <m/>
    <m/>
    <x v="1"/>
    <n v="1"/>
    <n v="40"/>
    <n v="40"/>
    <m/>
    <x v="1"/>
  </r>
  <r>
    <n v="1217"/>
    <x v="9"/>
    <x v="5"/>
    <x v="8"/>
    <s v="9.9149-1390"/>
    <n v="0"/>
    <s v="CEDEL"/>
    <m/>
    <m/>
    <m/>
    <x v="2"/>
    <n v="1"/>
    <n v="40"/>
    <n v="40"/>
    <m/>
    <x v="1"/>
  </r>
  <r>
    <n v="1217"/>
    <x v="9"/>
    <x v="5"/>
    <x v="8"/>
    <s v="9.9149-1390"/>
    <n v="0"/>
    <s v="CEDEL"/>
    <m/>
    <m/>
    <m/>
    <x v="3"/>
    <n v="1"/>
    <n v="40"/>
    <n v="40"/>
    <m/>
    <x v="1"/>
  </r>
  <r>
    <n v="1216"/>
    <x v="9"/>
    <x v="11"/>
    <x v="84"/>
    <s v="9.9992-0097"/>
    <s v="R. HORACIO REZENDE, 241"/>
    <s v="OSVALDO REZENDE"/>
    <s v="38400-302"/>
    <m/>
    <m/>
    <x v="2"/>
    <n v="1"/>
    <n v="40"/>
    <n v="40"/>
    <m/>
    <x v="1"/>
  </r>
  <r>
    <n v="1215"/>
    <x v="9"/>
    <x v="11"/>
    <x v="65"/>
    <s v="99996-4095"/>
    <s v="END: RUA VIRGILIO M. FRANCO, 340,  APTO 32"/>
    <s v=" TABAJARAS "/>
    <s v="38400-238"/>
    <m/>
    <m/>
    <x v="3"/>
    <n v="1"/>
    <n v="40"/>
    <n v="40"/>
    <m/>
    <x v="1"/>
  </r>
  <r>
    <n v="1214"/>
    <x v="9"/>
    <x v="12"/>
    <x v="67"/>
    <n v="0"/>
    <n v="0"/>
    <n v="0"/>
    <m/>
    <m/>
    <s v="XANDE/ELIS"/>
    <x v="1"/>
    <n v="1"/>
    <n v="40"/>
    <n v="40"/>
    <m/>
    <x v="1"/>
  </r>
  <r>
    <n v="1213"/>
    <x v="9"/>
    <x v="12"/>
    <x v="74"/>
    <n v="0"/>
    <n v="0"/>
    <n v="0"/>
    <m/>
    <s v="TRABALHARÁ"/>
    <s v="CEDEL"/>
    <x v="1"/>
    <n v="1"/>
    <n v="40"/>
    <n v="40"/>
    <m/>
    <x v="1"/>
  </r>
  <r>
    <n v="1212"/>
    <x v="9"/>
    <x v="12"/>
    <x v="90"/>
    <n v="0"/>
    <n v="0"/>
    <n v="0"/>
    <m/>
    <m/>
    <m/>
    <x v="2"/>
    <n v="3"/>
    <n v="40"/>
    <n v="120"/>
    <m/>
    <x v="1"/>
  </r>
  <r>
    <n v="1211"/>
    <x v="9"/>
    <x v="12"/>
    <x v="73"/>
    <s v="9.8876-6001"/>
    <s v="RUA JOSE LELIS FRANÇA, 1480 APTO 301"/>
    <s v="SANTA MONICA"/>
    <s v="38408-234"/>
    <m/>
    <s v="XANDE/ELIS"/>
    <x v="1"/>
    <n v="1"/>
    <n v="40"/>
    <n v="40"/>
    <m/>
    <x v="1"/>
  </r>
  <r>
    <n v="1210"/>
    <x v="9"/>
    <x v="12"/>
    <x v="92"/>
    <s v=" 9973-9967"/>
    <n v="0"/>
    <n v="0"/>
    <m/>
    <m/>
    <m/>
    <x v="1"/>
    <n v="1"/>
    <n v="40"/>
    <n v="40"/>
    <m/>
    <x v="1"/>
  </r>
  <r>
    <n v="1210"/>
    <x v="9"/>
    <x v="12"/>
    <x v="92"/>
    <s v=" 9973-9967"/>
    <n v="0"/>
    <n v="0"/>
    <m/>
    <m/>
    <m/>
    <x v="3"/>
    <n v="1"/>
    <n v="40"/>
    <n v="40"/>
    <m/>
    <x v="1"/>
  </r>
  <r>
    <n v="1209"/>
    <x v="9"/>
    <x v="12"/>
    <x v="4"/>
    <s v="9.9197-7955"/>
    <n v="0"/>
    <s v="CEDEL"/>
    <m/>
    <m/>
    <s v="CEDEL"/>
    <x v="1"/>
    <n v="2"/>
    <n v="40"/>
    <n v="80"/>
    <m/>
    <x v="1"/>
  </r>
  <r>
    <n v="1208"/>
    <x v="9"/>
    <x v="12"/>
    <x v="75"/>
    <s v="9.9932-1907"/>
    <s v="RUA FRANCISCO RODRIGUES SERRALHA, 350 CONDOMINIO UCHOA BLOCO 27 APTO 402"/>
    <s v="CHACARAS TUBALINA"/>
    <s v="38413-297"/>
    <s v="QUEBRAR LINHA"/>
    <m/>
    <x v="1"/>
    <n v="1"/>
    <n v="40"/>
    <n v="40"/>
    <n v="40"/>
    <x v="2"/>
  </r>
  <r>
    <n v="1207"/>
    <x v="9"/>
    <x v="7"/>
    <x v="41"/>
    <s v="99133-6005"/>
    <s v="RUA CAXAMBU, 284 - AP 103"/>
    <s v=" OSVALDO RESENDE "/>
    <s v="38400-418"/>
    <m/>
    <s v="GABRIEL"/>
    <x v="0"/>
    <n v="1"/>
    <n v="40"/>
    <n v="40"/>
    <n v="40"/>
    <x v="2"/>
  </r>
  <r>
    <n v="1206"/>
    <x v="9"/>
    <x v="7"/>
    <x v="40"/>
    <s v="98845-0023"/>
    <s v="RUA PROF. CIRO DE CASTRO ALMEIDA, 1576"/>
    <s v="CUSTODIO PEREIRA"/>
    <s v="38405-250"/>
    <m/>
    <s v="GABRIEL"/>
    <x v="0"/>
    <n v="1"/>
    <n v="40"/>
    <n v="40"/>
    <n v="40"/>
    <x v="2"/>
  </r>
  <r>
    <n v="1206"/>
    <x v="9"/>
    <x v="7"/>
    <x v="40"/>
    <s v="98845-0023"/>
    <s v="RUA PROF. CIRO DE CASTRO ALMEIDA, 1576"/>
    <s v="CUSTODIO PEREIRA"/>
    <s v="38405-250"/>
    <m/>
    <s v="GABRIEL"/>
    <x v="1"/>
    <n v="1"/>
    <n v="40"/>
    <n v="40"/>
    <n v="40"/>
    <x v="2"/>
  </r>
  <r>
    <n v="1206"/>
    <x v="9"/>
    <x v="7"/>
    <x v="40"/>
    <s v="98845-0023"/>
    <s v="RUA PROF. CIRO DE CASTRO ALMEIDA, 1576"/>
    <s v="CUSTODIO PEREIRA"/>
    <s v="38405-250"/>
    <m/>
    <s v="GABRIEL"/>
    <x v="2"/>
    <n v="1"/>
    <n v="40"/>
    <n v="40"/>
    <n v="40"/>
    <x v="2"/>
  </r>
  <r>
    <n v="1206"/>
    <x v="9"/>
    <x v="7"/>
    <x v="40"/>
    <s v="98845-0023"/>
    <s v="RUA PROF. CIRO DE CASTRO ALMEIDA, 1576"/>
    <s v="CUSTODIO PEREIRA"/>
    <s v="38405-250"/>
    <m/>
    <s v="GABRIEL"/>
    <x v="3"/>
    <n v="1"/>
    <n v="40"/>
    <n v="40"/>
    <n v="40"/>
    <x v="2"/>
  </r>
  <r>
    <n v="1205"/>
    <x v="9"/>
    <x v="17"/>
    <x v="156"/>
    <n v="0"/>
    <s v="ENTREGA MARCIA"/>
    <n v="0"/>
    <m/>
    <m/>
    <s v="MARCIA"/>
    <x v="2"/>
    <n v="1"/>
    <n v="40"/>
    <n v="40"/>
    <m/>
    <x v="1"/>
  </r>
  <r>
    <n v="1205"/>
    <x v="9"/>
    <x v="17"/>
    <x v="156"/>
    <n v="0"/>
    <s v="ENTREGA MARCIA"/>
    <n v="0"/>
    <m/>
    <m/>
    <s v="MARCIA"/>
    <x v="3"/>
    <n v="1"/>
    <n v="40"/>
    <n v="40"/>
    <m/>
    <x v="1"/>
  </r>
  <r>
    <n v="1204"/>
    <x v="9"/>
    <x v="17"/>
    <x v="56"/>
    <n v="0"/>
    <s v="BUSCA CEDEL"/>
    <s v="CEDEL"/>
    <m/>
    <m/>
    <s v="CEDEL"/>
    <x v="1"/>
    <n v="3"/>
    <n v="40"/>
    <n v="120"/>
    <m/>
    <x v="1"/>
  </r>
  <r>
    <n v="1203"/>
    <x v="9"/>
    <x v="17"/>
    <x v="55"/>
    <s v="9.8409-2820"/>
    <s v="Av. Fernando Vilela, 1207"/>
    <s v="MARTINS"/>
    <s v="38400-456"/>
    <m/>
    <m/>
    <x v="2"/>
    <n v="1"/>
    <n v="40"/>
    <n v="40"/>
    <m/>
    <x v="1"/>
  </r>
  <r>
    <n v="1202"/>
    <x v="9"/>
    <x v="17"/>
    <x v="62"/>
    <s v="99676-2593 "/>
    <s v="R. ANITA 125 PASSARELA AV. LIBERDADE ALTAMIRA"/>
    <s v="MORADA DA COLINA"/>
    <s v="38411-014"/>
    <m/>
    <s v="MILVAR"/>
    <x v="2"/>
    <n v="1"/>
    <n v="40"/>
    <n v="40"/>
    <m/>
    <x v="1"/>
  </r>
  <r>
    <n v="1202"/>
    <x v="9"/>
    <x v="17"/>
    <x v="62"/>
    <s v="99676-2593 "/>
    <s v="R. ANITA 125 PASSARELA AV. LIBERDADE ALTAMIRA"/>
    <s v="MORADA DA COLINA"/>
    <s v="38411-014"/>
    <m/>
    <s v="MILVAR"/>
    <x v="3"/>
    <n v="1"/>
    <n v="40"/>
    <n v="40"/>
    <m/>
    <x v="1"/>
  </r>
  <r>
    <n v="1200"/>
    <x v="9"/>
    <x v="17"/>
    <x v="58"/>
    <s v="99147-8758"/>
    <n v="0"/>
    <n v="0"/>
    <m/>
    <m/>
    <s v="RODOLFO"/>
    <x v="0"/>
    <n v="2"/>
    <n v="40"/>
    <n v="80"/>
    <m/>
    <x v="1"/>
  </r>
  <r>
    <n v="1199"/>
    <x v="9"/>
    <x v="17"/>
    <x v="59"/>
    <s v="9.9135-7263"/>
    <s v="Rua Pica Paus 1750, condomínio Jardins Roma, Rua Copaibeiras 95"/>
    <s v="NOVA UBERLANDIA"/>
    <s v="38412-641"/>
    <m/>
    <s v="RODOLFO"/>
    <x v="0"/>
    <n v="1"/>
    <n v="40"/>
    <n v="40"/>
    <m/>
    <x v="1"/>
  </r>
  <r>
    <n v="1199"/>
    <x v="9"/>
    <x v="17"/>
    <x v="59"/>
    <s v="9.9135-7263"/>
    <s v="Rua Pica Paus 1750, condomínio Jardins Roma, Rua Copaibeiras 95"/>
    <s v="NOVA UBERLANDIA"/>
    <s v="38412-641"/>
    <m/>
    <s v="RODOLFO"/>
    <x v="1"/>
    <n v="1"/>
    <n v="40"/>
    <n v="40"/>
    <m/>
    <x v="1"/>
  </r>
  <r>
    <n v="1198"/>
    <x v="9"/>
    <x v="8"/>
    <x v="42"/>
    <n v="0"/>
    <n v="0"/>
    <n v="0"/>
    <m/>
    <m/>
    <m/>
    <x v="0"/>
    <n v="3"/>
    <n v="40"/>
    <n v="120"/>
    <m/>
    <x v="1"/>
  </r>
  <r>
    <n v="1198"/>
    <x v="9"/>
    <x v="8"/>
    <x v="42"/>
    <n v="0"/>
    <n v="0"/>
    <n v="0"/>
    <m/>
    <m/>
    <m/>
    <x v="1"/>
    <n v="4"/>
    <n v="40"/>
    <n v="160"/>
    <m/>
    <x v="1"/>
  </r>
  <r>
    <n v="1198"/>
    <x v="9"/>
    <x v="8"/>
    <x v="42"/>
    <n v="0"/>
    <n v="0"/>
    <n v="0"/>
    <m/>
    <m/>
    <m/>
    <x v="2"/>
    <n v="5"/>
    <n v="40"/>
    <n v="200"/>
    <m/>
    <x v="1"/>
  </r>
  <r>
    <n v="1198"/>
    <x v="9"/>
    <x v="8"/>
    <x v="42"/>
    <n v="0"/>
    <n v="0"/>
    <n v="0"/>
    <m/>
    <m/>
    <m/>
    <x v="3"/>
    <n v="2"/>
    <n v="40"/>
    <n v="80"/>
    <m/>
    <x v="1"/>
  </r>
  <r>
    <n v="1197"/>
    <x v="9"/>
    <x v="2"/>
    <x v="140"/>
    <s v="9.9811-4187"/>
    <s v="RUA TUPACIGUARA 400 AP 701  - ENTREGA ATE 13H"/>
    <s v="APARECIDA"/>
    <s v="38400-618"/>
    <s v="LIGAR PARA ELA - OBRAS"/>
    <m/>
    <x v="0"/>
    <n v="2"/>
    <n v="40"/>
    <n v="80"/>
    <m/>
    <x v="1"/>
  </r>
  <r>
    <n v="1196"/>
    <x v="9"/>
    <x v="10"/>
    <x v="60"/>
    <n v="0"/>
    <n v="0"/>
    <n v="0"/>
    <m/>
    <s v="COBRAR 2 - 1 FALE"/>
    <s v="RODOLFO"/>
    <x v="1"/>
    <n v="2"/>
    <n v="40"/>
    <n v="80"/>
    <m/>
    <x v="1"/>
  </r>
  <r>
    <n v="1195"/>
    <x v="9"/>
    <x v="10"/>
    <x v="10"/>
    <s v="3213-2775"/>
    <s v="R. PEDRO QUIRINO DA SILVA, 341 "/>
    <s v="MARTA HELENA "/>
    <s v="38402-075"/>
    <m/>
    <m/>
    <x v="1"/>
    <n v="1"/>
    <n v="40"/>
    <n v="40"/>
    <m/>
    <x v="1"/>
  </r>
  <r>
    <n v="1194"/>
    <x v="9"/>
    <x v="18"/>
    <x v="46"/>
    <s v="9.9971-2853/ 9.9997-2853"/>
    <s v="ALAMEDA ALFREDO PETRI, 161"/>
    <s v="JD KARAIBA"/>
    <s v="38411-200"/>
    <m/>
    <m/>
    <x v="1"/>
    <n v="1"/>
    <n v="40"/>
    <n v="40"/>
    <m/>
    <x v="1"/>
  </r>
  <r>
    <n v="1193"/>
    <x v="9"/>
    <x v="18"/>
    <x v="133"/>
    <s v="9.8848-0037"/>
    <s v=" Rua Marinho Lozzi, 165"/>
    <s v="JARDIM PATRICIA"/>
    <s v="38414-106"/>
    <m/>
    <m/>
    <x v="1"/>
    <n v="1"/>
    <n v="40"/>
    <n v="40"/>
    <m/>
    <x v="1"/>
  </r>
  <r>
    <n v="1192"/>
    <x v="9"/>
    <x v="18"/>
    <x v="121"/>
    <s v="99979-3354"/>
    <s v="AV. DOS JARDINS, 250 - ALAMEDA DAS FENIX, 350 - COND JD BARCELONA"/>
    <s v="NOVA UBERLANDIA"/>
    <s v="38412-639"/>
    <m/>
    <m/>
    <x v="1"/>
    <n v="4"/>
    <n v="40"/>
    <n v="160"/>
    <m/>
    <x v="1"/>
  </r>
  <r>
    <n v="1191"/>
    <x v="9"/>
    <x v="18"/>
    <x v="49"/>
    <n v="0"/>
    <s v="RUA JOSE PIRES DEFENSOR, 600, CASA 28"/>
    <n v="0"/>
    <m/>
    <m/>
    <s v="MI/LEANDRO"/>
    <x v="2"/>
    <n v="1"/>
    <n v="40"/>
    <n v="40"/>
    <m/>
    <x v="1"/>
  </r>
  <r>
    <n v="1190"/>
    <x v="9"/>
    <x v="18"/>
    <x v="95"/>
    <s v="9.9222-2656"/>
    <s v="ALAMEDA BENETIDO JOSE DE SOUZA, Nº 81"/>
    <s v=" JD HOLANDA "/>
    <s v="38412-887"/>
    <m/>
    <m/>
    <x v="0"/>
    <n v="1"/>
    <n v="40"/>
    <n v="40"/>
    <m/>
    <x v="1"/>
  </r>
  <r>
    <n v="1189"/>
    <x v="9"/>
    <x v="18"/>
    <x v="10"/>
    <s v="3213-2775"/>
    <s v="R. PEDRO QUIRINO DA SILVA, 341 "/>
    <s v="MARTA HELENA "/>
    <s v="38402-075"/>
    <s v="MARCELO"/>
    <m/>
    <x v="1"/>
    <n v="5"/>
    <n v="40"/>
    <n v="200"/>
    <m/>
    <x v="1"/>
  </r>
  <r>
    <n v="1188"/>
    <x v="10"/>
    <x v="18"/>
    <x v="133"/>
    <s v="9.8848-0037"/>
    <s v=" Rua Marinho Lozzi, 165"/>
    <s v="JARDIM PATRICIA"/>
    <s v="38414-106"/>
    <s v="LIGAR ANTES"/>
    <m/>
    <x v="3"/>
    <n v="1"/>
    <n v="40"/>
    <n v="40"/>
    <m/>
    <x v="1"/>
  </r>
  <r>
    <n v="1187"/>
    <x v="10"/>
    <x v="18"/>
    <x v="157"/>
    <s v="9.9121-6880"/>
    <s v="R. Maria das Dores Dias, 472, apto 202"/>
    <s v="SANTA MONICA"/>
    <s v="38408-206"/>
    <m/>
    <m/>
    <x v="1"/>
    <n v="1"/>
    <n v="40"/>
    <n v="40"/>
    <m/>
    <x v="1"/>
  </r>
  <r>
    <n v="1186"/>
    <x v="10"/>
    <x v="18"/>
    <x v="49"/>
    <n v="0"/>
    <s v="RUA JOSE PIRES DEFENSOR, 600, CASA 28"/>
    <n v="0"/>
    <m/>
    <s v="UENDER"/>
    <s v="MI/LEANDRO"/>
    <x v="1"/>
    <n v="1"/>
    <n v="40"/>
    <n v="40"/>
    <m/>
    <x v="1"/>
  </r>
  <r>
    <n v="1185"/>
    <x v="10"/>
    <x v="18"/>
    <x v="49"/>
    <n v="0"/>
    <s v="RUA JOSE PIRES DEFENSOR, 600, CASA 28"/>
    <n v="0"/>
    <m/>
    <m/>
    <s v="MI/LEANDRO"/>
    <x v="2"/>
    <n v="1"/>
    <n v="40"/>
    <n v="40"/>
    <m/>
    <x v="1"/>
  </r>
  <r>
    <n v="1184"/>
    <x v="10"/>
    <x v="18"/>
    <x v="46"/>
    <s v="9.9971-2853/ 9.9997-2853"/>
    <s v="ALAMEDA ALFREDO PETRI, 161"/>
    <s v="JD KARAIBA"/>
    <s v="38411-200"/>
    <m/>
    <m/>
    <x v="1"/>
    <n v="1"/>
    <n v="40"/>
    <n v="40"/>
    <m/>
    <x v="1"/>
  </r>
  <r>
    <n v="1183"/>
    <x v="10"/>
    <x v="18"/>
    <x v="95"/>
    <s v="9.9222-2656"/>
    <s v="ALAMEDA BENETIDO JOSE DE SOUZA, Nº 81"/>
    <s v=" JD HOLANDA "/>
    <s v="38412-887"/>
    <m/>
    <m/>
    <x v="0"/>
    <n v="1"/>
    <n v="40"/>
    <n v="40"/>
    <m/>
    <x v="1"/>
  </r>
  <r>
    <n v="1182"/>
    <x v="10"/>
    <x v="18"/>
    <x v="10"/>
    <s v="3213-2775"/>
    <s v="R. PEDRO QUIRINO DA SILVA, 341 "/>
    <s v="MARTA HELENA "/>
    <s v="38402-075"/>
    <s v="MARCELO"/>
    <m/>
    <x v="1"/>
    <n v="5"/>
    <n v="40"/>
    <n v="200"/>
    <m/>
    <x v="1"/>
  </r>
  <r>
    <n v="1181"/>
    <x v="10"/>
    <x v="12"/>
    <x v="90"/>
    <n v="0"/>
    <n v="0"/>
    <n v="0"/>
    <m/>
    <m/>
    <s v="XANDE/ELIS"/>
    <x v="2"/>
    <n v="2"/>
    <n v="40"/>
    <n v="80"/>
    <n v="80"/>
    <x v="2"/>
  </r>
  <r>
    <n v="1181"/>
    <x v="10"/>
    <x v="12"/>
    <x v="90"/>
    <n v="0"/>
    <n v="0"/>
    <n v="0"/>
    <m/>
    <m/>
    <s v="XANDE/ELIS"/>
    <x v="3"/>
    <n v="1"/>
    <n v="40"/>
    <n v="40"/>
    <n v="40"/>
    <x v="2"/>
  </r>
  <r>
    <n v="1180"/>
    <x v="10"/>
    <x v="12"/>
    <x v="91"/>
    <s v="9.9976-5102"/>
    <n v="0"/>
    <s v="CEDEL"/>
    <m/>
    <m/>
    <s v="XANDE/ELIS"/>
    <x v="2"/>
    <n v="1"/>
    <n v="40"/>
    <n v="40"/>
    <n v="40"/>
    <x v="2"/>
  </r>
  <r>
    <n v="1179"/>
    <x v="10"/>
    <x v="12"/>
    <x v="92"/>
    <s v=" 9973-9967"/>
    <n v="0"/>
    <n v="0"/>
    <m/>
    <m/>
    <s v="XANDE/ELIS"/>
    <x v="1"/>
    <n v="1"/>
    <n v="40"/>
    <n v="40"/>
    <m/>
    <x v="1"/>
  </r>
  <r>
    <n v="1179"/>
    <x v="10"/>
    <x v="12"/>
    <x v="92"/>
    <s v=" 9973-9967"/>
    <n v="0"/>
    <n v="0"/>
    <m/>
    <m/>
    <s v="XANDE/ELIS"/>
    <x v="3"/>
    <n v="1"/>
    <n v="40"/>
    <n v="40"/>
    <m/>
    <x v="1"/>
  </r>
  <r>
    <n v="1178"/>
    <x v="10"/>
    <x v="12"/>
    <x v="4"/>
    <s v="9.9197-7955"/>
    <n v="0"/>
    <s v="CEDEL"/>
    <m/>
    <m/>
    <s v="LEOBALDO"/>
    <x v="1"/>
    <n v="2"/>
    <n v="40"/>
    <n v="80"/>
    <m/>
    <x v="1"/>
  </r>
  <r>
    <n v="1177"/>
    <x v="10"/>
    <x v="12"/>
    <x v="75"/>
    <s v="9.9932-1907"/>
    <s v="RUA FRANCISCO RODRIGUES SERRALHA, 350 CONDOMINIO UCHOA BLOCO 27 APTO 402"/>
    <s v="CHACARAS TUBALINA"/>
    <s v="38413-297"/>
    <s v="QUEBRAR LINHA"/>
    <m/>
    <x v="1"/>
    <n v="1"/>
    <n v="40"/>
    <n v="40"/>
    <n v="40"/>
    <x v="2"/>
  </r>
  <r>
    <n v="1176"/>
    <x v="10"/>
    <x v="19"/>
    <x v="158"/>
    <s v="9.8438-2158"/>
    <s v="R. MARIA CRISTINA RODRIGUES, 431"/>
    <s v="ALTO UMUARAMA"/>
    <s v="38405-379"/>
    <s v="LIGAR ANTES"/>
    <m/>
    <x v="2"/>
    <n v="1"/>
    <n v="40"/>
    <n v="40"/>
    <m/>
    <x v="1"/>
  </r>
  <r>
    <n v="1175"/>
    <x v="10"/>
    <x v="19"/>
    <x v="128"/>
    <s v="9.9971-3460"/>
    <s v="R. ANTONIO CRESCENCIO, 839 APTO 201"/>
    <s v="APARECIDA"/>
    <s v="38400-707"/>
    <m/>
    <m/>
    <x v="1"/>
    <n v="1"/>
    <n v="40"/>
    <n v="40"/>
    <m/>
    <x v="1"/>
  </r>
  <r>
    <n v="1175"/>
    <x v="10"/>
    <x v="19"/>
    <x v="128"/>
    <s v="9.9971-3460"/>
    <s v="R. ANTONIO CRESCENCIO, 839 APTO 201"/>
    <s v="APARECIDA"/>
    <s v="38400-707"/>
    <m/>
    <m/>
    <x v="2"/>
    <n v="1"/>
    <n v="40"/>
    <n v="40"/>
    <m/>
    <x v="1"/>
  </r>
  <r>
    <n v="1174"/>
    <x v="10"/>
    <x v="19"/>
    <x v="33"/>
    <s v="99942-3020"/>
    <s v="RUA CIPRIANO DEL FAVERO 659 APTº 1200  "/>
    <s v=" CENTRO "/>
    <s v="38400-106"/>
    <m/>
    <m/>
    <x v="2"/>
    <n v="1"/>
    <n v="40"/>
    <n v="40"/>
    <m/>
    <x v="1"/>
  </r>
  <r>
    <n v="1174"/>
    <x v="10"/>
    <x v="19"/>
    <x v="33"/>
    <s v="99942-3020"/>
    <s v="RUA CIPRIANO DEL FAVERO 659 APTº 1200  "/>
    <s v=" CENTRO "/>
    <s v="38400-106"/>
    <m/>
    <m/>
    <x v="3"/>
    <n v="1"/>
    <n v="40"/>
    <n v="40"/>
    <m/>
    <x v="1"/>
  </r>
  <r>
    <n v="1173"/>
    <x v="10"/>
    <x v="19"/>
    <x v="10"/>
    <s v="3213-2775"/>
    <s v="R. PEDRO QUIRINO DA SILVA, 341 "/>
    <s v="MARTA HELENA "/>
    <s v="38402-075"/>
    <s v="RODRIGO/VALERIA"/>
    <m/>
    <x v="1"/>
    <n v="2"/>
    <n v="40"/>
    <n v="80"/>
    <m/>
    <x v="1"/>
  </r>
  <r>
    <n v="1172"/>
    <x v="10"/>
    <x v="7"/>
    <x v="40"/>
    <s v="98845-0023"/>
    <s v="RUA PROF. CIRO DE CASTRO ALMEIDA, 1576"/>
    <s v="CUSTODIO PEREIRA"/>
    <s v="38405-250"/>
    <m/>
    <s v="GABRIEL"/>
    <x v="0"/>
    <n v="1"/>
    <n v="40"/>
    <n v="40"/>
    <n v="40"/>
    <x v="2"/>
  </r>
  <r>
    <n v="1172"/>
    <x v="10"/>
    <x v="7"/>
    <x v="40"/>
    <s v="98845-0023"/>
    <s v="RUA PROF. CIRO DE CASTRO ALMEIDA, 1576"/>
    <s v="CUSTODIO PEREIRA"/>
    <s v="38405-250"/>
    <m/>
    <s v="GABRIEL"/>
    <x v="2"/>
    <n v="1"/>
    <n v="40"/>
    <n v="40"/>
    <n v="40"/>
    <x v="2"/>
  </r>
  <r>
    <n v="1172"/>
    <x v="10"/>
    <x v="7"/>
    <x v="40"/>
    <s v="98845-0023"/>
    <s v="RUA PROF. CIRO DE CASTRO ALMEIDA, 1576"/>
    <s v="CUSTODIO PEREIRA"/>
    <s v="38405-250"/>
    <m/>
    <s v="GABRIEL"/>
    <x v="3"/>
    <n v="1"/>
    <n v="40"/>
    <n v="40"/>
    <n v="40"/>
    <x v="2"/>
  </r>
  <r>
    <n v="1171"/>
    <x v="10"/>
    <x v="7"/>
    <x v="39"/>
    <s v="98803-5267"/>
    <s v="RUA CAMPO RUPESTRE, 193"/>
    <s v=" JD. BOTANICO "/>
    <s v="38410-664"/>
    <m/>
    <m/>
    <x v="1"/>
    <n v="1"/>
    <n v="40"/>
    <n v="40"/>
    <n v="40"/>
    <x v="2"/>
  </r>
  <r>
    <n v="1170"/>
    <x v="10"/>
    <x v="7"/>
    <x v="41"/>
    <s v="99133-6005"/>
    <s v="RUA CAXAMBU, 284 - AP 103"/>
    <s v=" OSVALDO RESENDE "/>
    <s v="38400-418"/>
    <m/>
    <m/>
    <x v="0"/>
    <n v="1"/>
    <n v="40"/>
    <n v="40"/>
    <n v="40"/>
    <x v="2"/>
  </r>
  <r>
    <n v="1169"/>
    <x v="10"/>
    <x v="15"/>
    <x v="86"/>
    <s v="9.9166-1547"/>
    <n v="0"/>
    <s v="CEDEL"/>
    <m/>
    <m/>
    <m/>
    <x v="0"/>
    <n v="1"/>
    <n v="40"/>
    <n v="40"/>
    <m/>
    <x v="1"/>
  </r>
  <r>
    <n v="1169"/>
    <x v="10"/>
    <x v="15"/>
    <x v="86"/>
    <s v="9.9166-1547"/>
    <n v="0"/>
    <s v="CEDEL"/>
    <m/>
    <m/>
    <m/>
    <x v="1"/>
    <n v="1"/>
    <n v="40"/>
    <n v="40"/>
    <m/>
    <x v="1"/>
  </r>
  <r>
    <n v="1169"/>
    <x v="10"/>
    <x v="15"/>
    <x v="86"/>
    <s v="9.9166-1547"/>
    <n v="0"/>
    <s v="CEDEL"/>
    <m/>
    <m/>
    <m/>
    <x v="2"/>
    <n v="1"/>
    <n v="40"/>
    <n v="40"/>
    <m/>
    <x v="1"/>
  </r>
  <r>
    <n v="1169"/>
    <x v="10"/>
    <x v="15"/>
    <x v="86"/>
    <s v="9.9166-1547"/>
    <n v="0"/>
    <s v="CEDEL"/>
    <m/>
    <m/>
    <m/>
    <x v="3"/>
    <n v="1"/>
    <n v="40"/>
    <n v="40"/>
    <m/>
    <x v="1"/>
  </r>
  <r>
    <n v="1168"/>
    <x v="10"/>
    <x v="10"/>
    <x v="10"/>
    <s v="3213-2775"/>
    <s v="R. PEDRO QUIRINO DA SILVA, 341 "/>
    <s v="MARTA HELENA "/>
    <s v="38402-075"/>
    <s v="RODOLFO"/>
    <m/>
    <x v="1"/>
    <n v="1"/>
    <n v="40"/>
    <n v="40"/>
    <m/>
    <x v="1"/>
  </r>
  <r>
    <n v="1167"/>
    <x v="10"/>
    <x v="10"/>
    <x v="60"/>
    <n v="0"/>
    <n v="0"/>
    <n v="0"/>
    <m/>
    <m/>
    <s v="CEDEL"/>
    <x v="1"/>
    <n v="2"/>
    <n v="40"/>
    <n v="80"/>
    <m/>
    <x v="1"/>
  </r>
  <r>
    <n v="1166"/>
    <x v="10"/>
    <x v="8"/>
    <x v="159"/>
    <e v="#N/A"/>
    <e v="#N/A"/>
    <e v="#N/A"/>
    <m/>
    <m/>
    <m/>
    <x v="0"/>
    <n v="2"/>
    <n v="40"/>
    <n v="80"/>
    <m/>
    <x v="1"/>
  </r>
  <r>
    <n v="1165"/>
    <x v="10"/>
    <x v="20"/>
    <x v="8"/>
    <s v="9.9149-1390"/>
    <n v="0"/>
    <s v="CEDEL"/>
    <m/>
    <m/>
    <m/>
    <x v="1"/>
    <n v="1"/>
    <n v="40"/>
    <n v="40"/>
    <m/>
    <x v="1"/>
  </r>
  <r>
    <n v="1165"/>
    <x v="10"/>
    <x v="20"/>
    <x v="8"/>
    <s v="9.9149-1390"/>
    <n v="0"/>
    <s v="CEDEL"/>
    <m/>
    <m/>
    <m/>
    <x v="2"/>
    <n v="1"/>
    <n v="40"/>
    <n v="40"/>
    <m/>
    <x v="1"/>
  </r>
  <r>
    <n v="1165"/>
    <x v="10"/>
    <x v="20"/>
    <x v="8"/>
    <s v="9.9149-1390"/>
    <n v="0"/>
    <s v="CEDEL"/>
    <m/>
    <m/>
    <m/>
    <x v="3"/>
    <n v="1"/>
    <n v="40"/>
    <n v="40"/>
    <m/>
    <x v="1"/>
  </r>
  <r>
    <n v="1164"/>
    <x v="10"/>
    <x v="17"/>
    <x v="160"/>
    <s v="9.8400-6957"/>
    <s v="R. MELO VIANA, 514  apto 702 -PEDIDO MANUEL "/>
    <s v="MARTINS"/>
    <s v="38400-376"/>
    <m/>
    <m/>
    <x v="1"/>
    <n v="1"/>
    <n v="40"/>
    <n v="40"/>
    <n v="40"/>
    <x v="2"/>
  </r>
  <r>
    <n v="1164"/>
    <x v="10"/>
    <x v="17"/>
    <x v="160"/>
    <s v="9.8400-6957"/>
    <s v="R. MELO VIANA, 514  apto 702 -PEDIDO MANUEL "/>
    <s v="MARTINS"/>
    <s v="38400-376"/>
    <m/>
    <m/>
    <x v="3"/>
    <n v="1"/>
    <n v="40"/>
    <n v="40"/>
    <n v="40"/>
    <x v="2"/>
  </r>
  <r>
    <n v="1163"/>
    <x v="10"/>
    <x v="17"/>
    <x v="55"/>
    <s v="9.8409-2820"/>
    <s v="Av. Fernando Vilela, 1207"/>
    <s v="MARTINS"/>
    <s v="38400-456"/>
    <m/>
    <m/>
    <x v="1"/>
    <n v="1"/>
    <n v="40"/>
    <n v="40"/>
    <m/>
    <x v="1"/>
  </r>
  <r>
    <n v="1162"/>
    <x v="10"/>
    <x v="17"/>
    <x v="56"/>
    <n v="0"/>
    <s v="BUSCA CEDEL"/>
    <s v="CEDEL"/>
    <m/>
    <m/>
    <m/>
    <x v="1"/>
    <n v="3"/>
    <n v="40"/>
    <n v="120"/>
    <m/>
    <x v="1"/>
  </r>
  <r>
    <n v="1161"/>
    <x v="10"/>
    <x v="17"/>
    <x v="161"/>
    <s v="99669-6170"/>
    <s v="RUA PROF. CIRO DE CASTRO ALMEIDA, 1576"/>
    <s v="CUSTODIO PEREIRA"/>
    <s v="38405-250"/>
    <m/>
    <m/>
    <x v="2"/>
    <n v="1"/>
    <n v="40"/>
    <n v="40"/>
    <n v="40"/>
    <x v="2"/>
  </r>
  <r>
    <n v="1161"/>
    <x v="10"/>
    <x v="17"/>
    <x v="161"/>
    <s v="99669-6170"/>
    <s v="RUA PROF. CIRO DE CASTRO ALMEIDA, 1576"/>
    <s v="CUSTODIO PEREIRA"/>
    <s v="38405-250"/>
    <m/>
    <m/>
    <x v="3"/>
    <n v="1"/>
    <n v="40"/>
    <n v="40"/>
    <n v="40"/>
    <x v="2"/>
  </r>
  <r>
    <n v="1160"/>
    <x v="10"/>
    <x v="17"/>
    <x v="62"/>
    <s v="99676-2593 "/>
    <s v="R. ANITA 125 PASSARELA AV. LIBERDADE ALTAMIRA"/>
    <s v="MORADA DA COLINA"/>
    <s v="38411-014"/>
    <m/>
    <s v="CEDEL"/>
    <x v="2"/>
    <n v="1"/>
    <n v="40"/>
    <n v="40"/>
    <m/>
    <x v="1"/>
  </r>
  <r>
    <n v="1160"/>
    <x v="10"/>
    <x v="17"/>
    <x v="62"/>
    <s v="99676-2593 "/>
    <s v="R. ANITA 125 PASSARELA AV. LIBERDADE ALTAMIRA"/>
    <s v="MORADA DA COLINA"/>
    <s v="38411-014"/>
    <m/>
    <s v="CEDEL"/>
    <x v="3"/>
    <n v="1"/>
    <n v="40"/>
    <n v="40"/>
    <m/>
    <x v="1"/>
  </r>
  <r>
    <n v="1159"/>
    <x v="10"/>
    <x v="17"/>
    <x v="59"/>
    <s v="9.9135-7263"/>
    <s v="Rua Pica Paus 1750, condomínio Jardins Roma, Rua Copaibeiras 95"/>
    <s v="NOVA UBERLANDIA"/>
    <s v="38412-641"/>
    <m/>
    <s v="CEDEL"/>
    <x v="0"/>
    <n v="1"/>
    <n v="40"/>
    <n v="40"/>
    <m/>
    <x v="1"/>
  </r>
  <r>
    <n v="1159"/>
    <x v="10"/>
    <x v="17"/>
    <x v="59"/>
    <s v="9.9135-7263"/>
    <s v="Rua Pica Paus 1750, condomínio Jardins Roma, Rua Copaibeiras 95"/>
    <s v="NOVA UBERLANDIA"/>
    <s v="38412-641"/>
    <m/>
    <s v="CEDEL"/>
    <x v="1"/>
    <n v="1"/>
    <n v="40"/>
    <n v="40"/>
    <m/>
    <x v="1"/>
  </r>
  <r>
    <n v="1158"/>
    <x v="10"/>
    <x v="17"/>
    <x v="58"/>
    <s v="99147-8758"/>
    <n v="0"/>
    <n v="0"/>
    <m/>
    <m/>
    <m/>
    <x v="0"/>
    <n v="2"/>
    <n v="40"/>
    <n v="80"/>
    <m/>
    <x v="1"/>
  </r>
  <r>
    <n v="1157"/>
    <x v="10"/>
    <x v="21"/>
    <x v="162"/>
    <n v="0"/>
    <n v="0"/>
    <n v="0"/>
    <m/>
    <m/>
    <s v="MARIA LÚCIA"/>
    <x v="2"/>
    <n v="1"/>
    <n v="40"/>
    <n v="40"/>
    <m/>
    <x v="1"/>
  </r>
  <r>
    <n v="1156"/>
    <x v="10"/>
    <x v="21"/>
    <x v="163"/>
    <s v="9.9173-6382 / 3213-2148"/>
    <s v="R. Dolores Duran, 86"/>
    <s v="SANTA ROSA"/>
    <s v="38401-288"/>
    <m/>
    <m/>
    <x v="1"/>
    <n v="1"/>
    <n v="40"/>
    <n v="40"/>
    <m/>
    <x v="1"/>
  </r>
  <r>
    <n v="1155"/>
    <x v="10"/>
    <x v="21"/>
    <x v="83"/>
    <s v="9.9108-2161"/>
    <s v="R. BERNARDO CUPERTINO, 965 APTO 304 PODE DEIXAR PORTARIA"/>
    <s v="MARTINS"/>
    <s v="38400-323"/>
    <m/>
    <m/>
    <x v="1"/>
    <n v="1"/>
    <n v="40"/>
    <n v="40"/>
    <n v="40"/>
    <x v="2"/>
  </r>
  <r>
    <n v="1154"/>
    <x v="10"/>
    <x v="21"/>
    <x v="117"/>
    <s v="9.8408-2408"/>
    <s v="R. IGUAÇU, 729"/>
    <s v=" N.SRA GRAÇAS "/>
    <s v="38405-328"/>
    <s v="+cesta"/>
    <m/>
    <x v="1"/>
    <n v="1"/>
    <n v="40"/>
    <n v="40"/>
    <n v="40"/>
    <x v="2"/>
  </r>
  <r>
    <n v="1153"/>
    <x v="10"/>
    <x v="21"/>
    <x v="98"/>
    <s v="9.9991-4357"/>
    <s v="R. MICHELE VIRNO, 4093"/>
    <s v="CUSTODIO PEREIRA"/>
    <s v="38405-190"/>
    <m/>
    <m/>
    <x v="4"/>
    <n v="1"/>
    <n v="40"/>
    <n v="40"/>
    <m/>
    <x v="1"/>
  </r>
  <r>
    <n v="1152"/>
    <x v="10"/>
    <x v="21"/>
    <x v="80"/>
    <s v="99240-5393"/>
    <s v="R. RIO DE JANEIRO, 932 APTO 101"/>
    <s v=" BRASIL "/>
    <s v="38400-658"/>
    <m/>
    <m/>
    <x v="3"/>
    <n v="1"/>
    <n v="40"/>
    <n v="40"/>
    <m/>
    <x v="1"/>
  </r>
  <r>
    <n v="1151"/>
    <x v="10"/>
    <x v="21"/>
    <x v="30"/>
    <s v="3213-3201/ 9.9211-0864"/>
    <s v="AV. CLARA CAMARAO, 427"/>
    <s v="N.SRA GRAÇAS"/>
    <s v="38402-010"/>
    <m/>
    <m/>
    <x v="1"/>
    <n v="1"/>
    <n v="40"/>
    <n v="40"/>
    <m/>
    <x v="1"/>
  </r>
  <r>
    <n v="1151"/>
    <x v="10"/>
    <x v="21"/>
    <x v="30"/>
    <s v="3213-3201/ 9.9211-0864"/>
    <s v="AV. CLARA CAMARAO, 427"/>
    <s v="N.SRA GRAÇAS"/>
    <s v="38402-010"/>
    <m/>
    <m/>
    <x v="2"/>
    <n v="1"/>
    <n v="40"/>
    <n v="40"/>
    <m/>
    <x v="1"/>
  </r>
  <r>
    <n v="1150"/>
    <x v="10"/>
    <x v="21"/>
    <x v="19"/>
    <s v=" 99155-5564 / 3215-1758"/>
    <s v="AV. CESARIO CROSARA, 3525"/>
    <s v=" ROOSEVELT "/>
    <s v="38401-119"/>
    <m/>
    <m/>
    <x v="3"/>
    <n v="1"/>
    <n v="40"/>
    <n v="40"/>
    <m/>
    <x v="1"/>
  </r>
  <r>
    <n v="1149"/>
    <x v="10"/>
    <x v="21"/>
    <x v="12"/>
    <s v="9.9670-9884"/>
    <s v="R. AGESILAU PASCHOAL GRECO, 318"/>
    <s v="MORADA DA COLINA"/>
    <s v="38411-112"/>
    <m/>
    <s v="MARIA LÚCIA"/>
    <x v="4"/>
    <n v="1"/>
    <n v="40"/>
    <n v="40"/>
    <m/>
    <x v="1"/>
  </r>
  <r>
    <n v="1149"/>
    <x v="10"/>
    <x v="21"/>
    <x v="12"/>
    <s v="9.9670-9884"/>
    <s v="R. AGESILAU PASCHOAL GRECO, 318"/>
    <s v="MORADA DA COLINA"/>
    <s v="38411-112"/>
    <m/>
    <s v="MARIA LÚCIA"/>
    <x v="2"/>
    <n v="1"/>
    <n v="40"/>
    <n v="40"/>
    <m/>
    <x v="1"/>
  </r>
  <r>
    <n v="1148"/>
    <x v="10"/>
    <x v="21"/>
    <x v="21"/>
    <s v="9.9670-9884"/>
    <s v="R. AGESILAU PASCHOAL GRECO, 318"/>
    <s v="MORADA DA COLINA"/>
    <s v="38411-112"/>
    <m/>
    <s v="MARIA LÚCIA"/>
    <x v="3"/>
    <n v="1"/>
    <n v="40"/>
    <n v="40"/>
    <m/>
    <x v="1"/>
  </r>
  <r>
    <n v="1147"/>
    <x v="10"/>
    <x v="21"/>
    <x v="17"/>
    <n v="0"/>
    <n v="0"/>
    <n v="0"/>
    <m/>
    <m/>
    <s v="CEDEL"/>
    <x v="2"/>
    <n v="1"/>
    <n v="40"/>
    <n v="40"/>
    <n v="40"/>
    <x v="2"/>
  </r>
  <r>
    <n v="1146"/>
    <x v="10"/>
    <x v="21"/>
    <x v="32"/>
    <s v="9.9171-4462"/>
    <s v="R. MONLEVADE, 852"/>
    <s v="DANIEL FONSECA"/>
    <s v="38400-320"/>
    <m/>
    <m/>
    <x v="2"/>
    <n v="2"/>
    <n v="40"/>
    <n v="80"/>
    <m/>
    <x v="1"/>
  </r>
  <r>
    <n v="1145"/>
    <x v="10"/>
    <x v="21"/>
    <x v="115"/>
    <s v="9.9149-9388"/>
    <s v="AV. ARAGUARI, 255 APTO 101 BLOCO 3"/>
    <s v="MARTINS"/>
    <s v="38400-464"/>
    <m/>
    <m/>
    <x v="2"/>
    <n v="1"/>
    <n v="40"/>
    <n v="40"/>
    <m/>
    <x v="1"/>
  </r>
  <r>
    <n v="1144"/>
    <x v="10"/>
    <x v="21"/>
    <x v="16"/>
    <s v="9.9232-5605"/>
    <s v="R. EDMUNDO MUNIR ARANTES, 79"/>
    <s v="PLANALTO"/>
    <s v="38413-276"/>
    <s v="+cesta"/>
    <m/>
    <x v="1"/>
    <n v="1"/>
    <n v="40"/>
    <n v="40"/>
    <n v="40"/>
    <x v="2"/>
  </r>
  <r>
    <n v="1143"/>
    <x v="11"/>
    <x v="12"/>
    <x v="92"/>
    <s v=" 9973-9967"/>
    <n v="0"/>
    <n v="0"/>
    <m/>
    <m/>
    <s v="XANDE/ELIS"/>
    <x v="1"/>
    <n v="1"/>
    <n v="40"/>
    <n v="40"/>
    <m/>
    <x v="1"/>
  </r>
  <r>
    <n v="1143"/>
    <x v="11"/>
    <x v="12"/>
    <x v="92"/>
    <s v=" 9973-9967"/>
    <n v="0"/>
    <n v="0"/>
    <m/>
    <m/>
    <s v="XANDE/ELIS"/>
    <x v="3"/>
    <n v="1"/>
    <n v="40"/>
    <n v="40"/>
    <m/>
    <x v="1"/>
  </r>
  <r>
    <n v="1142"/>
    <x v="11"/>
    <x v="12"/>
    <x v="10"/>
    <s v="3213-2775"/>
    <s v="R. PEDRO QUIRINO DA SILVA, 341 "/>
    <s v="MARTA HELENA "/>
    <s v="38402-075"/>
    <s v="SANDRA"/>
    <m/>
    <x v="1"/>
    <n v="1"/>
    <n v="40"/>
    <n v="40"/>
    <m/>
    <x v="1"/>
  </r>
  <r>
    <n v="1141"/>
    <x v="11"/>
    <x v="12"/>
    <x v="91"/>
    <s v="9.9976-5102"/>
    <n v="0"/>
    <s v="CEDEL"/>
    <m/>
    <s v="FALE JÁ SETORIZADA"/>
    <m/>
    <x v="0"/>
    <n v="1"/>
    <n v="40"/>
    <n v="40"/>
    <m/>
    <x v="1"/>
  </r>
  <r>
    <n v="1141"/>
    <x v="11"/>
    <x v="12"/>
    <x v="91"/>
    <s v="9.9976-5102"/>
    <n v="0"/>
    <s v="CEDEL"/>
    <m/>
    <s v="FALE JÁ SETORIZADA"/>
    <m/>
    <x v="2"/>
    <n v="1"/>
    <n v="40"/>
    <n v="40"/>
    <m/>
    <x v="1"/>
  </r>
  <r>
    <n v="1140"/>
    <x v="11"/>
    <x v="12"/>
    <x v="75"/>
    <s v="9.9932-1907"/>
    <s v="RUA FRANCISCO RODRIGUES SERRALHA, 350 CONDOMINIO UCHOA BLOCO 27 APTO 402"/>
    <s v="CHACARAS TUBALINA"/>
    <s v="38413-297"/>
    <s v="quebrar linha"/>
    <m/>
    <x v="1"/>
    <n v="1"/>
    <n v="40"/>
    <n v="40"/>
    <m/>
    <x v="1"/>
  </r>
  <r>
    <n v="1139"/>
    <x v="11"/>
    <x v="12"/>
    <x v="4"/>
    <s v="9.9197-7955"/>
    <n v="0"/>
    <s v="CEDEL"/>
    <m/>
    <m/>
    <m/>
    <x v="1"/>
    <n v="2"/>
    <n v="40"/>
    <n v="80"/>
    <m/>
    <x v="1"/>
  </r>
  <r>
    <n v="1138"/>
    <x v="11"/>
    <x v="12"/>
    <x v="90"/>
    <n v="0"/>
    <n v="0"/>
    <n v="0"/>
    <m/>
    <m/>
    <m/>
    <x v="2"/>
    <n v="1"/>
    <n v="40"/>
    <n v="40"/>
    <m/>
    <x v="1"/>
  </r>
  <r>
    <n v="1137"/>
    <x v="11"/>
    <x v="9"/>
    <x v="50"/>
    <s v="9.9684-7889"/>
    <s v="AV. IMBAÚBA 2200 BL03 AP404"/>
    <s v="JARAGUA"/>
    <s v="38413-108"/>
    <m/>
    <m/>
    <x v="1"/>
    <n v="1"/>
    <n v="40"/>
    <n v="40"/>
    <m/>
    <x v="1"/>
  </r>
  <r>
    <n v="1136"/>
    <x v="11"/>
    <x v="9"/>
    <x v="157"/>
    <s v="9.9121-6880"/>
    <s v="R. Maria das Dores Dias, 472, apto 202"/>
    <s v="SANTA MONICA"/>
    <s v="38408-206"/>
    <m/>
    <m/>
    <x v="1"/>
    <n v="1"/>
    <n v="40"/>
    <n v="40"/>
    <m/>
    <x v="1"/>
  </r>
  <r>
    <n v="1135"/>
    <x v="11"/>
    <x v="9"/>
    <x v="164"/>
    <s v="9.9683-2245"/>
    <s v="R. do Paiol, 1603"/>
    <s v="MINAS GERAIS"/>
    <s v="38402-194"/>
    <m/>
    <m/>
    <x v="1"/>
    <n v="2"/>
    <n v="40"/>
    <n v="80"/>
    <m/>
    <x v="1"/>
  </r>
  <r>
    <n v="1134"/>
    <x v="11"/>
    <x v="9"/>
    <x v="49"/>
    <n v="0"/>
    <s v="RUA JOSE PIRES DEFENSOR, 600, CASA 28"/>
    <n v="0"/>
    <m/>
    <m/>
    <s v="LEANDRO"/>
    <x v="1"/>
    <n v="1"/>
    <n v="40"/>
    <n v="40"/>
    <m/>
    <x v="1"/>
  </r>
  <r>
    <n v="1133"/>
    <x v="11"/>
    <x v="9"/>
    <x v="46"/>
    <s v="9.9971-2853/ 9.9997-2853"/>
    <s v="ALAMEDA ALFREDO PETRI, 161"/>
    <s v="JD KARAIBA"/>
    <s v="38411-200"/>
    <m/>
    <m/>
    <x v="1"/>
    <n v="1"/>
    <n v="40"/>
    <n v="40"/>
    <m/>
    <x v="1"/>
  </r>
  <r>
    <n v="1132"/>
    <x v="11"/>
    <x v="9"/>
    <x v="95"/>
    <s v="9.9222-2656"/>
    <s v="ALAMEDA BENETIDO JOSE DE SOUZA, Nº 81"/>
    <s v=" JD HOLANDA "/>
    <s v="38412-887"/>
    <m/>
    <m/>
    <x v="0"/>
    <n v="1"/>
    <n v="40"/>
    <n v="40"/>
    <n v="40"/>
    <x v="2"/>
  </r>
  <r>
    <n v="1131"/>
    <x v="11"/>
    <x v="9"/>
    <x v="121"/>
    <s v="99979-3354"/>
    <s v="AV. DOS JARDINS, 250 - ALAMEDA DAS FENIX, 350 - COND JD BARCELONA"/>
    <s v="NOVA UBERLANDIA"/>
    <s v="38412-639"/>
    <m/>
    <s v="LEOBALDO"/>
    <x v="1"/>
    <n v="2"/>
    <n v="40"/>
    <n v="80"/>
    <m/>
    <x v="1"/>
  </r>
  <r>
    <n v="1130"/>
    <x v="11"/>
    <x v="9"/>
    <x v="10"/>
    <s v="3213-2775"/>
    <s v="R. PEDRO QUIRINO DA SILVA, 341 "/>
    <s v="MARTA HELENA "/>
    <s v="38402-075"/>
    <s v="MARCELO"/>
    <m/>
    <x v="1"/>
    <n v="5"/>
    <n v="40"/>
    <n v="200"/>
    <n v="200"/>
    <x v="2"/>
  </r>
  <r>
    <n v="1129"/>
    <x v="11"/>
    <x v="10"/>
    <x v="10"/>
    <s v="3213-2775"/>
    <s v="R. PEDRO QUIRINO DA SILVA, 341 "/>
    <s v="MARTA HELENA "/>
    <s v="38402-075"/>
    <m/>
    <m/>
    <x v="1"/>
    <n v="1"/>
    <n v="40"/>
    <n v="40"/>
    <m/>
    <x v="1"/>
  </r>
  <r>
    <n v="1128"/>
    <x v="11"/>
    <x v="10"/>
    <x v="60"/>
    <n v="0"/>
    <n v="0"/>
    <n v="0"/>
    <m/>
    <m/>
    <s v="RODOLFO"/>
    <x v="1"/>
    <n v="2"/>
    <n v="40"/>
    <n v="80"/>
    <m/>
    <x v="1"/>
  </r>
  <r>
    <n v="1127"/>
    <x v="11"/>
    <x v="19"/>
    <x v="165"/>
    <s v="9.9971-1866"/>
    <s v="Rua 14 de julho 844 "/>
    <s v="PACAEMBU"/>
    <s v="38401-515"/>
    <m/>
    <m/>
    <x v="3"/>
    <n v="2"/>
    <n v="40"/>
    <n v="80"/>
    <m/>
    <x v="1"/>
  </r>
  <r>
    <n v="1125"/>
    <x v="11"/>
    <x v="19"/>
    <x v="10"/>
    <s v="3213-2775"/>
    <s v="R. PEDRO QUIRINO DA SILVA, 341 "/>
    <s v="MARTA HELENA "/>
    <s v="38402-075"/>
    <m/>
    <m/>
    <x v="1"/>
    <n v="2"/>
    <n v="40"/>
    <n v="80"/>
    <m/>
    <x v="1"/>
  </r>
  <r>
    <n v="1124"/>
    <x v="11"/>
    <x v="17"/>
    <x v="62"/>
    <s v="99676-2593 "/>
    <s v="R. ANITA 125 PASSARELA AV. LIBERDADE ALTAMIRA"/>
    <s v="MORADA DA COLINA"/>
    <s v="38411-014"/>
    <m/>
    <s v="MILVAR"/>
    <x v="2"/>
    <n v="1"/>
    <n v="40"/>
    <n v="40"/>
    <m/>
    <x v="1"/>
  </r>
  <r>
    <n v="1124"/>
    <x v="11"/>
    <x v="17"/>
    <x v="62"/>
    <s v="99676-2593 "/>
    <s v="R. ANITA 125 PASSARELA AV. LIBERDADE ALTAMIRA"/>
    <s v="MORADA DA COLINA"/>
    <s v="38411-014"/>
    <m/>
    <s v="MILVAR"/>
    <x v="3"/>
    <n v="1"/>
    <n v="40"/>
    <n v="40"/>
    <m/>
    <x v="1"/>
  </r>
  <r>
    <n v="1123"/>
    <x v="11"/>
    <x v="17"/>
    <x v="59"/>
    <s v="9.9135-7263"/>
    <s v="Rua Pica Paus 1750, condomínio Jardins Roma, Rua Copaibeiras 95"/>
    <s v="NOVA UBERLANDIA"/>
    <s v="38412-641"/>
    <m/>
    <s v="CEDEL"/>
    <x v="0"/>
    <n v="1"/>
    <n v="40"/>
    <n v="40"/>
    <m/>
    <x v="1"/>
  </r>
  <r>
    <n v="1123"/>
    <x v="11"/>
    <x v="17"/>
    <x v="59"/>
    <s v="9.9135-7263"/>
    <s v="Rua Pica Paus 1750, condomínio Jardins Roma, Rua Copaibeiras 95"/>
    <s v="NOVA UBERLANDIA"/>
    <s v="38412-641"/>
    <m/>
    <s v="CEDEL"/>
    <x v="1"/>
    <n v="1"/>
    <n v="40"/>
    <n v="40"/>
    <m/>
    <x v="1"/>
  </r>
  <r>
    <n v="1122"/>
    <x v="11"/>
    <x v="17"/>
    <x v="58"/>
    <s v="99147-8758"/>
    <n v="0"/>
    <n v="0"/>
    <m/>
    <m/>
    <s v="CEDEL"/>
    <x v="0"/>
    <n v="2"/>
    <n v="40"/>
    <n v="80"/>
    <m/>
    <x v="1"/>
  </r>
  <r>
    <n v="1121"/>
    <x v="11"/>
    <x v="17"/>
    <x v="161"/>
    <s v="99669-6170"/>
    <s v="RUA PROF. CIRO DE CASTRO ALMEIDA, 1576"/>
    <s v="CUSTODIO PEREIRA"/>
    <s v="38405-250"/>
    <m/>
    <s v="GABRIEL"/>
    <x v="2"/>
    <n v="1"/>
    <n v="40"/>
    <n v="40"/>
    <n v="40"/>
    <x v="2"/>
  </r>
  <r>
    <n v="1121"/>
    <x v="11"/>
    <x v="17"/>
    <x v="161"/>
    <s v="99669-6170"/>
    <s v="RUA PROF. CIRO DE CASTRO ALMEIDA, 1576"/>
    <s v="CUSTODIO PEREIRA"/>
    <s v="38405-250"/>
    <m/>
    <s v="GABRIEL"/>
    <x v="3"/>
    <n v="1"/>
    <n v="40"/>
    <n v="40"/>
    <n v="40"/>
    <x v="2"/>
  </r>
  <r>
    <n v="1120"/>
    <x v="11"/>
    <x v="7"/>
    <x v="39"/>
    <s v="98803-5267"/>
    <s v="RUA CAMPO RUPESTRE, 193"/>
    <s v=" JD. BOTANICO "/>
    <s v="38410-664"/>
    <m/>
    <m/>
    <x v="1"/>
    <n v="1"/>
    <n v="40"/>
    <n v="40"/>
    <n v="40"/>
    <x v="2"/>
  </r>
  <r>
    <n v="1119"/>
    <x v="11"/>
    <x v="7"/>
    <x v="41"/>
    <s v="99133-6005"/>
    <s v="RUA CAXAMBU, 284 - AP 103"/>
    <s v=" OSVALDO RESENDE "/>
    <s v="38400-418"/>
    <m/>
    <s v="GABRIEL"/>
    <x v="0"/>
    <n v="1"/>
    <n v="40"/>
    <n v="40"/>
    <n v="40"/>
    <x v="2"/>
  </r>
  <r>
    <n v="1118"/>
    <x v="11"/>
    <x v="7"/>
    <x v="40"/>
    <s v="98845-0023"/>
    <s v="RUA PROF. CIRO DE CASTRO ALMEIDA, 1576"/>
    <s v="CUSTODIO PEREIRA"/>
    <s v="38405-250"/>
    <m/>
    <s v="GABRIEL"/>
    <x v="0"/>
    <n v="1"/>
    <n v="40"/>
    <n v="40"/>
    <n v="40"/>
    <x v="2"/>
  </r>
  <r>
    <n v="1118"/>
    <x v="11"/>
    <x v="7"/>
    <x v="40"/>
    <s v="98845-0023"/>
    <s v="RUA PROF. CIRO DE CASTRO ALMEIDA, 1576"/>
    <s v="CUSTODIO PEREIRA"/>
    <s v="38405-250"/>
    <m/>
    <s v="GABRIEL"/>
    <x v="2"/>
    <n v="1"/>
    <n v="40"/>
    <n v="40"/>
    <n v="40"/>
    <x v="2"/>
  </r>
  <r>
    <n v="1118"/>
    <x v="11"/>
    <x v="7"/>
    <x v="40"/>
    <s v="98845-0023"/>
    <s v="RUA PROF. CIRO DE CASTRO ALMEIDA, 1576"/>
    <s v="CUSTODIO PEREIRA"/>
    <s v="38405-250"/>
    <m/>
    <s v="GABRIEL"/>
    <x v="3"/>
    <n v="1"/>
    <n v="40"/>
    <n v="40"/>
    <n v="40"/>
    <x v="2"/>
  </r>
  <r>
    <n v="1117"/>
    <x v="11"/>
    <x v="20"/>
    <x v="166"/>
    <s v="9.9189-7206"/>
    <s v="Rua João Rodrigues piedade, 35"/>
    <s v="CHACARAS TUBALINA"/>
    <s v="38413-375"/>
    <m/>
    <m/>
    <x v="2"/>
    <n v="1"/>
    <n v="40"/>
    <n v="40"/>
    <n v="40"/>
    <x v="2"/>
  </r>
  <r>
    <n v="1116"/>
    <x v="11"/>
    <x v="20"/>
    <x v="167"/>
    <s v="9.9229-3432"/>
    <s v="R. Ten. Rafael de Freitas, 513"/>
    <s v="PATRIMONIO"/>
    <s v="38411-066"/>
    <m/>
    <m/>
    <x v="2"/>
    <n v="1"/>
    <n v="40"/>
    <n v="40"/>
    <n v="40"/>
    <x v="2"/>
  </r>
  <r>
    <n v="1115"/>
    <x v="11"/>
    <x v="20"/>
    <x v="8"/>
    <s v="9.9149-1390"/>
    <n v="0"/>
    <s v="CEDEL"/>
    <m/>
    <m/>
    <s v="FÁBIO MATOS"/>
    <x v="1"/>
    <n v="1"/>
    <n v="40"/>
    <n v="40"/>
    <m/>
    <x v="1"/>
  </r>
  <r>
    <n v="1114"/>
    <x v="11"/>
    <x v="15"/>
    <x v="86"/>
    <s v="9.9166-1547"/>
    <n v="0"/>
    <s v="CEDEL"/>
    <m/>
    <m/>
    <s v="ZAIRA"/>
    <x v="0"/>
    <n v="1"/>
    <n v="40"/>
    <n v="40"/>
    <m/>
    <x v="1"/>
  </r>
  <r>
    <n v="1114"/>
    <x v="11"/>
    <x v="15"/>
    <x v="86"/>
    <s v="9.9166-1547"/>
    <n v="0"/>
    <s v="CEDEL"/>
    <m/>
    <m/>
    <s v="ZAIRA"/>
    <x v="1"/>
    <n v="1"/>
    <n v="40"/>
    <n v="40"/>
    <m/>
    <x v="1"/>
  </r>
  <r>
    <n v="1114"/>
    <x v="11"/>
    <x v="15"/>
    <x v="86"/>
    <s v="9.9166-1547"/>
    <n v="0"/>
    <s v="CEDEL"/>
    <m/>
    <m/>
    <s v="ZAIRA"/>
    <x v="2"/>
    <n v="1"/>
    <n v="40"/>
    <n v="40"/>
    <m/>
    <x v="1"/>
  </r>
  <r>
    <n v="1114"/>
    <x v="11"/>
    <x v="15"/>
    <x v="86"/>
    <s v="9.9166-1547"/>
    <n v="0"/>
    <s v="CEDEL"/>
    <m/>
    <m/>
    <s v="ZAIRA"/>
    <x v="3"/>
    <n v="1"/>
    <n v="40"/>
    <n v="40"/>
    <m/>
    <x v="1"/>
  </r>
  <r>
    <n v="1113"/>
    <x v="11"/>
    <x v="8"/>
    <x v="42"/>
    <n v="0"/>
    <n v="0"/>
    <n v="0"/>
    <m/>
    <m/>
    <s v="LEONIDAS"/>
    <x v="2"/>
    <n v="2"/>
    <n v="40"/>
    <n v="80"/>
    <m/>
    <x v="1"/>
  </r>
  <r>
    <n v="1112"/>
    <x v="11"/>
    <x v="22"/>
    <x v="168"/>
    <s v="9.9141-7904"/>
    <n v="0"/>
    <n v="0"/>
    <m/>
    <m/>
    <s v="MARIA ADRIANA VIDIGAL "/>
    <x v="3"/>
    <n v="1"/>
    <n v="40"/>
    <n v="40"/>
    <m/>
    <x v="1"/>
  </r>
  <r>
    <n v="1111"/>
    <x v="11"/>
    <x v="2"/>
    <x v="140"/>
    <s v="9.9811-4187"/>
    <s v="RUA TUPACIGUARA 400 AP 701  - ENTREGA ATE 13H"/>
    <s v="APARECIDA"/>
    <s v="38400-618"/>
    <s v="LIGAR ANTES"/>
    <m/>
    <x v="0"/>
    <n v="4"/>
    <n v="40"/>
    <n v="160"/>
    <m/>
    <x v="1"/>
  </r>
  <r>
    <n v="1110"/>
    <x v="11"/>
    <x v="21"/>
    <x v="117"/>
    <s v="9.8408-2408"/>
    <s v="R. IGUAÇU, 729"/>
    <s v=" N.SRA GRAÇAS "/>
    <s v="38405-328"/>
    <m/>
    <m/>
    <x v="1"/>
    <n v="1"/>
    <n v="40"/>
    <n v="40"/>
    <n v="40"/>
    <x v="2"/>
  </r>
  <r>
    <n v="1109"/>
    <x v="11"/>
    <x v="21"/>
    <x v="80"/>
    <s v="99240-5393"/>
    <s v="R. RIO DE JANEIRO, 932 APTO 101"/>
    <s v=" BRASIL "/>
    <s v="38400-658"/>
    <m/>
    <m/>
    <x v="3"/>
    <n v="1"/>
    <n v="40"/>
    <n v="40"/>
    <m/>
    <x v="1"/>
  </r>
  <r>
    <n v="1108"/>
    <x v="11"/>
    <x v="21"/>
    <x v="30"/>
    <s v="3213-3201/ 9.9211-0864"/>
    <s v="AV. CLARA CAMARAO, 427"/>
    <s v="N.SRA GRAÇAS"/>
    <s v="38402-010"/>
    <m/>
    <m/>
    <x v="1"/>
    <n v="1"/>
    <n v="40"/>
    <n v="40"/>
    <m/>
    <x v="1"/>
  </r>
  <r>
    <n v="1108"/>
    <x v="11"/>
    <x v="21"/>
    <x v="30"/>
    <s v="3213-3201/ 9.9211-0864"/>
    <s v="AV. CLARA CAMARAO, 427"/>
    <s v="N.SRA GRAÇAS"/>
    <s v="38402-010"/>
    <m/>
    <m/>
    <x v="2"/>
    <n v="1"/>
    <n v="40"/>
    <n v="40"/>
    <m/>
    <x v="1"/>
  </r>
  <r>
    <n v="1107"/>
    <x v="11"/>
    <x v="21"/>
    <x v="19"/>
    <s v=" 99155-5564 / 3215-1758"/>
    <s v="AV. CESARIO CROSARA, 3525"/>
    <s v=" ROOSEVELT "/>
    <s v="38401-119"/>
    <m/>
    <m/>
    <x v="3"/>
    <n v="1"/>
    <n v="40"/>
    <n v="40"/>
    <m/>
    <x v="1"/>
  </r>
  <r>
    <n v="1106"/>
    <x v="11"/>
    <x v="21"/>
    <x v="12"/>
    <s v="9.9670-9884"/>
    <s v="R. AGESILAU PASCHOAL GRECO, 318"/>
    <s v="MORADA DA COLINA"/>
    <s v="38411-112"/>
    <m/>
    <s v="MARIA LÚCIA"/>
    <x v="2"/>
    <n v="1"/>
    <n v="40"/>
    <n v="40"/>
    <m/>
    <x v="1"/>
  </r>
  <r>
    <n v="1105"/>
    <x v="11"/>
    <x v="21"/>
    <x v="21"/>
    <s v="9.9670-9884"/>
    <s v="R. AGESILAU PASCHOAL GRECO, 318"/>
    <s v="MORADA DA COLINA"/>
    <s v="38411-112"/>
    <m/>
    <s v="MARIA LÚCIA"/>
    <x v="3"/>
    <n v="1"/>
    <n v="40"/>
    <n v="40"/>
    <m/>
    <x v="1"/>
  </r>
  <r>
    <n v="1104"/>
    <x v="11"/>
    <x v="21"/>
    <x v="17"/>
    <n v="0"/>
    <n v="0"/>
    <n v="0"/>
    <m/>
    <m/>
    <s v="CEDEL"/>
    <x v="2"/>
    <n v="1"/>
    <n v="40"/>
    <n v="40"/>
    <n v="40"/>
    <x v="2"/>
  </r>
  <r>
    <n v="1103"/>
    <x v="11"/>
    <x v="21"/>
    <x v="32"/>
    <s v="9.9171-4462"/>
    <s v="R. MONLEVADE, 852"/>
    <s v="DANIEL FONSECA"/>
    <s v="38400-320"/>
    <m/>
    <m/>
    <x v="2"/>
    <n v="2"/>
    <n v="40"/>
    <n v="80"/>
    <m/>
    <x v="1"/>
  </r>
  <r>
    <n v="1102"/>
    <x v="11"/>
    <x v="21"/>
    <x v="100"/>
    <s v="9.8877-4323"/>
    <s v="R.JUDITE MOREIRA, 280"/>
    <s v="ROOSEVELT"/>
    <s v="38401-160"/>
    <m/>
    <m/>
    <x v="2"/>
    <n v="1"/>
    <n v="40"/>
    <n v="40"/>
    <m/>
    <x v="1"/>
  </r>
  <r>
    <n v="1101"/>
    <x v="11"/>
    <x v="21"/>
    <x v="16"/>
    <s v="9.9232-5605"/>
    <s v="R. EDMUNDO MUNIR ARANTES, 79"/>
    <s v="PLANALTO"/>
    <s v="38413-276"/>
    <s v="+cesta"/>
    <m/>
    <x v="1"/>
    <n v="1"/>
    <n v="40"/>
    <n v="40"/>
    <n v="40"/>
    <x v="2"/>
  </r>
  <r>
    <n v="1100"/>
    <x v="11"/>
    <x v="21"/>
    <x v="31"/>
    <s v="9.8899-1860"/>
    <s v="R. ENGENHEIRO HELVIO FELICI, 250"/>
    <s v="MORADA DA COLINA"/>
    <s v="38411-114"/>
    <m/>
    <s v="MARIA LÚCIA"/>
    <x v="0"/>
    <n v="1"/>
    <n v="40"/>
    <n v="40"/>
    <m/>
    <x v="1"/>
  </r>
  <r>
    <n v="1099"/>
    <x v="11"/>
    <x v="21"/>
    <x v="169"/>
    <s v="99960-3309"/>
    <s v="R. DOS GIRASSOIS, 50"/>
    <s v=" CIDADE JARDIM "/>
    <s v="38412-140"/>
    <m/>
    <m/>
    <x v="1"/>
    <n v="1"/>
    <n v="40"/>
    <n v="40"/>
    <m/>
    <x v="1"/>
  </r>
  <r>
    <n v="1098"/>
    <x v="11"/>
    <x v="21"/>
    <x v="116"/>
    <s v="99661-5002"/>
    <s v="AV. PAULO GRACINDO, 1000 - COND. GAVEA PARADISO - ALAMEDA GAVIAO REAL, 90"/>
    <s v="COND. GAVEA PARADISO"/>
    <s v="38411-145"/>
    <m/>
    <m/>
    <x v="2"/>
    <n v="1"/>
    <n v="40"/>
    <n v="40"/>
    <m/>
    <x v="1"/>
  </r>
  <r>
    <n v="1097"/>
    <x v="12"/>
    <x v="21"/>
    <x v="115"/>
    <s v="9.9149-9388"/>
    <s v="AV. ARAGUARI, 255 APTO 101 BLOCO 3"/>
    <s v="MARTINS"/>
    <s v="38400-464"/>
    <m/>
    <m/>
    <x v="1"/>
    <n v="1"/>
    <n v="40"/>
    <n v="40"/>
    <n v="40"/>
    <x v="2"/>
  </r>
  <r>
    <n v="1096"/>
    <x v="12"/>
    <x v="21"/>
    <x v="118"/>
    <s v="9.9971-2121"/>
    <s v="AV. CONCORDIA, 365"/>
    <s v="MORADA DA COLINA"/>
    <s v="38411-122"/>
    <m/>
    <s v="MARIA LÚCIA"/>
    <x v="2"/>
    <n v="1"/>
    <n v="40"/>
    <n v="40"/>
    <m/>
    <x v="1"/>
  </r>
  <r>
    <n v="1095"/>
    <x v="12"/>
    <x v="21"/>
    <x v="162"/>
    <n v="0"/>
    <n v="0"/>
    <n v="0"/>
    <m/>
    <m/>
    <s v="MARIA LÚCIA"/>
    <x v="2"/>
    <n v="1"/>
    <n v="40"/>
    <n v="40"/>
    <m/>
    <x v="1"/>
  </r>
  <r>
    <n v="1094"/>
    <x v="12"/>
    <x v="21"/>
    <x v="170"/>
    <n v="0"/>
    <n v="0"/>
    <n v="0"/>
    <m/>
    <m/>
    <s v="MARIA LÚCIA"/>
    <x v="2"/>
    <n v="1"/>
    <n v="40"/>
    <n v="40"/>
    <m/>
    <x v="1"/>
  </r>
  <r>
    <n v="1093"/>
    <x v="12"/>
    <x v="21"/>
    <x v="83"/>
    <s v="9.9108-2161"/>
    <s v="R. BERNARDO CUPERTINO, 965 APTO 304 PODE DEIXAR PORTARIA"/>
    <s v="MARTINS"/>
    <s v="38400-323"/>
    <m/>
    <m/>
    <x v="1"/>
    <n v="1"/>
    <n v="40"/>
    <n v="40"/>
    <m/>
    <x v="1"/>
  </r>
  <r>
    <n v="1092"/>
    <x v="12"/>
    <x v="21"/>
    <x v="51"/>
    <s v="9.9140-5267"/>
    <s v="AV. VIRGILIO CARRIJO, 290"/>
    <s v="MARTA HELENA "/>
    <s v="38402-248"/>
    <m/>
    <m/>
    <x v="1"/>
    <n v="3"/>
    <n v="40"/>
    <n v="120"/>
    <n v="120"/>
    <x v="2"/>
  </r>
  <r>
    <n v="1091"/>
    <x v="12"/>
    <x v="21"/>
    <x v="98"/>
    <s v="9.9991-4357"/>
    <s v="R. MICHELE VIRNO, 4093"/>
    <s v="CUSTODIO PEREIRA"/>
    <s v="38405-190"/>
    <m/>
    <m/>
    <x v="4"/>
    <n v="1"/>
    <n v="40"/>
    <n v="40"/>
    <m/>
    <x v="1"/>
  </r>
  <r>
    <n v="1090"/>
    <x v="12"/>
    <x v="21"/>
    <x v="80"/>
    <s v="99240-5393"/>
    <s v="R. RIO DE JANEIRO, 932 APTO 101"/>
    <s v=" BRASIL "/>
    <s v="38400-658"/>
    <m/>
    <m/>
    <x v="3"/>
    <n v="1"/>
    <n v="40"/>
    <n v="40"/>
    <m/>
    <x v="1"/>
  </r>
  <r>
    <n v="1089"/>
    <x v="12"/>
    <x v="21"/>
    <x v="171"/>
    <s v="99222-7189"/>
    <s v="AV. JOSE FONSECA E SILVA, 210"/>
    <s v=" LUIZOTE DE FREITAS "/>
    <s v="38414-348"/>
    <m/>
    <m/>
    <x v="1"/>
    <n v="1"/>
    <n v="40"/>
    <n v="40"/>
    <m/>
    <x v="1"/>
  </r>
  <r>
    <n v="1088"/>
    <x v="12"/>
    <x v="21"/>
    <x v="172"/>
    <s v="98861-0155  3231-1098"/>
    <s v="AV ALEXANDRE RIBEIRO GUIMARAES, 603"/>
    <s v=" SANTA MARIA "/>
    <s v="38408-050"/>
    <m/>
    <m/>
    <x v="1"/>
    <n v="1"/>
    <n v="40"/>
    <n v="40"/>
    <m/>
    <x v="1"/>
  </r>
  <r>
    <n v="1087"/>
    <x v="12"/>
    <x v="21"/>
    <x v="12"/>
    <s v="9.9670-9884"/>
    <s v="R. AGESILAU PASCHOAL GRECO, 318"/>
    <s v="MORADA DA COLINA"/>
    <s v="38411-112"/>
    <m/>
    <s v="MARIA LÚCIA"/>
    <x v="2"/>
    <n v="1"/>
    <n v="40"/>
    <n v="40"/>
    <m/>
    <x v="1"/>
  </r>
  <r>
    <n v="1086"/>
    <x v="12"/>
    <x v="21"/>
    <x v="12"/>
    <s v="9.9670-9884"/>
    <s v="R. AGESILAU PASCHOAL GRECO, 318"/>
    <s v="MORADA DA COLINA"/>
    <s v="38411-112"/>
    <m/>
    <s v="MARIA LÚCIA"/>
    <x v="4"/>
    <n v="1"/>
    <n v="40"/>
    <n v="40"/>
    <m/>
    <x v="1"/>
  </r>
  <r>
    <n v="1085"/>
    <x v="12"/>
    <x v="21"/>
    <x v="17"/>
    <n v="0"/>
    <n v="0"/>
    <n v="0"/>
    <m/>
    <m/>
    <m/>
    <x v="2"/>
    <n v="1"/>
    <n v="40"/>
    <n v="40"/>
    <n v="40"/>
    <x v="2"/>
  </r>
  <r>
    <n v="1084"/>
    <x v="12"/>
    <x v="21"/>
    <x v="32"/>
    <s v="9.9171-4462"/>
    <s v="R. MONLEVADE, 852"/>
    <s v="DANIEL FONSECA"/>
    <s v="38400-320"/>
    <m/>
    <m/>
    <x v="2"/>
    <n v="2"/>
    <n v="40"/>
    <n v="80"/>
    <m/>
    <x v="1"/>
  </r>
  <r>
    <n v="1083"/>
    <x v="12"/>
    <x v="21"/>
    <x v="25"/>
    <s v="99148-4283"/>
    <s v="R. JADE, 45 "/>
    <s v="JD. BOTANICO"/>
    <s v="38411-634"/>
    <m/>
    <m/>
    <x v="2"/>
    <n v="1"/>
    <n v="40"/>
    <n v="40"/>
    <m/>
    <x v="1"/>
  </r>
  <r>
    <n v="1082"/>
    <x v="12"/>
    <x v="21"/>
    <x v="100"/>
    <s v="9.8877-4323"/>
    <s v="R.JUDITE MOREIRA, 280"/>
    <s v="ROOSEVELT"/>
    <s v="38401-160"/>
    <m/>
    <m/>
    <x v="2"/>
    <n v="1"/>
    <n v="40"/>
    <n v="40"/>
    <m/>
    <x v="1"/>
  </r>
  <r>
    <n v="1081"/>
    <x v="12"/>
    <x v="21"/>
    <x v="173"/>
    <s v="9.9892-3746"/>
    <s v="ALAMEDA DURVAL CARRIJO, 550"/>
    <s v="MORADA DA COLINA"/>
    <s v="38411-138"/>
    <m/>
    <s v="MARIA LÚCIA"/>
    <x v="2"/>
    <n v="1"/>
    <n v="40"/>
    <n v="40"/>
    <m/>
    <x v="1"/>
  </r>
  <r>
    <n v="1080"/>
    <x v="12"/>
    <x v="21"/>
    <x v="10"/>
    <s v="3213-2775"/>
    <s v="R. PEDRO QUIRINO DA SILVA, 341 "/>
    <s v="MARTA HELENA "/>
    <s v="38402-075"/>
    <m/>
    <m/>
    <x v="1"/>
    <n v="2"/>
    <n v="40"/>
    <n v="80"/>
    <m/>
    <x v="1"/>
  </r>
  <r>
    <n v="1079"/>
    <x v="12"/>
    <x v="21"/>
    <x v="31"/>
    <s v="9.8899-1860"/>
    <s v="R. ENGENHEIRO HELVIO FELICI, 250"/>
    <s v="MORADA DA COLINA"/>
    <s v="38411-114"/>
    <m/>
    <s v="MARIA LÚCIA"/>
    <x v="0"/>
    <n v="1"/>
    <n v="40"/>
    <n v="40"/>
    <m/>
    <x v="1"/>
  </r>
  <r>
    <n v="1078"/>
    <x v="12"/>
    <x v="21"/>
    <x v="76"/>
    <s v="9.8878-1706"/>
    <s v="R. ATHOS PARANHOS VELOSO, 1046 (ESTÁ CORRETO)"/>
    <s v=" TUBALINA "/>
    <s v="38412-076"/>
    <m/>
    <m/>
    <x v="1"/>
    <n v="1"/>
    <n v="40"/>
    <n v="40"/>
    <m/>
    <x v="1"/>
  </r>
  <r>
    <n v="1077"/>
    <x v="12"/>
    <x v="21"/>
    <x v="116"/>
    <s v="99661-5002"/>
    <s v="AV. PAULO GRACINDO, 1000 - COND. GAVEA PARADISO - ALAMEDA GAVIAO REAL, 90"/>
    <s v="COND. GAVEA PARADISO"/>
    <s v="38411-145"/>
    <m/>
    <m/>
    <x v="2"/>
    <n v="1"/>
    <n v="40"/>
    <n v="40"/>
    <m/>
    <x v="1"/>
  </r>
  <r>
    <n v="1076"/>
    <x v="12"/>
    <x v="9"/>
    <x v="133"/>
    <s v="9.8848-0037"/>
    <s v=" Rua Marinho Lozzi, 165"/>
    <s v="JARDIM PATRICIA"/>
    <s v="38414-106"/>
    <m/>
    <m/>
    <x v="1"/>
    <n v="1"/>
    <n v="40"/>
    <n v="40"/>
    <m/>
    <x v="1"/>
  </r>
  <r>
    <n v="1075"/>
    <x v="12"/>
    <x v="9"/>
    <x v="174"/>
    <s v="9.9210-8870 "/>
    <s v="Av Adelia Miguel Abraao, 96"/>
    <s v="ALTO UMUARAMA"/>
    <s v="38405-381"/>
    <m/>
    <m/>
    <x v="1"/>
    <n v="1"/>
    <n v="40"/>
    <n v="40"/>
    <m/>
    <x v="1"/>
  </r>
  <r>
    <n v="1074"/>
    <x v="12"/>
    <x v="9"/>
    <x v="94"/>
    <s v="9.9976-8255"/>
    <s v="R. IRENE ROSA, 54 OU R. DO BORRACHEIRO, 221"/>
    <s v="OSVALDO REZENDE"/>
    <s v="38400-480"/>
    <s v="LIGAR ANTES"/>
    <m/>
    <x v="1"/>
    <n v="1"/>
    <n v="40"/>
    <n v="40"/>
    <m/>
    <x v="1"/>
  </r>
  <r>
    <n v="1073"/>
    <x v="12"/>
    <x v="9"/>
    <x v="50"/>
    <s v="9.9684-7889"/>
    <s v="AV. IMBAÚBA 2200 BL03 AP404"/>
    <s v="JARAGUA"/>
    <s v="38413-108"/>
    <m/>
    <m/>
    <x v="1"/>
    <n v="1"/>
    <n v="40"/>
    <n v="40"/>
    <n v="40"/>
    <x v="2"/>
  </r>
  <r>
    <n v="1072"/>
    <x v="12"/>
    <x v="9"/>
    <x v="95"/>
    <s v="9.9222-2656"/>
    <s v="ALAMEDA BENETIDO JOSE DE SOUZA, Nº 81"/>
    <s v=" JD HOLANDA "/>
    <s v="38412-887"/>
    <m/>
    <m/>
    <x v="0"/>
    <n v="1"/>
    <n v="40"/>
    <n v="40"/>
    <n v="40"/>
    <x v="2"/>
  </r>
  <r>
    <n v="1071"/>
    <x v="12"/>
    <x v="9"/>
    <x v="46"/>
    <s v="9.9971-2853/ 9.9997-2853"/>
    <s v="ALAMEDA ALFREDO PETRI, 161"/>
    <s v="JD KARAIBA"/>
    <s v="38411-200"/>
    <m/>
    <m/>
    <x v="1"/>
    <n v="1"/>
    <n v="40"/>
    <n v="40"/>
    <m/>
    <x v="1"/>
  </r>
  <r>
    <n v="1070"/>
    <x v="12"/>
    <x v="9"/>
    <x v="49"/>
    <n v="0"/>
    <s v="RUA JOSE PIRES DEFENSOR, 600, CASA 28"/>
    <n v="0"/>
    <m/>
    <m/>
    <s v="LEANDRO"/>
    <x v="1"/>
    <n v="1"/>
    <n v="40"/>
    <n v="40"/>
    <m/>
    <x v="1"/>
  </r>
  <r>
    <n v="1068"/>
    <x v="12"/>
    <x v="9"/>
    <x v="10"/>
    <s v="3213-2775"/>
    <s v="R. PEDRO QUIRINO DA SILVA, 341 "/>
    <s v="MARTA HELENA "/>
    <s v="38402-075"/>
    <s v="MARCELO"/>
    <m/>
    <x v="1"/>
    <n v="5"/>
    <n v="40"/>
    <n v="200"/>
    <m/>
    <x v="1"/>
  </r>
  <r>
    <n v="1067"/>
    <x v="12"/>
    <x v="12"/>
    <x v="90"/>
    <n v="0"/>
    <n v="0"/>
    <n v="0"/>
    <m/>
    <m/>
    <m/>
    <x v="2"/>
    <n v="2"/>
    <n v="40"/>
    <n v="80"/>
    <m/>
    <x v="1"/>
  </r>
  <r>
    <n v="1065"/>
    <x v="12"/>
    <x v="12"/>
    <x v="10"/>
    <s v="3213-2775"/>
    <s v="R. PEDRO QUIRINO DA SILVA, 341 "/>
    <s v="MARTA HELENA "/>
    <s v="38402-075"/>
    <s v="SANDRA"/>
    <m/>
    <x v="1"/>
    <n v="1"/>
    <n v="40"/>
    <n v="40"/>
    <m/>
    <x v="1"/>
  </r>
  <r>
    <n v="1064"/>
    <x v="12"/>
    <x v="12"/>
    <x v="91"/>
    <s v="9.9976-5102"/>
    <n v="0"/>
    <s v="CEDEL"/>
    <m/>
    <s v="COBRAR 3 - FALE"/>
    <s v="CEDEL"/>
    <x v="0"/>
    <n v="1"/>
    <n v="40"/>
    <n v="40"/>
    <m/>
    <x v="1"/>
  </r>
  <r>
    <n v="1064"/>
    <x v="12"/>
    <x v="12"/>
    <x v="91"/>
    <s v="9.9976-5102"/>
    <n v="0"/>
    <s v="CEDEL"/>
    <m/>
    <m/>
    <s v="CEDEL"/>
    <x v="2"/>
    <n v="1"/>
    <n v="40"/>
    <n v="40"/>
    <m/>
    <x v="1"/>
  </r>
  <r>
    <n v="1063"/>
    <x v="12"/>
    <x v="12"/>
    <x v="92"/>
    <s v=" 9973-9967"/>
    <n v="0"/>
    <n v="0"/>
    <m/>
    <m/>
    <m/>
    <x v="1"/>
    <n v="1"/>
    <n v="40"/>
    <n v="40"/>
    <m/>
    <x v="1"/>
  </r>
  <r>
    <n v="1063"/>
    <x v="12"/>
    <x v="12"/>
    <x v="92"/>
    <s v=" 9973-9967"/>
    <n v="0"/>
    <n v="0"/>
    <m/>
    <m/>
    <m/>
    <x v="3"/>
    <n v="1"/>
    <n v="40"/>
    <n v="40"/>
    <m/>
    <x v="1"/>
  </r>
  <r>
    <n v="1062"/>
    <x v="12"/>
    <x v="12"/>
    <x v="4"/>
    <s v="9.9197-7955"/>
    <n v="0"/>
    <s v="CEDEL"/>
    <m/>
    <m/>
    <s v="LEOBALDO"/>
    <x v="1"/>
    <n v="2"/>
    <n v="40"/>
    <n v="80"/>
    <m/>
    <x v="1"/>
  </r>
  <r>
    <n v="1061"/>
    <x v="12"/>
    <x v="12"/>
    <x v="75"/>
    <s v="9.9932-1907"/>
    <s v="RUA FRANCISCO RODRIGUES SERRALHA, 350 CONDOMINIO UCHOA BLOCO 27 APTO 402"/>
    <s v="CHACARAS TUBALINA"/>
    <s v="38413-297"/>
    <s v="quebrar linha"/>
    <m/>
    <x v="1"/>
    <n v="1"/>
    <n v="40"/>
    <n v="40"/>
    <n v="40"/>
    <x v="2"/>
  </r>
  <r>
    <n v="1060"/>
    <x v="12"/>
    <x v="19"/>
    <x v="175"/>
    <s v="9.9303-7802"/>
    <s v="AV. PRINCESSA ISABEL, Nº 505"/>
    <s v="FUNDINHO"/>
    <s v="38400-192"/>
    <m/>
    <m/>
    <x v="0"/>
    <n v="1"/>
    <n v="40"/>
    <n v="40"/>
    <m/>
    <x v="1"/>
  </r>
  <r>
    <n v="1060"/>
    <x v="12"/>
    <x v="19"/>
    <x v="175"/>
    <s v="9.9303-7802"/>
    <s v="AV. PRINCESSA ISABEL, Nº 505"/>
    <s v="FUNDINHO"/>
    <s v="38400-192"/>
    <m/>
    <m/>
    <x v="3"/>
    <n v="1"/>
    <n v="40"/>
    <n v="40"/>
    <m/>
    <x v="1"/>
  </r>
  <r>
    <n v="1059"/>
    <x v="12"/>
    <x v="19"/>
    <x v="36"/>
    <n v="0"/>
    <s v="RUA DOM ALMIR MARQUES FERREIRA, 820 "/>
    <s v="GAVEA"/>
    <s v="38411-170"/>
    <m/>
    <s v="JOSE LUIZ"/>
    <x v="2"/>
    <n v="1"/>
    <n v="40"/>
    <n v="40"/>
    <m/>
    <x v="1"/>
  </r>
  <r>
    <n v="1058"/>
    <x v="12"/>
    <x v="19"/>
    <x v="33"/>
    <s v="99942-3020"/>
    <s v="RUA CIPRIANO DEL FAVERO 659 APTº 1200  "/>
    <s v=" CENTRO "/>
    <s v="38400-106"/>
    <m/>
    <m/>
    <x v="2"/>
    <n v="1"/>
    <n v="40"/>
    <n v="40"/>
    <m/>
    <x v="1"/>
  </r>
  <r>
    <n v="1058"/>
    <x v="12"/>
    <x v="19"/>
    <x v="33"/>
    <s v="99942-3020"/>
    <s v="RUA CIPRIANO DEL FAVERO 659 APTº 1200  "/>
    <s v=" CENTRO "/>
    <s v="38400-106"/>
    <m/>
    <m/>
    <x v="3"/>
    <n v="1"/>
    <n v="40"/>
    <n v="40"/>
    <m/>
    <x v="1"/>
  </r>
  <r>
    <n v="1057"/>
    <x v="12"/>
    <x v="19"/>
    <x v="10"/>
    <s v="3213-2775"/>
    <s v="R. PEDRO QUIRINO DA SILVA, 341 "/>
    <s v="MARTA HELENA "/>
    <s v="38402-075"/>
    <s v="Zé/Rodrigo"/>
    <m/>
    <x v="1"/>
    <n v="2"/>
    <n v="40"/>
    <n v="80"/>
    <m/>
    <x v="1"/>
  </r>
  <r>
    <n v="1056"/>
    <x v="12"/>
    <x v="7"/>
    <x v="40"/>
    <s v="98845-0023"/>
    <s v="RUA PROF. CIRO DE CASTRO ALMEIDA, 1576"/>
    <s v="CUSTODIO PEREIRA"/>
    <s v="38405-250"/>
    <m/>
    <m/>
    <x v="0"/>
    <n v="1"/>
    <n v="40"/>
    <n v="40"/>
    <n v="40"/>
    <x v="2"/>
  </r>
  <r>
    <n v="1056"/>
    <x v="12"/>
    <x v="7"/>
    <x v="40"/>
    <s v="98845-0023"/>
    <s v="RUA PROF. CIRO DE CASTRO ALMEIDA, 1576"/>
    <s v="CUSTODIO PEREIRA"/>
    <s v="38405-250"/>
    <m/>
    <m/>
    <x v="1"/>
    <n v="1"/>
    <n v="40"/>
    <n v="40"/>
    <n v="40"/>
    <x v="2"/>
  </r>
  <r>
    <n v="1056"/>
    <x v="12"/>
    <x v="7"/>
    <x v="40"/>
    <s v="98845-0023"/>
    <s v="RUA PROF. CIRO DE CASTRO ALMEIDA, 1576"/>
    <s v="CUSTODIO PEREIRA"/>
    <s v="38405-250"/>
    <m/>
    <m/>
    <x v="2"/>
    <n v="1"/>
    <n v="40"/>
    <n v="40"/>
    <n v="40"/>
    <x v="2"/>
  </r>
  <r>
    <n v="1055"/>
    <x v="12"/>
    <x v="7"/>
    <x v="39"/>
    <s v="98803-5267"/>
    <s v="RUA CAMPO RUPESTRE, 193"/>
    <s v=" JD. BOTANICO "/>
    <s v="38410-664"/>
    <m/>
    <m/>
    <x v="1"/>
    <n v="1"/>
    <n v="40"/>
    <n v="40"/>
    <n v="40"/>
    <x v="2"/>
  </r>
  <r>
    <n v="1054"/>
    <x v="12"/>
    <x v="7"/>
    <x v="41"/>
    <s v="99133-6005"/>
    <s v="RUA CAXAMBU, 284 - AP 103"/>
    <s v=" OSVALDO RESENDE "/>
    <s v="38400-418"/>
    <m/>
    <m/>
    <x v="0"/>
    <n v="1"/>
    <n v="40"/>
    <n v="40"/>
    <n v="40"/>
    <x v="2"/>
  </r>
  <r>
    <n v="1053"/>
    <x v="12"/>
    <x v="10"/>
    <x v="10"/>
    <s v="3213-2775"/>
    <s v="R. PEDRO QUIRINO DA SILVA, 341 "/>
    <s v="MARTA HELENA "/>
    <s v="38402-075"/>
    <m/>
    <m/>
    <x v="1"/>
    <n v="1"/>
    <n v="40"/>
    <n v="40"/>
    <m/>
    <x v="1"/>
  </r>
  <r>
    <n v="1052"/>
    <x v="12"/>
    <x v="10"/>
    <x v="60"/>
    <n v="0"/>
    <n v="0"/>
    <n v="0"/>
    <m/>
    <s v="COBRAR 3 - FALE"/>
    <s v="CEDEL"/>
    <x v="1"/>
    <n v="2"/>
    <n v="40"/>
    <n v="80"/>
    <m/>
    <x v="1"/>
  </r>
  <r>
    <n v="1051"/>
    <x v="12"/>
    <x v="22"/>
    <x v="168"/>
    <s v="9.9141-7904"/>
    <n v="0"/>
    <n v="0"/>
    <m/>
    <m/>
    <s v="MARIA ADRIANA VIDIGAL "/>
    <x v="0"/>
    <n v="1"/>
    <n v="40"/>
    <n v="40"/>
    <m/>
    <x v="1"/>
  </r>
  <r>
    <n v="1050"/>
    <x v="12"/>
    <x v="4"/>
    <x v="176"/>
    <s v="99979-3545"/>
    <s v=" Av. Getúlio Vargas, 1105"/>
    <s v="JARAGUA"/>
    <s v="38413-023"/>
    <m/>
    <m/>
    <x v="3"/>
    <n v="1"/>
    <n v="40"/>
    <n v="40"/>
    <m/>
    <x v="1"/>
  </r>
  <r>
    <n v="1049"/>
    <x v="12"/>
    <x v="11"/>
    <x v="84"/>
    <s v="9.9992-0097"/>
    <s v="R. HORACIO REZENDE, 241"/>
    <s v="OSVALDO REZENDE"/>
    <s v="38400-302"/>
    <m/>
    <m/>
    <x v="2"/>
    <n v="1"/>
    <n v="40"/>
    <n v="40"/>
    <m/>
    <x v="1"/>
  </r>
  <r>
    <n v="1048"/>
    <x v="12"/>
    <x v="8"/>
    <x v="42"/>
    <n v="0"/>
    <n v="0"/>
    <n v="0"/>
    <m/>
    <m/>
    <s v="LEONIDAS"/>
    <x v="1"/>
    <n v="1"/>
    <n v="40"/>
    <n v="40"/>
    <m/>
    <x v="1"/>
  </r>
  <r>
    <n v="1048"/>
    <x v="12"/>
    <x v="8"/>
    <x v="42"/>
    <n v="0"/>
    <n v="0"/>
    <n v="0"/>
    <m/>
    <m/>
    <s v="LEONIDAS"/>
    <x v="2"/>
    <n v="2"/>
    <n v="40"/>
    <n v="80"/>
    <m/>
    <x v="1"/>
  </r>
  <r>
    <n v="1047"/>
    <x v="12"/>
    <x v="20"/>
    <x v="177"/>
    <s v="9.8806-1008"/>
    <s v="Av Joao XXIII, 686, apto 602"/>
    <s v="SANTA MARIA"/>
    <s v="38408-056"/>
    <m/>
    <m/>
    <x v="1"/>
    <n v="1"/>
    <n v="40"/>
    <n v="40"/>
    <n v="40"/>
    <x v="2"/>
  </r>
  <r>
    <n v="1046"/>
    <x v="12"/>
    <x v="20"/>
    <x v="8"/>
    <s v="9.9149-1390"/>
    <n v="0"/>
    <s v="CEDEL"/>
    <m/>
    <m/>
    <s v="CEDEL"/>
    <x v="1"/>
    <n v="1"/>
    <n v="40"/>
    <n v="40"/>
    <m/>
    <x v="1"/>
  </r>
  <r>
    <n v="1046"/>
    <x v="12"/>
    <x v="20"/>
    <x v="8"/>
    <s v="9.9149-1390"/>
    <n v="0"/>
    <s v="CEDEL"/>
    <m/>
    <m/>
    <s v="CEDEL"/>
    <x v="2"/>
    <n v="2"/>
    <n v="40"/>
    <n v="80"/>
    <m/>
    <x v="1"/>
  </r>
  <r>
    <n v="1045"/>
    <x v="12"/>
    <x v="17"/>
    <x v="161"/>
    <s v="99669-6170"/>
    <s v="RUA PROF. CIRO DE CASTRO ALMEIDA, 1576"/>
    <s v="CUSTODIO PEREIRA"/>
    <s v="38405-250"/>
    <m/>
    <m/>
    <x v="2"/>
    <n v="1"/>
    <n v="40"/>
    <n v="40"/>
    <n v="40"/>
    <x v="2"/>
  </r>
  <r>
    <n v="1045"/>
    <x v="12"/>
    <x v="17"/>
    <x v="161"/>
    <s v="99669-6170"/>
    <s v="RUA PROF. CIRO DE CASTRO ALMEIDA, 1576"/>
    <s v="CUSTODIO PEREIRA"/>
    <s v="38405-250"/>
    <m/>
    <m/>
    <x v="3"/>
    <n v="1"/>
    <n v="40"/>
    <n v="40"/>
    <n v="40"/>
    <x v="2"/>
  </r>
  <r>
    <n v="1044"/>
    <x v="12"/>
    <x v="17"/>
    <x v="62"/>
    <s v="99676-2593 "/>
    <s v="R. ANITA 125 PASSARELA AV. LIBERDADE ALTAMIRA"/>
    <s v="MORADA DA COLINA"/>
    <s v="38411-014"/>
    <m/>
    <s v="MILVAR"/>
    <x v="2"/>
    <n v="1"/>
    <n v="40"/>
    <n v="40"/>
    <m/>
    <x v="1"/>
  </r>
  <r>
    <n v="1044"/>
    <x v="12"/>
    <x v="17"/>
    <x v="62"/>
    <s v="99676-2593 "/>
    <s v="R. ANITA 125 PASSARELA AV. LIBERDADE ALTAMIRA"/>
    <s v="MORADA DA COLINA"/>
    <s v="38411-014"/>
    <m/>
    <s v="MILVAR"/>
    <x v="3"/>
    <n v="1"/>
    <n v="40"/>
    <n v="40"/>
    <m/>
    <x v="1"/>
  </r>
  <r>
    <n v="1043"/>
    <x v="12"/>
    <x v="17"/>
    <x v="59"/>
    <s v="9.9135-7263"/>
    <s v="Rua Pica Paus 1750, condomínio Jardins Roma, Rua Copaibeiras 95"/>
    <s v="NOVA UBERLANDIA"/>
    <s v="38412-641"/>
    <m/>
    <s v="CEDEL"/>
    <x v="0"/>
    <n v="1"/>
    <n v="40"/>
    <n v="40"/>
    <m/>
    <x v="1"/>
  </r>
  <r>
    <n v="1043"/>
    <x v="12"/>
    <x v="17"/>
    <x v="59"/>
    <s v="9.9135-7263"/>
    <s v="Rua Pica Paus 1750, condomínio Jardins Roma, Rua Copaibeiras 95"/>
    <s v="NOVA UBERLANDIA"/>
    <s v="38412-641"/>
    <m/>
    <s v="CEDEL"/>
    <x v="1"/>
    <n v="1"/>
    <n v="40"/>
    <n v="40"/>
    <m/>
    <x v="1"/>
  </r>
  <r>
    <n v="1042"/>
    <x v="12"/>
    <x v="17"/>
    <x v="58"/>
    <s v="99147-8758"/>
    <n v="0"/>
    <n v="0"/>
    <m/>
    <m/>
    <s v="CEDEL"/>
    <x v="0"/>
    <n v="2"/>
    <n v="40"/>
    <n v="80"/>
    <m/>
    <x v="1"/>
  </r>
  <r>
    <n v="1041"/>
    <x v="13"/>
    <x v="21"/>
    <x v="12"/>
    <s v="9.9670-9884"/>
    <s v="R. AGESILAU PASCHOAL GRECO, 318"/>
    <s v="MORADA DA COLINA"/>
    <s v="38411-112"/>
    <m/>
    <m/>
    <x v="1"/>
    <n v="2"/>
    <n v="40"/>
    <n v="80"/>
    <m/>
    <x v="1"/>
  </r>
  <r>
    <n v="1040"/>
    <x v="13"/>
    <x v="8"/>
    <x v="42"/>
    <n v="0"/>
    <n v="0"/>
    <n v="0"/>
    <m/>
    <m/>
    <s v="LEONIDAS"/>
    <x v="0"/>
    <n v="1"/>
    <n v="40"/>
    <n v="40"/>
    <m/>
    <x v="1"/>
  </r>
  <r>
    <n v="1040"/>
    <x v="13"/>
    <x v="8"/>
    <x v="42"/>
    <n v="0"/>
    <n v="0"/>
    <n v="0"/>
    <m/>
    <m/>
    <s v="LEONIDAS"/>
    <x v="1"/>
    <n v="1"/>
    <n v="40"/>
    <n v="40"/>
    <m/>
    <x v="1"/>
  </r>
  <r>
    <n v="1040"/>
    <x v="13"/>
    <x v="8"/>
    <x v="42"/>
    <n v="0"/>
    <n v="0"/>
    <n v="0"/>
    <m/>
    <m/>
    <s v="LEONIDAS"/>
    <x v="2"/>
    <n v="4"/>
    <n v="40"/>
    <n v="160"/>
    <m/>
    <x v="1"/>
  </r>
  <r>
    <n v="1039"/>
    <x v="13"/>
    <x v="21"/>
    <x v="118"/>
    <s v="9.9971-2121"/>
    <s v="AV. CONCORDIA, 365"/>
    <s v="MORADA DA COLINA"/>
    <s v="38411-122"/>
    <m/>
    <s v="MARIA LÚCIA"/>
    <x v="1"/>
    <n v="1"/>
    <n v="40"/>
    <n v="40"/>
    <m/>
    <x v="1"/>
  </r>
  <r>
    <n v="1039"/>
    <x v="13"/>
    <x v="21"/>
    <x v="118"/>
    <s v="9.9971-2121"/>
    <s v="AV. CONCORDIA, 365"/>
    <s v="MORADA DA COLINA"/>
    <s v="38411-122"/>
    <m/>
    <s v="MARIA LÚCIA"/>
    <x v="2"/>
    <n v="1"/>
    <n v="40"/>
    <n v="40"/>
    <m/>
    <x v="1"/>
  </r>
  <r>
    <n v="1038"/>
    <x v="13"/>
    <x v="21"/>
    <x v="22"/>
    <s v="99977-5669"/>
    <s v="R. WATERLOO PEREIRA ALVES, 73 "/>
    <s v=" JD. PATRICIA "/>
    <s v="38414-172"/>
    <m/>
    <m/>
    <x v="2"/>
    <n v="1"/>
    <n v="40"/>
    <n v="40"/>
    <m/>
    <x v="1"/>
  </r>
  <r>
    <n v="1037"/>
    <x v="13"/>
    <x v="21"/>
    <x v="98"/>
    <s v="9.9991-4357"/>
    <s v="R. MICHELE VIRNO, 4093"/>
    <s v="CUSTODIO PEREIRA"/>
    <s v="38405-190"/>
    <s v="1/2calab/ 1/2muss"/>
    <m/>
    <x v="4"/>
    <n v="1"/>
    <n v="40"/>
    <n v="40"/>
    <m/>
    <x v="1"/>
  </r>
  <r>
    <n v="1036"/>
    <x v="13"/>
    <x v="21"/>
    <x v="28"/>
    <s v="9.9694-0869"/>
    <s v="R. IBIA, 127"/>
    <s v="OSVALDO REZENDE"/>
    <s v="38400-430"/>
    <m/>
    <m/>
    <x v="1"/>
    <n v="1"/>
    <n v="40"/>
    <n v="40"/>
    <m/>
    <x v="1"/>
  </r>
  <r>
    <n v="1035"/>
    <x v="13"/>
    <x v="21"/>
    <x v="171"/>
    <s v="99222-7189"/>
    <s v="AV. JOSE FONSECA E SILVA, 210"/>
    <s v=" LUIZOTE DE FREITAS "/>
    <s v="38414-348"/>
    <m/>
    <m/>
    <x v="1"/>
    <n v="1"/>
    <n v="40"/>
    <n v="40"/>
    <m/>
    <x v="1"/>
  </r>
  <r>
    <n v="1034"/>
    <x v="13"/>
    <x v="21"/>
    <x v="30"/>
    <s v="3213-3201/ 9.9211-0864"/>
    <s v="AV. CLARA CAMARAO, 427"/>
    <s v="N.SRA GRAÇAS"/>
    <s v="38402-010"/>
    <m/>
    <m/>
    <x v="1"/>
    <n v="1"/>
    <n v="40"/>
    <n v="40"/>
    <m/>
    <x v="1"/>
  </r>
  <r>
    <n v="1034"/>
    <x v="13"/>
    <x v="21"/>
    <x v="30"/>
    <s v="3213-3201/ 9.9211-0864"/>
    <s v="AV. CLARA CAMARAO, 427"/>
    <s v="N.SRA GRAÇAS"/>
    <s v="38402-010"/>
    <m/>
    <m/>
    <x v="2"/>
    <n v="1"/>
    <n v="40"/>
    <n v="40"/>
    <m/>
    <x v="1"/>
  </r>
  <r>
    <n v="1033"/>
    <x v="13"/>
    <x v="21"/>
    <x v="21"/>
    <s v="9.9670-9884"/>
    <s v="R. AGESILAU PASCHOAL GRECO, 318"/>
    <s v="MORADA DA COLINA"/>
    <s v="38411-112"/>
    <m/>
    <s v="MARIA LÚCIA"/>
    <x v="3"/>
    <n v="1"/>
    <n v="40"/>
    <n v="40"/>
    <m/>
    <x v="1"/>
  </r>
  <r>
    <n v="1032"/>
    <x v="13"/>
    <x v="21"/>
    <x v="17"/>
    <n v="0"/>
    <n v="0"/>
    <n v="0"/>
    <m/>
    <m/>
    <m/>
    <x v="2"/>
    <n v="1"/>
    <n v="40"/>
    <n v="40"/>
    <n v="40"/>
    <x v="2"/>
  </r>
  <r>
    <n v="1031"/>
    <x v="13"/>
    <x v="21"/>
    <x v="100"/>
    <s v="9.8877-4323"/>
    <s v="R.JUDITE MOREIRA, 280"/>
    <s v="ROOSEVELT"/>
    <s v="38401-160"/>
    <m/>
    <m/>
    <x v="2"/>
    <n v="1"/>
    <n v="40"/>
    <n v="40"/>
    <m/>
    <x v="1"/>
  </r>
  <r>
    <n v="1030"/>
    <x v="13"/>
    <x v="21"/>
    <x v="29"/>
    <s v="99195-9740"/>
    <s v="AV. BELO HORIZONTE, 1786 - ESQUINA C/ R. LAMBARI"/>
    <s v=" OSVALDO RESENDE "/>
    <s v="38400-454"/>
    <s v="RECEBER 80"/>
    <m/>
    <x v="2"/>
    <n v="1"/>
    <n v="40"/>
    <n v="40"/>
    <m/>
    <x v="1"/>
  </r>
  <r>
    <n v="1029"/>
    <x v="13"/>
    <x v="21"/>
    <x v="173"/>
    <s v="9.9892-3746"/>
    <s v="ALAMEDA DURVAL CARRIJO, 550"/>
    <s v="MORADA DA COLINA"/>
    <s v="38411-138"/>
    <m/>
    <s v="MARIA LÚCIA"/>
    <x v="2"/>
    <n v="1"/>
    <n v="40"/>
    <n v="40"/>
    <m/>
    <x v="1"/>
  </r>
  <r>
    <n v="1028"/>
    <x v="13"/>
    <x v="21"/>
    <x v="16"/>
    <s v="9.9232-5605"/>
    <s v="R. EDMUNDO MUNIR ARANTES, 79"/>
    <s v="PLANALTO"/>
    <s v="38413-276"/>
    <s v="SÓ A CESTA"/>
    <m/>
    <x v="5"/>
    <m/>
    <n v="40"/>
    <n v="40"/>
    <m/>
    <x v="1"/>
  </r>
  <r>
    <n v="1026"/>
    <x v="13"/>
    <x v="21"/>
    <x v="31"/>
    <s v="9.8899-1860"/>
    <s v="R. ENGENHEIRO HELVIO FELICI, 250"/>
    <s v="MORADA DA COLINA"/>
    <s v="38411-114"/>
    <m/>
    <s v="MARIA LÚCIA"/>
    <x v="2"/>
    <n v="1"/>
    <n v="40"/>
    <n v="40"/>
    <m/>
    <x v="1"/>
  </r>
  <r>
    <n v="1025"/>
    <x v="13"/>
    <x v="21"/>
    <x v="76"/>
    <s v="9.8878-1706"/>
    <s v="R. ATHOS PARANHOS VELOSO, 1046 (ESTÁ CORRETO)"/>
    <s v=" TUBALINA "/>
    <s v="38412-076"/>
    <s v="1/2muss/ 1/2calab"/>
    <m/>
    <x v="4"/>
    <n v="1"/>
    <n v="40"/>
    <n v="40"/>
    <m/>
    <x v="1"/>
  </r>
  <r>
    <n v="1024"/>
    <x v="13"/>
    <x v="21"/>
    <x v="116"/>
    <s v="99661-5002"/>
    <s v="AV. PAULO GRACINDO, 1000 - COND. GAVEA PARADISO - ALAMEDA GAVIAO REAL, 90"/>
    <s v="COND. GAVEA PARADISO"/>
    <s v="38411-145"/>
    <s v="quebrar linha"/>
    <m/>
    <x v="2"/>
    <n v="1"/>
    <n v="40"/>
    <n v="40"/>
    <m/>
    <x v="1"/>
  </r>
  <r>
    <n v="1023"/>
    <x v="13"/>
    <x v="12"/>
    <x v="90"/>
    <n v="0"/>
    <n v="0"/>
    <n v="0"/>
    <m/>
    <m/>
    <s v="XANDE/ELIS"/>
    <x v="2"/>
    <n v="2"/>
    <n v="40"/>
    <n v="40"/>
    <m/>
    <x v="1"/>
  </r>
  <r>
    <n v="1021"/>
    <x v="13"/>
    <x v="12"/>
    <x v="91"/>
    <s v="9.9976-5102"/>
    <n v="0"/>
    <s v="CEDEL"/>
    <m/>
    <m/>
    <s v="XANDE/ELIS"/>
    <x v="0"/>
    <n v="1"/>
    <n v="40"/>
    <n v="40"/>
    <m/>
    <x v="1"/>
  </r>
  <r>
    <n v="1021"/>
    <x v="13"/>
    <x v="12"/>
    <x v="91"/>
    <s v="9.9976-5102"/>
    <n v="0"/>
    <s v="CEDEL"/>
    <m/>
    <m/>
    <s v="XANDE/ELIS"/>
    <x v="1"/>
    <n v="1"/>
    <n v="40"/>
    <n v="40"/>
    <m/>
    <x v="1"/>
  </r>
  <r>
    <n v="1021"/>
    <x v="13"/>
    <x v="12"/>
    <x v="91"/>
    <s v="9.9976-5102"/>
    <n v="0"/>
    <s v="CEDEL"/>
    <m/>
    <m/>
    <s v="XANDE/ELIS"/>
    <x v="2"/>
    <n v="1"/>
    <n v="40"/>
    <n v="40"/>
    <m/>
    <x v="1"/>
  </r>
  <r>
    <n v="1020"/>
    <x v="13"/>
    <x v="12"/>
    <x v="92"/>
    <s v=" 9973-9967"/>
    <n v="0"/>
    <n v="0"/>
    <m/>
    <m/>
    <s v="XANDE/ELIS"/>
    <x v="1"/>
    <n v="1"/>
    <n v="40"/>
    <n v="40"/>
    <m/>
    <x v="1"/>
  </r>
  <r>
    <n v="1020"/>
    <x v="13"/>
    <x v="12"/>
    <x v="92"/>
    <s v=" 9973-9967"/>
    <n v="0"/>
    <n v="0"/>
    <m/>
    <m/>
    <s v="XANDE/ELIS"/>
    <x v="3"/>
    <n v="1"/>
    <n v="40"/>
    <n v="40"/>
    <m/>
    <x v="1"/>
  </r>
  <r>
    <n v="1019"/>
    <x v="13"/>
    <x v="12"/>
    <x v="4"/>
    <s v="9.9197-7955"/>
    <n v="0"/>
    <s v="CEDEL"/>
    <m/>
    <m/>
    <s v="LEOBALDO"/>
    <x v="1"/>
    <n v="2"/>
    <n v="40"/>
    <n v="80"/>
    <m/>
    <x v="1"/>
  </r>
  <r>
    <n v="1018"/>
    <x v="13"/>
    <x v="12"/>
    <x v="75"/>
    <s v="9.9932-1907"/>
    <s v="RUA FRANCISCO RODRIGUES SERRALHA, 350 CONDOMINIO UCHOA BLOCO 27 APTO 402"/>
    <s v="CHACARAS TUBALINA"/>
    <s v="38413-297"/>
    <s v="QUEBRAR LINHA"/>
    <m/>
    <x v="1"/>
    <n v="1"/>
    <n v="40"/>
    <n v="40"/>
    <n v="40"/>
    <x v="2"/>
  </r>
  <r>
    <n v="1017"/>
    <x v="13"/>
    <x v="19"/>
    <x v="127"/>
    <s v="9.9237-0104"/>
    <s v="Rua EmIlia Fernandes de Brito, 113"/>
    <s v="JD AMERICA"/>
    <s v="38401-768"/>
    <m/>
    <m/>
    <x v="2"/>
    <n v="1"/>
    <n v="40"/>
    <n v="40"/>
    <m/>
    <x v="1"/>
  </r>
  <r>
    <n v="1016"/>
    <x v="13"/>
    <x v="19"/>
    <x v="33"/>
    <s v="99942-3020"/>
    <s v="RUA CIPRIANO DEL FAVERO 659 APTº 1200  "/>
    <s v=" CENTRO "/>
    <s v="38400-106"/>
    <m/>
    <m/>
    <x v="2"/>
    <n v="1"/>
    <n v="40"/>
    <n v="40"/>
    <m/>
    <x v="1"/>
  </r>
  <r>
    <n v="1016"/>
    <x v="13"/>
    <x v="19"/>
    <x v="33"/>
    <s v="99942-3020"/>
    <s v="RUA CIPRIANO DEL FAVERO 659 APTº 1200  "/>
    <s v=" CENTRO "/>
    <s v="38400-106"/>
    <m/>
    <m/>
    <x v="3"/>
    <n v="1"/>
    <n v="40"/>
    <n v="40"/>
    <m/>
    <x v="1"/>
  </r>
  <r>
    <n v="1015"/>
    <x v="13"/>
    <x v="19"/>
    <x v="10"/>
    <s v="3213-2775"/>
    <s v="R. PEDRO QUIRINO DA SILVA, 341 "/>
    <s v="MARTA HELENA "/>
    <s v="38402-075"/>
    <s v="RODRIGO/ZÉ"/>
    <m/>
    <x v="1"/>
    <n v="2"/>
    <n v="40"/>
    <n v="80"/>
    <m/>
    <x v="1"/>
  </r>
  <r>
    <n v="1014"/>
    <x v="13"/>
    <x v="22"/>
    <x v="168"/>
    <s v="9.9141-7904"/>
    <n v="0"/>
    <n v="0"/>
    <m/>
    <m/>
    <m/>
    <x v="0"/>
    <n v="1"/>
    <n v="40"/>
    <n v="40"/>
    <m/>
    <x v="1"/>
  </r>
  <r>
    <n v="1014"/>
    <x v="13"/>
    <x v="22"/>
    <x v="168"/>
    <s v="9.9141-7904"/>
    <n v="0"/>
    <n v="0"/>
    <m/>
    <m/>
    <m/>
    <x v="2"/>
    <n v="1"/>
    <n v="40"/>
    <n v="40"/>
    <m/>
    <x v="1"/>
  </r>
  <r>
    <n v="1013"/>
    <x v="13"/>
    <x v="10"/>
    <x v="60"/>
    <n v="0"/>
    <n v="0"/>
    <n v="0"/>
    <m/>
    <s v="COBRAR 3 - FALE"/>
    <m/>
    <x v="1"/>
    <n v="2"/>
    <n v="40"/>
    <n v="80"/>
    <m/>
    <x v="1"/>
  </r>
  <r>
    <n v="1012"/>
    <x v="13"/>
    <x v="2"/>
    <x v="140"/>
    <s v="9.9811-4187"/>
    <s v="RUA TUPACIGUARA 400 AP 701  - ENTREGA ATE 13H"/>
    <s v="APARECIDA"/>
    <s v="38400-618"/>
    <m/>
    <m/>
    <x v="0"/>
    <n v="3"/>
    <n v="40"/>
    <n v="120"/>
    <m/>
    <x v="1"/>
  </r>
  <r>
    <n v="1011"/>
    <x v="13"/>
    <x v="17"/>
    <x v="59"/>
    <s v="9.9135-7263"/>
    <s v="Rua Pica Paus 1750, condomínio Jardins Roma, Rua Copaibeiras 95"/>
    <s v="NOVA UBERLANDIA"/>
    <s v="38412-641"/>
    <m/>
    <s v="RODOLFO"/>
    <x v="0"/>
    <n v="1"/>
    <n v="40"/>
    <n v="40"/>
    <m/>
    <x v="1"/>
  </r>
  <r>
    <n v="1011"/>
    <x v="13"/>
    <x v="17"/>
    <x v="59"/>
    <s v="9.9135-7263"/>
    <s v="Rua Pica Paus 1750, condomínio Jardins Roma, Rua Copaibeiras 95"/>
    <s v="NOVA UBERLANDIA"/>
    <s v="38412-641"/>
    <m/>
    <s v="RODOLFO"/>
    <x v="1"/>
    <n v="1"/>
    <n v="40"/>
    <n v="40"/>
    <m/>
    <x v="1"/>
  </r>
  <r>
    <n v="1010"/>
    <x v="13"/>
    <x v="17"/>
    <x v="58"/>
    <s v="99147-8758"/>
    <n v="0"/>
    <n v="0"/>
    <m/>
    <m/>
    <s v="RODOLFO"/>
    <x v="0"/>
    <n v="2"/>
    <n v="40"/>
    <n v="80"/>
    <m/>
    <x v="1"/>
  </r>
  <r>
    <n v="1009"/>
    <x v="13"/>
    <x v="17"/>
    <x v="62"/>
    <s v="99676-2593 "/>
    <s v="R. ANITA 125 PASSARELA AV. LIBERDADE ALTAMIRA"/>
    <s v="MORADA DA COLINA"/>
    <s v="38411-014"/>
    <m/>
    <s v="MILVAR"/>
    <x v="2"/>
    <n v="1"/>
    <n v="40"/>
    <n v="40"/>
    <m/>
    <x v="1"/>
  </r>
  <r>
    <n v="1009"/>
    <x v="13"/>
    <x v="17"/>
    <x v="62"/>
    <s v="99676-2593 "/>
    <s v="R. ANITA 125 PASSARELA AV. LIBERDADE ALTAMIRA"/>
    <s v="MORADA DA COLINA"/>
    <s v="38411-014"/>
    <m/>
    <s v="MILVAR"/>
    <x v="3"/>
    <n v="1"/>
    <n v="40"/>
    <n v="40"/>
    <m/>
    <x v="1"/>
  </r>
  <r>
    <n v="1008"/>
    <x v="13"/>
    <x v="7"/>
    <x v="41"/>
    <s v="99133-6005"/>
    <s v="RUA CAXAMBU, 284 - AP 103"/>
    <s v=" OSVALDO RESENDE "/>
    <s v="38400-418"/>
    <m/>
    <m/>
    <x v="0"/>
    <n v="1"/>
    <n v="40"/>
    <n v="40"/>
    <n v="40"/>
    <x v="2"/>
  </r>
  <r>
    <n v="1007"/>
    <x v="13"/>
    <x v="7"/>
    <x v="39"/>
    <s v="98803-5267"/>
    <s v="RUA CAMPO RUPESTRE, 193"/>
    <s v=" JD. BOTANICO "/>
    <s v="38410-664"/>
    <m/>
    <m/>
    <x v="1"/>
    <n v="1"/>
    <n v="40"/>
    <n v="40"/>
    <n v="40"/>
    <x v="2"/>
  </r>
  <r>
    <n v="1006"/>
    <x v="13"/>
    <x v="7"/>
    <x v="40"/>
    <s v="98845-0023"/>
    <s v="RUA PROF. CIRO DE CASTRO ALMEIDA, 1576"/>
    <s v="CUSTODIO PEREIRA"/>
    <s v="38405-250"/>
    <m/>
    <m/>
    <x v="0"/>
    <n v="1"/>
    <n v="40"/>
    <n v="40"/>
    <n v="40"/>
    <x v="2"/>
  </r>
  <r>
    <n v="1006"/>
    <x v="13"/>
    <x v="7"/>
    <x v="40"/>
    <s v="98845-0023"/>
    <s v="RUA PROF. CIRO DE CASTRO ALMEIDA, 1576"/>
    <s v="CUSTODIO PEREIRA"/>
    <s v="38405-250"/>
    <m/>
    <m/>
    <x v="2"/>
    <n v="1"/>
    <n v="40"/>
    <n v="40"/>
    <n v="40"/>
    <x v="2"/>
  </r>
  <r>
    <n v="1005"/>
    <x v="13"/>
    <x v="17"/>
    <x v="161"/>
    <s v="99669-6170"/>
    <s v="RUA PROF. CIRO DE CASTRO ALMEIDA, 1576"/>
    <s v="CUSTODIO PEREIRA"/>
    <s v="38405-250"/>
    <m/>
    <m/>
    <x v="2"/>
    <n v="1"/>
    <n v="40"/>
    <n v="40"/>
    <n v="40"/>
    <x v="2"/>
  </r>
  <r>
    <n v="1005"/>
    <x v="13"/>
    <x v="17"/>
    <x v="161"/>
    <s v="99669-6170"/>
    <s v="RUA PROF. CIRO DE CASTRO ALMEIDA, 1576"/>
    <s v="CUSTODIO PEREIRA"/>
    <s v="38405-250"/>
    <m/>
    <m/>
    <x v="3"/>
    <n v="1"/>
    <n v="40"/>
    <n v="40"/>
    <n v="40"/>
    <x v="2"/>
  </r>
  <r>
    <n v="1004"/>
    <x v="13"/>
    <x v="4"/>
    <x v="178"/>
    <s v="9.9817-1174"/>
    <s v="RUA BENJAMIM CONSTANT, 296"/>
    <s v="APARECIDA"/>
    <s v="38400-676"/>
    <s v="RECEBER 80"/>
    <m/>
    <x v="2"/>
    <n v="1"/>
    <n v="40"/>
    <n v="40"/>
    <m/>
    <x v="1"/>
  </r>
  <r>
    <n v="1003"/>
    <x v="13"/>
    <x v="9"/>
    <x v="179"/>
    <s v="9.9673-3900"/>
    <s v="AV. VEREADOR CARLITO CORDEIRO, Nº 2315 - CONDOMINIO SPLENDIDO - INTERNO: R. 09, N° 150."/>
    <s v="JD KARAIBA"/>
    <s v="38410-665"/>
    <m/>
    <m/>
    <x v="1"/>
    <n v="1"/>
    <n v="40"/>
    <n v="40"/>
    <m/>
    <x v="1"/>
  </r>
  <r>
    <n v="1002"/>
    <x v="13"/>
    <x v="9"/>
    <x v="10"/>
    <s v="3213-2775"/>
    <s v="R. PEDRO QUIRINO DA SILVA, 341 "/>
    <s v="MARTA HELENA "/>
    <s v="38402-075"/>
    <s v="MARCELO"/>
    <m/>
    <x v="1"/>
    <n v="5"/>
    <n v="40"/>
    <n v="200"/>
    <m/>
    <x v="1"/>
  </r>
  <r>
    <n v="1001"/>
    <x v="13"/>
    <x v="9"/>
    <x v="46"/>
    <s v="9.9971-2853/ 9.9997-2853"/>
    <s v="ALAMEDA ALFREDO PETRI, 161"/>
    <s v="JD KARAIBA"/>
    <s v="38411-200"/>
    <m/>
    <m/>
    <x v="1"/>
    <n v="1"/>
    <n v="40"/>
    <n v="40"/>
    <m/>
    <x v="1"/>
  </r>
  <r>
    <n v="1000"/>
    <x v="13"/>
    <x v="9"/>
    <x v="95"/>
    <s v="9.9222-2656"/>
    <s v="ALAMEDA BENETIDO JOSE DE SOUZA, Nº 81"/>
    <s v=" JD HOLANDA "/>
    <s v="38412-887"/>
    <m/>
    <m/>
    <x v="2"/>
    <n v="1"/>
    <n v="40"/>
    <n v="40"/>
    <m/>
    <x v="1"/>
  </r>
  <r>
    <n v="999"/>
    <x v="13"/>
    <x v="9"/>
    <x v="49"/>
    <n v="0"/>
    <s v="RUA JOSE PIRES DEFENSOR, 600, CASA 28"/>
    <n v="0"/>
    <m/>
    <m/>
    <s v="CEDEL"/>
    <x v="1"/>
    <n v="1"/>
    <n v="40"/>
    <n v="40"/>
    <m/>
    <x v="1"/>
  </r>
  <r>
    <n v="998"/>
    <x v="13"/>
    <x v="11"/>
    <x v="180"/>
    <s v="99149-6210"/>
    <n v="0"/>
    <n v="0"/>
    <m/>
    <m/>
    <s v="CEDEL"/>
    <x v="2"/>
    <n v="1"/>
    <n v="40"/>
    <n v="40"/>
    <m/>
    <x v="1"/>
  </r>
  <r>
    <n v="997"/>
    <x v="13"/>
    <x v="11"/>
    <x v="64"/>
    <n v="0"/>
    <n v="0"/>
    <n v="0"/>
    <m/>
    <m/>
    <m/>
    <x v="1"/>
    <n v="1"/>
    <n v="40"/>
    <n v="40"/>
    <m/>
    <x v="1"/>
  </r>
  <r>
    <n v="996"/>
    <x v="13"/>
    <x v="15"/>
    <x v="86"/>
    <s v="9.9166-1547"/>
    <n v="0"/>
    <s v="CEDEL"/>
    <m/>
    <m/>
    <s v="RODOLFO"/>
    <x v="0"/>
    <n v="2"/>
    <n v="40"/>
    <n v="80"/>
    <m/>
    <x v="1"/>
  </r>
  <r>
    <n v="996"/>
    <x v="13"/>
    <x v="15"/>
    <x v="86"/>
    <s v="9.9166-1547"/>
    <n v="0"/>
    <s v="CEDEL"/>
    <m/>
    <m/>
    <s v="RODOLFO"/>
    <x v="1"/>
    <n v="1"/>
    <n v="40"/>
    <n v="40"/>
    <m/>
    <x v="1"/>
  </r>
  <r>
    <n v="996"/>
    <x v="13"/>
    <x v="15"/>
    <x v="86"/>
    <s v="9.9166-1547"/>
    <n v="0"/>
    <s v="CEDEL"/>
    <m/>
    <m/>
    <s v="RODOLFO"/>
    <x v="2"/>
    <n v="2"/>
    <n v="40"/>
    <n v="80"/>
    <m/>
    <x v="1"/>
  </r>
  <r>
    <n v="996"/>
    <x v="13"/>
    <x v="15"/>
    <x v="86"/>
    <s v="9.9166-1547"/>
    <n v="0"/>
    <s v="CEDEL"/>
    <m/>
    <m/>
    <s v="RODOLFO"/>
    <x v="3"/>
    <n v="1"/>
    <n v="40"/>
    <n v="40"/>
    <m/>
    <x v="1"/>
  </r>
  <r>
    <n v="995"/>
    <x v="13"/>
    <x v="23"/>
    <x v="3"/>
    <s v="99979-5832"/>
    <n v="0"/>
    <n v="0"/>
    <m/>
    <m/>
    <m/>
    <x v="2"/>
    <n v="1"/>
    <n v="40"/>
    <n v="40"/>
    <m/>
    <x v="1"/>
  </r>
  <r>
    <n v="994"/>
    <x v="13"/>
    <x v="20"/>
    <x v="8"/>
    <s v="9.9149-1390"/>
    <n v="0"/>
    <s v="CEDEL"/>
    <m/>
    <m/>
    <m/>
    <x v="2"/>
    <n v="1"/>
    <n v="40"/>
    <n v="40"/>
    <m/>
    <x v="1"/>
  </r>
  <r>
    <n v="993"/>
    <x v="14"/>
    <x v="21"/>
    <x v="51"/>
    <s v="9.9140-5267"/>
    <s v="AV. VIRGILIO CARRIJO, 290"/>
    <s v="MARTA HELENA "/>
    <s v="38402-248"/>
    <m/>
    <m/>
    <x v="1"/>
    <n v="3"/>
    <n v="40"/>
    <n v="120"/>
    <n v="120"/>
    <x v="2"/>
  </r>
  <r>
    <n v="992"/>
    <x v="14"/>
    <x v="21"/>
    <x v="181"/>
    <n v="0"/>
    <n v="0"/>
    <n v="0"/>
    <m/>
    <m/>
    <s v="MARIA LÚCIA"/>
    <x v="2"/>
    <n v="1"/>
    <n v="40"/>
    <n v="40"/>
    <m/>
    <x v="1"/>
  </r>
  <r>
    <n v="991"/>
    <x v="14"/>
    <x v="21"/>
    <x v="182"/>
    <s v="9.9811-0013"/>
    <s v="R. AGESILAU PASCHOAL GRECO, 200"/>
    <s v="MORADA DA COLINA"/>
    <s v="38411-112"/>
    <s v="SEM ORÉGANO"/>
    <s v="MARIA LÚCIA"/>
    <x v="1"/>
    <n v="1"/>
    <n v="40"/>
    <n v="40"/>
    <m/>
    <x v="1"/>
  </r>
  <r>
    <n v="990"/>
    <x v="14"/>
    <x v="21"/>
    <x v="21"/>
    <s v="9.9670-9884"/>
    <s v="R. AGESILAU PASCHOAL GRECO, 318"/>
    <s v="MORADA DA COLINA"/>
    <s v="38411-112"/>
    <m/>
    <s v="MARIA LÚCIA"/>
    <x v="3"/>
    <n v="1"/>
    <n v="40"/>
    <n v="40"/>
    <m/>
    <x v="1"/>
  </r>
  <r>
    <n v="989"/>
    <x v="14"/>
    <x v="21"/>
    <x v="31"/>
    <s v="9.8899-1860"/>
    <s v="R. ENGENHEIRO HELVIO FELICI, 250"/>
    <s v="MORADA DA COLINA"/>
    <s v="38411-114"/>
    <m/>
    <s v="MARIA LÚCIA"/>
    <x v="2"/>
    <n v="1"/>
    <n v="40"/>
    <n v="40"/>
    <m/>
    <x v="1"/>
  </r>
  <r>
    <n v="988"/>
    <x v="14"/>
    <x v="21"/>
    <x v="12"/>
    <s v="9.9670-9884"/>
    <s v="R. AGESILAU PASCHOAL GRECO, 318"/>
    <s v="MORADA DA COLINA"/>
    <s v="38411-112"/>
    <m/>
    <s v="MARIA LÚCIA"/>
    <x v="2"/>
    <n v="1"/>
    <n v="40"/>
    <n v="40"/>
    <m/>
    <x v="1"/>
  </r>
  <r>
    <n v="987"/>
    <x v="14"/>
    <x v="21"/>
    <x v="183"/>
    <s v="9.9895-9932"/>
    <s v="AV. CONSTELAÇAO, 234"/>
    <s v="ROOSEVELT"/>
    <s v="38401-127"/>
    <s v="+CESTA"/>
    <m/>
    <x v="1"/>
    <n v="1"/>
    <n v="40"/>
    <n v="40"/>
    <n v="40"/>
    <x v="2"/>
  </r>
  <r>
    <n v="986"/>
    <x v="14"/>
    <x v="21"/>
    <x v="17"/>
    <n v="0"/>
    <n v="0"/>
    <n v="0"/>
    <m/>
    <m/>
    <s v="CEDEL"/>
    <x v="2"/>
    <n v="1"/>
    <n v="40"/>
    <n v="40"/>
    <n v="40"/>
    <x v="2"/>
  </r>
  <r>
    <n v="985"/>
    <x v="14"/>
    <x v="21"/>
    <x v="19"/>
    <s v=" 99155-5564 / 3215-1758"/>
    <s v="AV. CESARIO CROSARA, 3525"/>
    <s v=" ROOSEVELT "/>
    <s v="38401-119"/>
    <m/>
    <m/>
    <x v="3"/>
    <n v="1"/>
    <n v="40"/>
    <n v="40"/>
    <m/>
    <x v="1"/>
  </r>
  <r>
    <n v="984"/>
    <x v="14"/>
    <x v="21"/>
    <x v="171"/>
    <s v="99222-7189"/>
    <s v="AV. JOSE FONSECA E SILVA, 210"/>
    <s v=" LUIZOTE DE FREITAS "/>
    <s v="38414-348"/>
    <m/>
    <m/>
    <x v="1"/>
    <n v="1"/>
    <n v="40"/>
    <n v="40"/>
    <m/>
    <x v="1"/>
  </r>
  <r>
    <n v="983"/>
    <x v="14"/>
    <x v="21"/>
    <x v="30"/>
    <s v="3213-3201/ 9.9211-0864"/>
    <s v="AV. CLARA CAMARAO, 427"/>
    <s v="N.SRA GRAÇAS"/>
    <s v="38402-010"/>
    <m/>
    <m/>
    <x v="1"/>
    <n v="1"/>
    <n v="40"/>
    <n v="40"/>
    <m/>
    <x v="1"/>
  </r>
  <r>
    <n v="983"/>
    <x v="14"/>
    <x v="21"/>
    <x v="30"/>
    <s v="3213-3201/ 9.9211-0864"/>
    <s v="AV. CLARA CAMARAO, 427"/>
    <s v="N.SRA GRAÇAS"/>
    <s v="38402-010"/>
    <m/>
    <m/>
    <x v="2"/>
    <n v="1"/>
    <n v="40"/>
    <n v="40"/>
    <m/>
    <x v="1"/>
  </r>
  <r>
    <n v="982"/>
    <x v="14"/>
    <x v="21"/>
    <x v="32"/>
    <s v="9.9171-4462"/>
    <s v="R. MONLEVADE, 852"/>
    <s v="DANIEL FONSECA"/>
    <s v="38400-320"/>
    <m/>
    <m/>
    <x v="2"/>
    <n v="2"/>
    <n v="40"/>
    <n v="80"/>
    <n v="80"/>
    <x v="2"/>
  </r>
  <r>
    <n v="981"/>
    <x v="14"/>
    <x v="21"/>
    <x v="100"/>
    <s v="9.8877-4323"/>
    <s v="R.JUDITE MOREIRA, 280"/>
    <s v="ROOSEVELT"/>
    <s v="38401-160"/>
    <m/>
    <m/>
    <x v="2"/>
    <n v="1"/>
    <n v="40"/>
    <n v="40"/>
    <m/>
    <x v="1"/>
  </r>
  <r>
    <n v="980"/>
    <x v="14"/>
    <x v="21"/>
    <x v="25"/>
    <s v="99148-4283"/>
    <s v="R. JADE, 45 "/>
    <s v="JD. BOTANICO"/>
    <s v="38411-634"/>
    <m/>
    <m/>
    <x v="2"/>
    <n v="1"/>
    <n v="40"/>
    <n v="40"/>
    <m/>
    <x v="1"/>
  </r>
  <r>
    <n v="979"/>
    <x v="14"/>
    <x v="21"/>
    <x v="80"/>
    <s v="99240-5393"/>
    <s v="R. RIO DE JANEIRO, 932 APTO 101"/>
    <s v=" BRASIL "/>
    <s v="38400-658"/>
    <m/>
    <m/>
    <x v="0"/>
    <n v="1"/>
    <n v="40"/>
    <n v="40"/>
    <m/>
    <x v="1"/>
  </r>
  <r>
    <n v="978"/>
    <x v="14"/>
    <x v="21"/>
    <x v="29"/>
    <s v="99195-9740"/>
    <s v="AV. BELO HORIZONTE, 1786 - ESQUINA C/ R. LAMBARI"/>
    <s v=" OSVALDO RESENDE "/>
    <s v="38400-454"/>
    <m/>
    <m/>
    <x v="0"/>
    <n v="1"/>
    <n v="40"/>
    <n v="40"/>
    <m/>
    <x v="1"/>
  </r>
  <r>
    <n v="977"/>
    <x v="14"/>
    <x v="21"/>
    <x v="10"/>
    <s v="3213-2775"/>
    <s v="R. PEDRO QUIRINO DA SILVA, 341 "/>
    <s v="MARTA HELENA "/>
    <s v="38402-075"/>
    <m/>
    <m/>
    <x v="1"/>
    <n v="3"/>
    <n v="40"/>
    <n v="120"/>
    <n v="120"/>
    <x v="2"/>
  </r>
  <r>
    <n v="976"/>
    <x v="14"/>
    <x v="22"/>
    <x v="168"/>
    <s v="9.9141-7904"/>
    <n v="0"/>
    <n v="0"/>
    <m/>
    <m/>
    <s v="MARIA ADRIANA VIDIGAL "/>
    <x v="0"/>
    <n v="1"/>
    <n v="40"/>
    <n v="40"/>
    <m/>
    <x v="1"/>
  </r>
  <r>
    <n v="975"/>
    <x v="14"/>
    <x v="9"/>
    <x v="184"/>
    <s v="9.8852-3585"/>
    <s v="R. JOAO ANGELO SCHIAVINATTO, 2220, APTO 302 "/>
    <s v="SANTA MONICA"/>
    <s v="38408-272"/>
    <m/>
    <m/>
    <x v="1"/>
    <n v="1"/>
    <n v="40"/>
    <n v="40"/>
    <m/>
    <x v="1"/>
  </r>
  <r>
    <n v="974"/>
    <x v="14"/>
    <x v="19"/>
    <x v="33"/>
    <s v="99942-3020"/>
    <s v="RUA CIPRIANO DEL FAVERO 659 APTº 1200  "/>
    <s v=" CENTRO "/>
    <s v="38400-106"/>
    <m/>
    <m/>
    <x v="2"/>
    <n v="1"/>
    <n v="40"/>
    <n v="40"/>
    <m/>
    <x v="1"/>
  </r>
  <r>
    <n v="974"/>
    <x v="14"/>
    <x v="19"/>
    <x v="33"/>
    <s v="99942-3020"/>
    <s v="RUA CIPRIANO DEL FAVERO 659 APTº 1200  "/>
    <s v=" CENTRO "/>
    <s v="38400-106"/>
    <m/>
    <m/>
    <x v="3"/>
    <n v="1"/>
    <n v="40"/>
    <n v="40"/>
    <m/>
    <x v="1"/>
  </r>
  <r>
    <n v="973"/>
    <x v="14"/>
    <x v="19"/>
    <x v="10"/>
    <s v="3213-2775"/>
    <s v="R. PEDRO QUIRINO DA SILVA, 341 "/>
    <s v="MARTA HELENA "/>
    <s v="38402-075"/>
    <m/>
    <m/>
    <x v="1"/>
    <n v="2"/>
    <n v="40"/>
    <n v="80"/>
    <m/>
    <x v="1"/>
  </r>
  <r>
    <n v="972"/>
    <x v="15"/>
    <x v="12"/>
    <x v="90"/>
    <n v="0"/>
    <n v="0"/>
    <n v="0"/>
    <m/>
    <m/>
    <s v="XANDE/ELIS"/>
    <x v="2"/>
    <n v="1"/>
    <n v="40"/>
    <n v="40"/>
    <m/>
    <x v="1"/>
  </r>
  <r>
    <n v="971"/>
    <x v="15"/>
    <x v="12"/>
    <x v="91"/>
    <s v="9.9976-5102"/>
    <n v="0"/>
    <s v="CEDEL"/>
    <m/>
    <m/>
    <s v="XANDE/ELIS"/>
    <x v="0"/>
    <n v="1"/>
    <n v="40"/>
    <n v="40"/>
    <m/>
    <x v="1"/>
  </r>
  <r>
    <n v="971"/>
    <x v="15"/>
    <x v="12"/>
    <x v="91"/>
    <s v="9.9976-5102"/>
    <n v="0"/>
    <s v="CEDEL"/>
    <m/>
    <m/>
    <s v="XANDE/ELIS"/>
    <x v="1"/>
    <n v="1"/>
    <n v="40"/>
    <n v="40"/>
    <m/>
    <x v="1"/>
  </r>
  <r>
    <n v="971"/>
    <x v="15"/>
    <x v="12"/>
    <x v="91"/>
    <s v="9.9976-5102"/>
    <n v="0"/>
    <s v="CEDEL"/>
    <m/>
    <m/>
    <s v="XANDE/ELIS"/>
    <x v="2"/>
    <n v="1"/>
    <n v="40"/>
    <n v="40"/>
    <m/>
    <x v="1"/>
  </r>
  <r>
    <n v="970"/>
    <x v="15"/>
    <x v="12"/>
    <x v="92"/>
    <s v=" 9973-9967"/>
    <n v="0"/>
    <n v="0"/>
    <m/>
    <m/>
    <s v="XANDE/ELIS"/>
    <x v="1"/>
    <n v="1"/>
    <n v="40"/>
    <n v="40"/>
    <m/>
    <x v="1"/>
  </r>
  <r>
    <n v="970"/>
    <x v="15"/>
    <x v="12"/>
    <x v="92"/>
    <s v=" 9973-9967"/>
    <n v="0"/>
    <n v="0"/>
    <m/>
    <m/>
    <s v="XANDE/ELIS"/>
    <x v="3"/>
    <n v="1"/>
    <n v="40"/>
    <n v="40"/>
    <m/>
    <x v="1"/>
  </r>
  <r>
    <n v="969"/>
    <x v="15"/>
    <x v="12"/>
    <x v="185"/>
    <n v="0"/>
    <s v="ALAMEDA PAUSO CESAR SANTANA , 885 -BLOCO 7 , APTO 406"/>
    <s v=" JD HOLANDA "/>
    <s v="38412-326"/>
    <m/>
    <s v="CEDEL"/>
    <x v="1"/>
    <n v="1"/>
    <n v="40"/>
    <n v="40"/>
    <m/>
    <x v="1"/>
  </r>
  <r>
    <n v="968"/>
    <x v="15"/>
    <x v="12"/>
    <x v="4"/>
    <s v="9.9197-7955"/>
    <n v="0"/>
    <s v="CEDEL"/>
    <m/>
    <m/>
    <m/>
    <x v="1"/>
    <n v="2"/>
    <n v="40"/>
    <n v="80"/>
    <m/>
    <x v="1"/>
  </r>
  <r>
    <n v="967"/>
    <x v="15"/>
    <x v="12"/>
    <x v="75"/>
    <s v="9.9932-1907"/>
    <s v="RUA FRANCISCO RODRIGUES SERRALHA, 350 CONDOMINIO UCHOA BLOCO 27 APTO 402"/>
    <s v="CHACARAS TUBALINA"/>
    <s v="38413-297"/>
    <m/>
    <m/>
    <x v="1"/>
    <n v="1"/>
    <n v="40"/>
    <n v="40"/>
    <n v="40"/>
    <x v="2"/>
  </r>
  <r>
    <n v="966"/>
    <x v="15"/>
    <x v="7"/>
    <x v="40"/>
    <s v="98845-0023"/>
    <s v="RUA PROF. CIRO DE CASTRO ALMEIDA, 1576"/>
    <s v="CUSTODIO PEREIRA"/>
    <s v="38405-250"/>
    <m/>
    <m/>
    <x v="0"/>
    <n v="1"/>
    <n v="40"/>
    <n v="40"/>
    <n v="40"/>
    <x v="2"/>
  </r>
  <r>
    <n v="966"/>
    <x v="15"/>
    <x v="7"/>
    <x v="40"/>
    <s v="98845-0023"/>
    <s v="RUA PROF. CIRO DE CASTRO ALMEIDA, 1576"/>
    <s v="CUSTODIO PEREIRA"/>
    <s v="38405-250"/>
    <m/>
    <m/>
    <x v="2"/>
    <n v="1"/>
    <n v="40"/>
    <n v="40"/>
    <n v="40"/>
    <x v="2"/>
  </r>
  <r>
    <n v="965"/>
    <x v="15"/>
    <x v="7"/>
    <x v="41"/>
    <s v="99133-6005"/>
    <s v="RUA PROF. CIRO DE CASTRO ALMEIDA, 1576"/>
    <s v="CUSTODIO PEREIRA"/>
    <s v="38405-250"/>
    <m/>
    <m/>
    <x v="0"/>
    <n v="1"/>
    <n v="40"/>
    <n v="40"/>
    <n v="40"/>
    <x v="2"/>
  </r>
  <r>
    <n v="964"/>
    <x v="15"/>
    <x v="7"/>
    <x v="39"/>
    <s v="98803-5267"/>
    <s v="RUA CAMPO RUPESTRE, 193"/>
    <s v=" JD. BOTANICO "/>
    <s v="38410-664"/>
    <m/>
    <m/>
    <x v="1"/>
    <n v="1"/>
    <n v="40"/>
    <n v="40"/>
    <n v="40"/>
    <x v="2"/>
  </r>
  <r>
    <n v="963"/>
    <x v="15"/>
    <x v="17"/>
    <x v="62"/>
    <s v="99676-2593 "/>
    <s v="R. ANITA 125 PASSARELA AV. LIBERDADE ALTAMIRA"/>
    <s v="MORADA DA COLINA"/>
    <s v="38411-014"/>
    <m/>
    <s v="MILVAR"/>
    <x v="2"/>
    <n v="1"/>
    <n v="40"/>
    <n v="40"/>
    <m/>
    <x v="1"/>
  </r>
  <r>
    <n v="963"/>
    <x v="15"/>
    <x v="17"/>
    <x v="62"/>
    <s v="99676-2593 "/>
    <s v="R. ANITA 125 PASSARELA AV. LIBERDADE ALTAMIRA"/>
    <s v="MORADA DA COLINA"/>
    <s v="38411-014"/>
    <m/>
    <s v="MILVAR"/>
    <x v="3"/>
    <n v="1"/>
    <n v="40"/>
    <n v="40"/>
    <m/>
    <x v="1"/>
  </r>
  <r>
    <n v="962"/>
    <x v="15"/>
    <x v="17"/>
    <x v="161"/>
    <s v="99669-6170"/>
    <s v="RUA PROF. CIRO DE CASTRO ALMEIDA, 1576"/>
    <s v="CUSTODIO PEREIRA"/>
    <s v="38405-250"/>
    <m/>
    <m/>
    <x v="2"/>
    <n v="1"/>
    <n v="40"/>
    <n v="40"/>
    <n v="40"/>
    <x v="2"/>
  </r>
  <r>
    <n v="962"/>
    <x v="15"/>
    <x v="17"/>
    <x v="161"/>
    <s v="99669-6170"/>
    <s v="RUA PROF. CIRO DE CASTRO ALMEIDA, 1576"/>
    <s v="CUSTODIO PEREIRA"/>
    <s v="38405-250"/>
    <m/>
    <m/>
    <x v="3"/>
    <n v="1"/>
    <n v="40"/>
    <n v="40"/>
    <n v="40"/>
    <x v="2"/>
  </r>
  <r>
    <n v="961"/>
    <x v="15"/>
    <x v="17"/>
    <x v="59"/>
    <s v="9.9135-7263"/>
    <s v="Rua Pica Paus 1750, condomínio Jardins Roma, Rua Copaibeiras 95"/>
    <s v="NOVA UBERLANDIA"/>
    <s v="38412-641"/>
    <m/>
    <m/>
    <x v="0"/>
    <n v="1"/>
    <n v="40"/>
    <n v="40"/>
    <m/>
    <x v="1"/>
  </r>
  <r>
    <n v="961"/>
    <x v="15"/>
    <x v="17"/>
    <x v="59"/>
    <s v="9.9135-7263"/>
    <s v="Rua Pica Paus 1750, condomínio Jardins Roma, Rua Copaibeiras 95"/>
    <s v="NOVA UBERLANDIA"/>
    <s v="38412-641"/>
    <m/>
    <m/>
    <x v="1"/>
    <n v="1"/>
    <n v="40"/>
    <n v="40"/>
    <m/>
    <x v="1"/>
  </r>
  <r>
    <n v="960"/>
    <x v="15"/>
    <x v="17"/>
    <x v="58"/>
    <s v="99147-8758"/>
    <n v="0"/>
    <n v="0"/>
    <m/>
    <m/>
    <m/>
    <x v="0"/>
    <n v="2"/>
    <n v="40"/>
    <n v="80"/>
    <m/>
    <x v="1"/>
  </r>
  <r>
    <n v="959"/>
    <x v="15"/>
    <x v="8"/>
    <x v="42"/>
    <n v="0"/>
    <n v="0"/>
    <n v="0"/>
    <m/>
    <m/>
    <s v="LEONIDAS"/>
    <x v="0"/>
    <n v="2"/>
    <n v="40"/>
    <n v="80"/>
    <m/>
    <x v="1"/>
  </r>
  <r>
    <n v="959"/>
    <x v="15"/>
    <x v="8"/>
    <x v="42"/>
    <n v="0"/>
    <n v="0"/>
    <n v="0"/>
    <m/>
    <m/>
    <s v="LEONIDAS"/>
    <x v="1"/>
    <n v="1"/>
    <n v="40"/>
    <n v="40"/>
    <m/>
    <x v="1"/>
  </r>
  <r>
    <n v="959"/>
    <x v="15"/>
    <x v="8"/>
    <x v="42"/>
    <n v="0"/>
    <n v="0"/>
    <n v="0"/>
    <m/>
    <m/>
    <s v="LEONIDAS"/>
    <x v="2"/>
    <n v="2"/>
    <n v="40"/>
    <n v="80"/>
    <m/>
    <x v="1"/>
  </r>
  <r>
    <n v="958"/>
    <x v="15"/>
    <x v="4"/>
    <x v="186"/>
    <s v="9.9978-0317"/>
    <s v="AV. CESARIO CROSARA 2507 "/>
    <s v="ROOSEVELT"/>
    <s v="38401-119"/>
    <s v="ENTREGAR DE MANHÃ"/>
    <s v="MARCIA"/>
    <x v="0"/>
    <n v="1"/>
    <n v="40"/>
    <n v="40"/>
    <m/>
    <x v="1"/>
  </r>
  <r>
    <n v="958"/>
    <x v="15"/>
    <x v="4"/>
    <x v="186"/>
    <s v="9.9978-0317"/>
    <s v="AV. CESARIO CROSARA 2507 "/>
    <s v="ROOSEVELT"/>
    <s v="38401-119"/>
    <s v="ENTREGAR DE MANHÃ"/>
    <s v="MARCIA"/>
    <x v="3"/>
    <n v="1"/>
    <n v="40"/>
    <n v="40"/>
    <m/>
    <x v="1"/>
  </r>
  <r>
    <n v="957"/>
    <x v="15"/>
    <x v="4"/>
    <x v="187"/>
    <s v="9.8842-2300"/>
    <n v="0"/>
    <s v="CEDEL"/>
    <m/>
    <m/>
    <s v="CEDEL"/>
    <x v="1"/>
    <n v="1"/>
    <n v="40"/>
    <n v="40"/>
    <m/>
    <x v="1"/>
  </r>
  <r>
    <n v="956"/>
    <x v="15"/>
    <x v="4"/>
    <x v="178"/>
    <s v="9.9817-1174"/>
    <s v="RUA BENJAMIM CONSTANT, 296"/>
    <s v="APARECIDA"/>
    <s v="38400-676"/>
    <m/>
    <m/>
    <x v="2"/>
    <n v="1"/>
    <n v="40"/>
    <n v="40"/>
    <m/>
    <x v="1"/>
  </r>
  <r>
    <n v="955"/>
    <x v="15"/>
    <x v="15"/>
    <x v="86"/>
    <s v="9.9166-1547"/>
    <n v="0"/>
    <s v="CEDEL"/>
    <m/>
    <m/>
    <m/>
    <x v="0"/>
    <n v="1"/>
    <n v="40"/>
    <n v="40"/>
    <m/>
    <x v="1"/>
  </r>
  <r>
    <n v="955"/>
    <x v="15"/>
    <x v="15"/>
    <x v="86"/>
    <s v="9.9166-1547"/>
    <n v="0"/>
    <s v="CEDEL"/>
    <m/>
    <m/>
    <m/>
    <x v="1"/>
    <n v="1"/>
    <n v="40"/>
    <n v="40"/>
    <m/>
    <x v="1"/>
  </r>
  <r>
    <n v="955"/>
    <x v="15"/>
    <x v="15"/>
    <x v="86"/>
    <s v="9.9166-1547"/>
    <n v="0"/>
    <s v="CEDEL"/>
    <m/>
    <m/>
    <m/>
    <x v="2"/>
    <n v="1"/>
    <n v="40"/>
    <n v="40"/>
    <m/>
    <x v="1"/>
  </r>
  <r>
    <n v="955"/>
    <x v="15"/>
    <x v="15"/>
    <x v="86"/>
    <s v="9.9166-1547"/>
    <n v="0"/>
    <s v="CEDEL"/>
    <m/>
    <m/>
    <m/>
    <x v="3"/>
    <n v="1"/>
    <n v="40"/>
    <n v="40"/>
    <m/>
    <x v="1"/>
  </r>
  <r>
    <n v="954"/>
    <x v="15"/>
    <x v="9"/>
    <x v="49"/>
    <n v="0"/>
    <s v="RUA JOSE PIRES DEFENSOR, 600, CASA 28"/>
    <n v="0"/>
    <m/>
    <m/>
    <m/>
    <x v="1"/>
    <n v="1"/>
    <n v="40"/>
    <n v="40"/>
    <m/>
    <x v="1"/>
  </r>
  <r>
    <n v="953"/>
    <x v="15"/>
    <x v="9"/>
    <x v="179"/>
    <s v="9.9673-3900"/>
    <s v="AV. VEREADOR CARLITO CORDEIRO, Nº 2315 - CONDOMINIO SPLENDIDO - INTERNO: R. 09, N° 150."/>
    <s v="JD KARAIBA"/>
    <s v="38410-665"/>
    <m/>
    <m/>
    <x v="1"/>
    <n v="1"/>
    <n v="40"/>
    <n v="40"/>
    <m/>
    <x v="1"/>
  </r>
  <r>
    <n v="953"/>
    <x v="15"/>
    <x v="9"/>
    <x v="179"/>
    <s v="9.9673-3900"/>
    <s v="AV. VEREADOR CARLITO CORDEIRO, Nº 2315 - CONDOMINIO SPLENDIDO - INTERNO: R. 09, N° 150."/>
    <s v="JD KARAIBA"/>
    <s v="38410-665"/>
    <m/>
    <m/>
    <x v="2"/>
    <n v="1"/>
    <n v="40"/>
    <n v="40"/>
    <m/>
    <x v="1"/>
  </r>
  <r>
    <n v="952"/>
    <x v="15"/>
    <x v="9"/>
    <x v="46"/>
    <s v="9.9971-2853/ 9.9997-2853"/>
    <s v="ALAMEDA ALFREDO PETRI, 161"/>
    <s v="JD KARAIBA"/>
    <s v="38411-200"/>
    <m/>
    <m/>
    <x v="1"/>
    <n v="1"/>
    <n v="40"/>
    <n v="40"/>
    <m/>
    <x v="1"/>
  </r>
  <r>
    <n v="951"/>
    <x v="15"/>
    <x v="9"/>
    <x v="95"/>
    <s v="9.9222-2656"/>
    <s v="ALAMEDA BENETIDO JOSE DE SOUZA, Nº 81"/>
    <s v=" JD HOLANDA "/>
    <s v="38412-887"/>
    <m/>
    <m/>
    <x v="2"/>
    <n v="1"/>
    <n v="40"/>
    <n v="40"/>
    <m/>
    <x v="1"/>
  </r>
  <r>
    <n v="950"/>
    <x v="15"/>
    <x v="9"/>
    <x v="10"/>
    <s v="3213-2775"/>
    <s v="R. PEDRO QUIRINO DA SILVA, 341 "/>
    <s v="MARTA HELENA "/>
    <s v="38402-075"/>
    <s v="MARCELO"/>
    <m/>
    <x v="1"/>
    <n v="5"/>
    <n v="40"/>
    <n v="200"/>
    <m/>
    <x v="1"/>
  </r>
  <r>
    <n v="949"/>
    <x v="15"/>
    <x v="2"/>
    <x v="140"/>
    <s v="9.9811-4187"/>
    <s v="RUA TUPACIGUARA 400 AP 701  - ENTREGA ATE 13H"/>
    <s v="APARECIDA"/>
    <s v="38400-618"/>
    <m/>
    <m/>
    <x v="0"/>
    <n v="3"/>
    <n v="40"/>
    <n v="120"/>
    <m/>
    <x v="1"/>
  </r>
  <r>
    <n v="948"/>
    <x v="15"/>
    <x v="20"/>
    <x v="8"/>
    <s v="9.9149-1390"/>
    <n v="0"/>
    <s v="CEDEL"/>
    <m/>
    <m/>
    <m/>
    <x v="2"/>
    <n v="1"/>
    <n v="40"/>
    <n v="40"/>
    <m/>
    <x v="1"/>
  </r>
  <r>
    <n v="948"/>
    <x v="15"/>
    <x v="20"/>
    <x v="8"/>
    <s v="9.9149-1390"/>
    <n v="0"/>
    <s v="CEDEL"/>
    <m/>
    <m/>
    <m/>
    <x v="3"/>
    <n v="1"/>
    <n v="40"/>
    <n v="40"/>
    <m/>
    <x v="1"/>
  </r>
  <r>
    <n v="946"/>
    <x v="15"/>
    <x v="10"/>
    <x v="60"/>
    <n v="0"/>
    <n v="0"/>
    <n v="0"/>
    <m/>
    <m/>
    <m/>
    <x v="1"/>
    <n v="2"/>
    <n v="40"/>
    <n v="80"/>
    <m/>
    <x v="1"/>
  </r>
  <r>
    <n v="945"/>
    <x v="15"/>
    <x v="10"/>
    <x v="10"/>
    <s v="3213-2775"/>
    <s v="R. PEDRO QUIRINO DA SILVA, 341 "/>
    <s v="MARTA HELENA "/>
    <s v="38402-075"/>
    <m/>
    <m/>
    <x v="1"/>
    <n v="1"/>
    <n v="40"/>
    <n v="40"/>
    <m/>
    <x v="1"/>
  </r>
  <r>
    <n v="944"/>
    <x v="16"/>
    <x v="10"/>
    <x v="188"/>
    <n v="0"/>
    <n v="0"/>
    <n v="0"/>
    <m/>
    <m/>
    <s v="JUNTO COM BIA"/>
    <x v="0"/>
    <n v="1"/>
    <n v="40"/>
    <n v="40"/>
    <m/>
    <x v="1"/>
  </r>
  <r>
    <n v="944"/>
    <x v="16"/>
    <x v="10"/>
    <x v="188"/>
    <n v="0"/>
    <n v="0"/>
    <n v="0"/>
    <m/>
    <m/>
    <s v="JUNTO COM BIA"/>
    <x v="2"/>
    <n v="1"/>
    <n v="40"/>
    <n v="40"/>
    <m/>
    <x v="1"/>
  </r>
  <r>
    <n v="944"/>
    <x v="16"/>
    <x v="10"/>
    <x v="188"/>
    <n v="0"/>
    <n v="0"/>
    <n v="0"/>
    <m/>
    <m/>
    <s v="JUNTO COM BIA"/>
    <x v="3"/>
    <n v="1"/>
    <n v="40"/>
    <n v="40"/>
    <m/>
    <x v="1"/>
  </r>
  <r>
    <n v="943"/>
    <x v="16"/>
    <x v="12"/>
    <x v="90"/>
    <n v="0"/>
    <n v="0"/>
    <n v="0"/>
    <m/>
    <m/>
    <m/>
    <x v="2"/>
    <n v="1"/>
    <n v="40"/>
    <n v="40"/>
    <n v="40"/>
    <x v="2"/>
  </r>
  <r>
    <n v="942"/>
    <x v="16"/>
    <x v="12"/>
    <x v="92"/>
    <s v=" 9973-9967"/>
    <n v="0"/>
    <n v="0"/>
    <m/>
    <m/>
    <s v="XANDE/ELIS"/>
    <x v="1"/>
    <n v="1"/>
    <n v="40"/>
    <n v="40"/>
    <n v="40"/>
    <x v="2"/>
  </r>
  <r>
    <n v="942"/>
    <x v="16"/>
    <x v="12"/>
    <x v="92"/>
    <s v=" 9973-9967"/>
    <n v="0"/>
    <n v="0"/>
    <m/>
    <m/>
    <s v="XANDE/ELIS"/>
    <x v="3"/>
    <n v="1"/>
    <n v="40"/>
    <n v="40"/>
    <n v="40"/>
    <x v="2"/>
  </r>
  <r>
    <n v="941"/>
    <x v="16"/>
    <x v="12"/>
    <x v="185"/>
    <n v="0"/>
    <s v="ALAMEDA PAUSO CESAR SANTANA , 885 -BLOCO 7 , APTO 406"/>
    <s v=" JD HOLANDA "/>
    <s v="38412-326"/>
    <m/>
    <s v="CEDEL"/>
    <x v="1"/>
    <n v="1"/>
    <n v="40"/>
    <n v="40"/>
    <m/>
    <x v="1"/>
  </r>
  <r>
    <n v="940"/>
    <x v="16"/>
    <x v="12"/>
    <x v="4"/>
    <s v="9.9197-7955"/>
    <n v="0"/>
    <s v="CEDEL"/>
    <m/>
    <m/>
    <s v="LEOBALDO"/>
    <x v="1"/>
    <n v="2"/>
    <n v="40"/>
    <n v="80"/>
    <m/>
    <x v="1"/>
  </r>
  <r>
    <n v="939"/>
    <x v="16"/>
    <x v="12"/>
    <x v="75"/>
    <s v="9.9932-1907"/>
    <s v="RUA FRANCISCO RODRIGUES SERRALHA, 350 CONDOMINIO UCHOA BLOCO 27 APTO 402"/>
    <s v="CHACARAS TUBALINA"/>
    <s v="38413-297"/>
    <m/>
    <m/>
    <x v="1"/>
    <n v="1"/>
    <n v="40"/>
    <n v="40"/>
    <m/>
    <x v="1"/>
  </r>
  <r>
    <n v="938"/>
    <x v="16"/>
    <x v="12"/>
    <x v="189"/>
    <s v="3219-8921"/>
    <s v="RUA TUIUTI 279, TEL: 99954-1904/ 98852-9621"/>
    <s v="TABAJARAS"/>
    <s v="38400-264"/>
    <m/>
    <m/>
    <x v="1"/>
    <n v="1"/>
    <n v="40"/>
    <n v="40"/>
    <m/>
    <x v="1"/>
  </r>
  <r>
    <n v="937"/>
    <x v="16"/>
    <x v="21"/>
    <x v="5"/>
    <s v="9.9120-3519"/>
    <s v="R. JOSE ANDRAUS, 738"/>
    <s v="MARTINS"/>
    <s v="38400-340"/>
    <m/>
    <m/>
    <x v="1"/>
    <n v="1"/>
    <n v="40"/>
    <n v="40"/>
    <m/>
    <x v="1"/>
  </r>
  <r>
    <n v="936"/>
    <x v="17"/>
    <x v="21"/>
    <x v="22"/>
    <s v="99977-5669"/>
    <s v="R. WATERLOO PEREIRA ALVES, 73 "/>
    <s v=" JD. PATRICIA "/>
    <s v="38414-172"/>
    <m/>
    <m/>
    <x v="2"/>
    <n v="1"/>
    <n v="40"/>
    <n v="40"/>
    <m/>
    <x v="1"/>
  </r>
  <r>
    <n v="935"/>
    <x v="17"/>
    <x v="21"/>
    <x v="98"/>
    <s v="9.9991-4357"/>
    <s v="R. MICHELE VIRNO, 4093"/>
    <s v="CUSTODIO PEREIRA"/>
    <s v="38405-190"/>
    <m/>
    <m/>
    <x v="4"/>
    <n v="1"/>
    <n v="40"/>
    <n v="40"/>
    <m/>
    <x v="1"/>
  </r>
  <r>
    <n v="934"/>
    <x v="17"/>
    <x v="21"/>
    <x v="80"/>
    <s v="99240-5393"/>
    <s v="R. RIO DE JANEIRO, 932 APTO 101"/>
    <s v=" BRASIL "/>
    <s v="38400-658"/>
    <s v="RECEBER 50"/>
    <m/>
    <x v="0"/>
    <n v="1"/>
    <n v="40"/>
    <n v="40"/>
    <m/>
    <x v="1"/>
  </r>
  <r>
    <n v="933"/>
    <x v="17"/>
    <x v="21"/>
    <x v="171"/>
    <s v="99222-7189"/>
    <s v="AV. JOSE FONSECA E SILVA, 210"/>
    <s v=" LUIZOTE DE FREITAS "/>
    <s v="38414-348"/>
    <m/>
    <m/>
    <x v="1"/>
    <n v="1"/>
    <n v="40"/>
    <n v="40"/>
    <m/>
    <x v="1"/>
  </r>
  <r>
    <n v="932"/>
    <x v="17"/>
    <x v="21"/>
    <x v="30"/>
    <s v="3213-3201/ 9.9211-0864"/>
    <s v="AV. CLARA CAMARAO, 427"/>
    <s v="N.SRA GRAÇAS"/>
    <s v="38402-010"/>
    <m/>
    <m/>
    <x v="1"/>
    <n v="1"/>
    <n v="40"/>
    <n v="40"/>
    <m/>
    <x v="1"/>
  </r>
  <r>
    <n v="932"/>
    <x v="17"/>
    <x v="21"/>
    <x v="30"/>
    <s v="3213-3201/ 9.9211-0864"/>
    <s v="AV. CLARA CAMARAO, 427"/>
    <s v="N.SRA GRAÇAS"/>
    <s v="38402-010"/>
    <m/>
    <m/>
    <x v="2"/>
    <n v="1"/>
    <n v="40"/>
    <n v="40"/>
    <m/>
    <x v="1"/>
  </r>
  <r>
    <n v="931"/>
    <x v="17"/>
    <x v="21"/>
    <x v="19"/>
    <s v=" 99155-5564 / 3215-1758"/>
    <s v="AV. CESARIO CROSARA, 3525"/>
    <s v=" ROOSEVELT "/>
    <s v="38401-119"/>
    <m/>
    <m/>
    <x v="3"/>
    <n v="1"/>
    <n v="40"/>
    <n v="40"/>
    <m/>
    <x v="1"/>
  </r>
  <r>
    <n v="930"/>
    <x v="17"/>
    <x v="21"/>
    <x v="21"/>
    <s v="9.9670-9884"/>
    <s v="R. AGESILAU PASCHOAL GRECO, 318"/>
    <s v="MORADA DA COLINA"/>
    <s v="38411-112"/>
    <m/>
    <s v="MARIA LÚCIA"/>
    <x v="3"/>
    <n v="1"/>
    <n v="40"/>
    <n v="40"/>
    <m/>
    <x v="1"/>
  </r>
  <r>
    <n v="929"/>
    <x v="17"/>
    <x v="21"/>
    <x v="17"/>
    <n v="0"/>
    <n v="0"/>
    <n v="0"/>
    <m/>
    <m/>
    <m/>
    <x v="2"/>
    <n v="1"/>
    <n v="40"/>
    <n v="40"/>
    <n v="40"/>
    <x v="2"/>
  </r>
  <r>
    <n v="928"/>
    <x v="17"/>
    <x v="21"/>
    <x v="12"/>
    <s v="9.9670-9884"/>
    <s v="R. AGESILAU PASCHOAL GRECO, 318"/>
    <s v="MORADA DA COLINA"/>
    <s v="38411-112"/>
    <m/>
    <s v="MARIA LÚCIA"/>
    <x v="2"/>
    <n v="2"/>
    <n v="40"/>
    <n v="80"/>
    <m/>
    <x v="1"/>
  </r>
  <r>
    <n v="927"/>
    <x v="17"/>
    <x v="21"/>
    <x v="32"/>
    <s v="9.9171-4462"/>
    <s v="R. MONLEVADE, 852"/>
    <s v="DANIEL FONSECA"/>
    <s v="38400-320"/>
    <m/>
    <m/>
    <x v="2"/>
    <n v="2"/>
    <n v="40"/>
    <n v="80"/>
    <m/>
    <x v="1"/>
  </r>
  <r>
    <n v="926"/>
    <x v="17"/>
    <x v="21"/>
    <x v="100"/>
    <s v="9.8877-4323"/>
    <s v="R.JUDITE MOREIRA, 280"/>
    <s v="ROOSEVELT"/>
    <s v="38401-160"/>
    <m/>
    <m/>
    <x v="2"/>
    <n v="1"/>
    <n v="40"/>
    <n v="40"/>
    <m/>
    <x v="1"/>
  </r>
  <r>
    <n v="925"/>
    <x v="17"/>
    <x v="21"/>
    <x v="29"/>
    <s v="99195-9740"/>
    <s v="AV. BELO HORIZONTE, 1786 - ESQUINA C/ R. LAMBARI"/>
    <s v=" OSVALDO RESENDE "/>
    <s v="38400-454"/>
    <s v="RECEBER 160"/>
    <m/>
    <x v="0"/>
    <n v="2"/>
    <n v="40"/>
    <n v="80"/>
    <m/>
    <x v="1"/>
  </r>
  <r>
    <n v="924"/>
    <x v="17"/>
    <x v="21"/>
    <x v="173"/>
    <s v="9.9892-3746"/>
    <s v="ALAMEDA DURVAL CARRIJO, 550"/>
    <s v="MORADA DA COLINA"/>
    <s v="38411-138"/>
    <m/>
    <s v="MARIA LÚCIA"/>
    <x v="2"/>
    <n v="1"/>
    <n v="40"/>
    <n v="40"/>
    <m/>
    <x v="1"/>
  </r>
  <r>
    <n v="923"/>
    <x v="17"/>
    <x v="21"/>
    <x v="10"/>
    <s v="3213-2775"/>
    <s v="R. PEDRO QUIRINO DA SILVA, 341 "/>
    <s v="MARTA HELENA "/>
    <s v="38402-075"/>
    <m/>
    <m/>
    <x v="1"/>
    <n v="3"/>
    <n v="40"/>
    <n v="120"/>
    <n v="120"/>
    <x v="2"/>
  </r>
  <r>
    <n v="922"/>
    <x v="17"/>
    <x v="21"/>
    <x v="31"/>
    <s v="9.8899-1860"/>
    <s v="R. ENGENHEIRO HELVIO FELICI, 250"/>
    <s v="MORADA DA COLINA"/>
    <s v="38411-114"/>
    <m/>
    <s v="MARIA LÚCIA"/>
    <x v="2"/>
    <n v="1"/>
    <n v="40"/>
    <n v="40"/>
    <m/>
    <x v="1"/>
  </r>
  <r>
    <n v="921"/>
    <x v="17"/>
    <x v="21"/>
    <x v="116"/>
    <s v="99661-5002"/>
    <s v="AV. PAULO GRACINDO, 1000 - COND. GAVEA PARADISO - ALAMEDA GAVIAO REAL, 90"/>
    <s v="COND. GAVEA PARADISO"/>
    <s v="38411-145"/>
    <m/>
    <m/>
    <x v="2"/>
    <n v="1"/>
    <n v="40"/>
    <n v="40"/>
    <m/>
    <x v="1"/>
  </r>
  <r>
    <n v="920"/>
    <x v="17"/>
    <x v="21"/>
    <x v="83"/>
    <s v="9.9108-2161"/>
    <s v="R. BERNARDO CUPERTINO, 965 APTO 304 PODE DEIXAR PORTARIA"/>
    <s v="MARTINS"/>
    <s v="38400-323"/>
    <m/>
    <m/>
    <x v="1"/>
    <n v="1"/>
    <n v="40"/>
    <n v="40"/>
    <n v="40"/>
    <x v="2"/>
  </r>
  <r>
    <n v="919"/>
    <x v="17"/>
    <x v="21"/>
    <x v="16"/>
    <s v="9.9232-5605"/>
    <s v="R. EDMUNDO MUNIR ARANTES, 79"/>
    <s v="PLANALTO"/>
    <s v="38413-276"/>
    <s v="CESTA"/>
    <m/>
    <x v="1"/>
    <n v="1"/>
    <n v="40"/>
    <n v="40"/>
    <n v="40"/>
    <x v="2"/>
  </r>
  <r>
    <n v="918"/>
    <x v="17"/>
    <x v="20"/>
    <x v="8"/>
    <s v="9.9149-1390"/>
    <n v="0"/>
    <s v="CEDEL"/>
    <m/>
    <m/>
    <s v="FÁBIO MATOS"/>
    <x v="2"/>
    <n v="1"/>
    <n v="40"/>
    <n v="40"/>
    <m/>
    <x v="1"/>
  </r>
  <r>
    <n v="918"/>
    <x v="17"/>
    <x v="20"/>
    <x v="8"/>
    <s v="9.9149-1390"/>
    <n v="0"/>
    <s v="CEDEL"/>
    <m/>
    <m/>
    <s v="FÁBIO MATOS"/>
    <x v="3"/>
    <n v="1"/>
    <n v="40"/>
    <n v="40"/>
    <m/>
    <x v="1"/>
  </r>
  <r>
    <n v="917"/>
    <x v="17"/>
    <x v="17"/>
    <x v="62"/>
    <s v="99676-2593 "/>
    <s v="R. ANITA 125 PASSARELA AV. LIBERDADE ALTAMIRA"/>
    <s v="MORADA DA COLINA"/>
    <s v="38411-014"/>
    <m/>
    <s v="MILVAR"/>
    <x v="2"/>
    <n v="1"/>
    <n v="40"/>
    <n v="40"/>
    <m/>
    <x v="1"/>
  </r>
  <r>
    <n v="917"/>
    <x v="17"/>
    <x v="17"/>
    <x v="62"/>
    <s v="99676-2593 "/>
    <s v="R. ANITA 125 PASSARELA AV. LIBERDADE ALTAMIRA"/>
    <s v="MORADA DA COLINA"/>
    <s v="38411-014"/>
    <m/>
    <s v="MILVAR"/>
    <x v="3"/>
    <n v="1"/>
    <n v="40"/>
    <n v="40"/>
    <m/>
    <x v="1"/>
  </r>
  <r>
    <n v="915"/>
    <x v="17"/>
    <x v="18"/>
    <x v="10"/>
    <s v="3213-2775"/>
    <s v="R. PEDRO QUIRINO DA SILVA, 341 "/>
    <s v="MARTA HELENA "/>
    <s v="38402-075"/>
    <s v="MARCELO"/>
    <m/>
    <x v="1"/>
    <n v="5"/>
    <n v="40"/>
    <n v="200"/>
    <m/>
    <x v="1"/>
  </r>
  <r>
    <n v="914"/>
    <x v="17"/>
    <x v="18"/>
    <x v="46"/>
    <s v="9.9971-2853/ 9.9997-2853"/>
    <n v="0"/>
    <n v="0"/>
    <m/>
    <m/>
    <m/>
    <x v="1"/>
    <n v="1"/>
    <n v="40"/>
    <n v="40"/>
    <m/>
    <x v="1"/>
  </r>
  <r>
    <n v="912"/>
    <x v="17"/>
    <x v="18"/>
    <x v="49"/>
    <n v="0"/>
    <s v="RUA JOSE PIRES DEFENSOR, 600, CASA 28"/>
    <n v="0"/>
    <m/>
    <m/>
    <s v="MI/LEANDRO"/>
    <x v="1"/>
    <n v="3"/>
    <n v="40"/>
    <n v="40"/>
    <n v="40"/>
    <x v="2"/>
  </r>
  <r>
    <n v="911"/>
    <x v="17"/>
    <x v="18"/>
    <x v="50"/>
    <s v="9.9684-7889"/>
    <s v="AV. IMBAÚBA 2200 BL03 AP404"/>
    <s v="JARAGUA"/>
    <s v="38413-108"/>
    <m/>
    <m/>
    <x v="1"/>
    <n v="1"/>
    <n v="40"/>
    <n v="40"/>
    <n v="40"/>
    <x v="2"/>
  </r>
  <r>
    <n v="910"/>
    <x v="17"/>
    <x v="18"/>
    <x v="95"/>
    <s v="9.9222-2656"/>
    <s v="ALAMEDA BENETIDO JOSE DE SOUZA, Nº 81"/>
    <s v=" JD HOLANDA "/>
    <s v="38412-887"/>
    <m/>
    <m/>
    <x v="2"/>
    <n v="1"/>
    <n v="40"/>
    <n v="40"/>
    <n v="40"/>
    <x v="2"/>
  </r>
  <r>
    <n v="909"/>
    <x v="17"/>
    <x v="18"/>
    <x v="94"/>
    <s v="9.9976-8255"/>
    <s v="R. IRENE ROSA, 54 OU R. DO BORRACHEIRO, 221"/>
    <s v="OSVALDO REZENDE"/>
    <s v="38400-480"/>
    <s v="LIGAR ANTES"/>
    <m/>
    <x v="1"/>
    <n v="1"/>
    <n v="40"/>
    <n v="40"/>
    <n v="40"/>
    <x v="2"/>
  </r>
  <r>
    <n v="908"/>
    <x v="17"/>
    <x v="19"/>
    <x v="10"/>
    <s v="3213-2775"/>
    <s v="R. PEDRO QUIRINO DA SILVA, 341 "/>
    <s v="MARTA HELENA "/>
    <s v="38402-075"/>
    <s v="ZÉ/RODRIGO"/>
    <m/>
    <x v="1"/>
    <n v="2"/>
    <n v="40"/>
    <n v="80"/>
    <m/>
    <x v="1"/>
  </r>
  <r>
    <n v="907"/>
    <x v="17"/>
    <x v="19"/>
    <x v="33"/>
    <s v="99942-3020"/>
    <s v="RUA CIPRIANO DEL FAVERO 659 APTº 1200  "/>
    <s v=" CENTRO "/>
    <s v="38400-106"/>
    <m/>
    <m/>
    <x v="2"/>
    <n v="1"/>
    <n v="40"/>
    <n v="40"/>
    <m/>
    <x v="1"/>
  </r>
  <r>
    <n v="907"/>
    <x v="17"/>
    <x v="19"/>
    <x v="33"/>
    <s v="99942-3020"/>
    <s v="RUA CIPRIANO DEL FAVERO 659 APTº 1200  "/>
    <s v=" CENTRO "/>
    <s v="38400-106"/>
    <m/>
    <m/>
    <x v="3"/>
    <n v="1"/>
    <n v="40"/>
    <n v="40"/>
    <m/>
    <x v="1"/>
  </r>
  <r>
    <n v="906"/>
    <x v="17"/>
    <x v="16"/>
    <x v="141"/>
    <n v="0"/>
    <s v="ENTREGA LEVY"/>
    <n v="0"/>
    <m/>
    <m/>
    <s v="LEVY"/>
    <x v="0"/>
    <n v="1"/>
    <n v="40"/>
    <n v="40"/>
    <m/>
    <x v="1"/>
  </r>
  <r>
    <n v="906"/>
    <x v="17"/>
    <x v="16"/>
    <x v="141"/>
    <n v="0"/>
    <s v="ENTREGA LEVY"/>
    <n v="0"/>
    <m/>
    <m/>
    <s v="LEVY"/>
    <x v="3"/>
    <n v="1"/>
    <n v="40"/>
    <n v="40"/>
    <m/>
    <x v="1"/>
  </r>
  <r>
    <n v="905"/>
    <x v="17"/>
    <x v="11"/>
    <x v="180"/>
    <s v="99149-6210"/>
    <n v="0"/>
    <n v="0"/>
    <m/>
    <m/>
    <s v="CEDEL"/>
    <x v="2"/>
    <n v="1"/>
    <n v="40"/>
    <n v="40"/>
    <m/>
    <x v="1"/>
  </r>
  <r>
    <n v="904"/>
    <x v="17"/>
    <x v="11"/>
    <x v="63"/>
    <s v="9.8863-1720"/>
    <n v="0"/>
    <s v="CEDEL"/>
    <m/>
    <m/>
    <s v="CEDEL"/>
    <x v="2"/>
    <n v="1"/>
    <n v="40"/>
    <n v="40"/>
    <m/>
    <x v="1"/>
  </r>
  <r>
    <n v="903"/>
    <x v="17"/>
    <x v="7"/>
    <x v="40"/>
    <s v="98845-0023"/>
    <s v="RUA PROF. CIRO DE CASTRO ALMEIDA, 1576"/>
    <s v="CUSTODIO PEREIRA"/>
    <s v="38405-250"/>
    <m/>
    <m/>
    <x v="0"/>
    <n v="1"/>
    <n v="40"/>
    <n v="40"/>
    <n v="40"/>
    <x v="2"/>
  </r>
  <r>
    <n v="903"/>
    <x v="17"/>
    <x v="7"/>
    <x v="40"/>
    <s v="98845-0023"/>
    <s v="RUA PROF. CIRO DE CASTRO ALMEIDA, 1576"/>
    <s v="CUSTODIO PEREIRA"/>
    <s v="38405-250"/>
    <m/>
    <m/>
    <x v="2"/>
    <n v="1"/>
    <n v="40"/>
    <n v="40"/>
    <n v="40"/>
    <x v="2"/>
  </r>
  <r>
    <n v="902"/>
    <x v="17"/>
    <x v="7"/>
    <x v="39"/>
    <s v="98803-5267"/>
    <s v="RUA CAMPO RUPESTRE, 193"/>
    <s v=" JD. BOTANICO "/>
    <s v="38410-664"/>
    <m/>
    <m/>
    <x v="1"/>
    <n v="1"/>
    <n v="40"/>
    <n v="40"/>
    <n v="40"/>
    <x v="2"/>
  </r>
  <r>
    <n v="901"/>
    <x v="17"/>
    <x v="7"/>
    <x v="41"/>
    <s v="99133-6005"/>
    <s v="RUA CAXAMBU, 284 - AP 103"/>
    <s v=" OSVALDO RESENDE "/>
    <s v="38400-418"/>
    <m/>
    <s v="GABRIEL"/>
    <x v="0"/>
    <n v="1"/>
    <n v="40"/>
    <n v="40"/>
    <n v="40"/>
    <x v="2"/>
  </r>
  <r>
    <n v="900"/>
    <x v="17"/>
    <x v="2"/>
    <x v="190"/>
    <s v="99286-0302"/>
    <s v="R. DO PROFESSOR 320"/>
    <s v="PLANALTO"/>
    <s v="38412-296"/>
    <m/>
    <m/>
    <x v="1"/>
    <n v="1"/>
    <n v="40"/>
    <n v="40"/>
    <m/>
    <x v="1"/>
  </r>
  <r>
    <n v="899"/>
    <x v="17"/>
    <x v="2"/>
    <x v="140"/>
    <s v="9.9811-4187"/>
    <s v="RUA TUPACIGUARA 400 AP 701  - ENTREGA ATE 13H"/>
    <s v="APARECIDA"/>
    <s v="38400-618"/>
    <m/>
    <m/>
    <x v="0"/>
    <n v="2"/>
    <n v="40"/>
    <n v="80"/>
    <m/>
    <x v="1"/>
  </r>
  <r>
    <n v="898"/>
    <x v="17"/>
    <x v="2"/>
    <x v="61"/>
    <s v="9.9148-0722"/>
    <s v="R. OROZIMBO JOSE FERREIRA"/>
    <s v="APARECIDA"/>
    <s v="38400-774"/>
    <m/>
    <m/>
    <x v="4"/>
    <n v="1"/>
    <n v="40"/>
    <n v="40"/>
    <m/>
    <x v="1"/>
  </r>
  <r>
    <n v="897"/>
    <x v="17"/>
    <x v="17"/>
    <x v="161"/>
    <s v="99669-6170"/>
    <s v="RUA PROF. CIRO DE CASTRO ALMEIDA, 1576"/>
    <s v="CUSTODIO PEREIRA"/>
    <s v="38405-250"/>
    <m/>
    <m/>
    <x v="2"/>
    <n v="1"/>
    <n v="40"/>
    <n v="40"/>
    <n v="40"/>
    <x v="2"/>
  </r>
  <r>
    <n v="897"/>
    <x v="17"/>
    <x v="17"/>
    <x v="161"/>
    <s v="99669-6170"/>
    <s v="RUA PROF. CIRO DE CASTRO ALMEIDA, 1576"/>
    <s v="CUSTODIO PEREIRA"/>
    <s v="38405-250"/>
    <m/>
    <m/>
    <x v="3"/>
    <n v="1"/>
    <n v="40"/>
    <n v="40"/>
    <n v="40"/>
    <x v="2"/>
  </r>
  <r>
    <n v="896"/>
    <x v="17"/>
    <x v="17"/>
    <x v="59"/>
    <s v="9.9135-7263"/>
    <s v="Rua Pica Paus 1750, condomínio Jardins Roma, Rua Copaibeiras 95"/>
    <s v="NOVA UBERLANDIA"/>
    <s v="38412-641"/>
    <m/>
    <m/>
    <x v="0"/>
    <n v="1"/>
    <n v="40"/>
    <n v="40"/>
    <m/>
    <x v="1"/>
  </r>
  <r>
    <n v="896"/>
    <x v="17"/>
    <x v="17"/>
    <x v="59"/>
    <s v="9.9135-7263"/>
    <s v="Rua Pica Paus 1750, condomínio Jardins Roma, Rua Copaibeiras 95"/>
    <s v="NOVA UBERLANDIA"/>
    <s v="38412-641"/>
    <m/>
    <m/>
    <x v="1"/>
    <n v="1"/>
    <n v="40"/>
    <n v="40"/>
    <m/>
    <x v="1"/>
  </r>
  <r>
    <n v="895"/>
    <x v="17"/>
    <x v="17"/>
    <x v="58"/>
    <s v="99147-8758"/>
    <n v="0"/>
    <n v="0"/>
    <m/>
    <m/>
    <m/>
    <x v="0"/>
    <n v="2"/>
    <n v="40"/>
    <n v="80"/>
    <m/>
    <x v="1"/>
  </r>
  <r>
    <n v="894"/>
    <x v="17"/>
    <x v="10"/>
    <x v="10"/>
    <s v="3213-2775"/>
    <s v="R. PEDRO QUIRINO DA SILVA, 341 "/>
    <s v="MARTA HELENA "/>
    <s v="38402-075"/>
    <s v="RODOLFO"/>
    <m/>
    <x v="1"/>
    <n v="1"/>
    <n v="40"/>
    <n v="40"/>
    <m/>
    <x v="1"/>
  </r>
  <r>
    <n v="893"/>
    <x v="17"/>
    <x v="10"/>
    <x v="60"/>
    <n v="0"/>
    <n v="0"/>
    <n v="0"/>
    <m/>
    <m/>
    <m/>
    <x v="0"/>
    <n v="2"/>
    <n v="40"/>
    <n v="80"/>
    <m/>
    <x v="1"/>
  </r>
  <r>
    <n v="893"/>
    <x v="17"/>
    <x v="10"/>
    <x v="60"/>
    <n v="0"/>
    <n v="0"/>
    <n v="0"/>
    <m/>
    <m/>
    <m/>
    <x v="2"/>
    <n v="3"/>
    <n v="40"/>
    <n v="120"/>
    <m/>
    <x v="1"/>
  </r>
  <r>
    <n v="892"/>
    <x v="18"/>
    <x v="10"/>
    <x v="188"/>
    <n v="0"/>
    <n v="0"/>
    <n v="0"/>
    <m/>
    <m/>
    <s v="RODOLFO"/>
    <x v="0"/>
    <n v="1"/>
    <n v="40"/>
    <n v="40"/>
    <m/>
    <x v="1"/>
  </r>
  <r>
    <n v="892"/>
    <x v="18"/>
    <x v="10"/>
    <x v="188"/>
    <n v="0"/>
    <n v="0"/>
    <n v="0"/>
    <m/>
    <m/>
    <s v="RODOLFO"/>
    <x v="2"/>
    <n v="1"/>
    <n v="40"/>
    <n v="40"/>
    <m/>
    <x v="1"/>
  </r>
  <r>
    <n v="892"/>
    <x v="18"/>
    <x v="10"/>
    <x v="188"/>
    <n v="0"/>
    <n v="0"/>
    <n v="0"/>
    <m/>
    <m/>
    <s v="RODOLFO"/>
    <x v="3"/>
    <n v="1"/>
    <n v="40"/>
    <n v="40"/>
    <m/>
    <x v="1"/>
  </r>
  <r>
    <n v="891"/>
    <x v="18"/>
    <x v="21"/>
    <x v="29"/>
    <s v="99195-9740"/>
    <s v="Av. Paes Leme, 676"/>
    <s v=" OSVALDO RESENDE "/>
    <s v="38400-454"/>
    <m/>
    <m/>
    <x v="0"/>
    <n v="2"/>
    <n v="40"/>
    <n v="80"/>
    <m/>
    <x v="1"/>
  </r>
  <r>
    <n v="890"/>
    <x v="19"/>
    <x v="21"/>
    <x v="191"/>
    <s v="9.9137-4072"/>
    <s v="AV. MARCOS BORGES DE MIRANDA, 168 (ANT F, ENTRE 37/38)"/>
    <s v="SANTA MONICA"/>
    <s v="38408-158"/>
    <m/>
    <m/>
    <x v="1"/>
    <n v="1"/>
    <n v="40"/>
    <n v="40"/>
    <n v="40"/>
    <x v="2"/>
  </r>
  <r>
    <n v="888"/>
    <x v="19"/>
    <x v="21"/>
    <x v="192"/>
    <s v="9.9652-9940"/>
    <s v="R. ANTONIO CARRIJO, 114"/>
    <s v="ROOSEVELT"/>
    <s v="38401-120"/>
    <m/>
    <m/>
    <x v="1"/>
    <n v="1"/>
    <n v="40"/>
    <n v="40"/>
    <n v="40"/>
    <x v="2"/>
  </r>
  <r>
    <n v="887"/>
    <x v="19"/>
    <x v="21"/>
    <x v="83"/>
    <s v="9.9108-2161"/>
    <s v="R. BERNARDO CUPERTINO, 965 APTO 304 PODE DEIXAR PORTARIA"/>
    <s v="MARTINS"/>
    <s v="38400-323"/>
    <m/>
    <m/>
    <x v="1"/>
    <n v="1"/>
    <n v="40"/>
    <n v="40"/>
    <n v="40"/>
    <x v="2"/>
  </r>
  <r>
    <n v="886"/>
    <x v="19"/>
    <x v="21"/>
    <x v="118"/>
    <s v="9.9971-2121"/>
    <s v="AV. CONCORDIA, 365"/>
    <s v="MORADA DA COLINA"/>
    <s v="38411-122"/>
    <m/>
    <s v="MARIA LÚCIA"/>
    <x v="2"/>
    <n v="1"/>
    <n v="40"/>
    <n v="40"/>
    <m/>
    <x v="1"/>
  </r>
  <r>
    <n v="886"/>
    <x v="19"/>
    <x v="21"/>
    <x v="118"/>
    <s v="9.9971-2121"/>
    <s v="AV. CONCORDIA, 365"/>
    <s v="MORADA DA COLINA"/>
    <s v="38411-122"/>
    <m/>
    <s v="MARIA LÚCIA"/>
    <x v="3"/>
    <n v="1"/>
    <n v="40"/>
    <n v="40"/>
    <m/>
    <x v="1"/>
  </r>
  <r>
    <n v="885"/>
    <x v="19"/>
    <x v="21"/>
    <x v="182"/>
    <s v="9.9811-0013"/>
    <s v="R. AGESILAU PASCHOAL GRECO, 200"/>
    <s v="MORADA DA COLINA"/>
    <s v="38411-112"/>
    <m/>
    <s v="MARIA LÚCIA"/>
    <x v="1"/>
    <n v="1"/>
    <n v="40"/>
    <n v="40"/>
    <m/>
    <x v="1"/>
  </r>
  <r>
    <n v="884"/>
    <x v="19"/>
    <x v="21"/>
    <x v="193"/>
    <s v="9.9994-8453"/>
    <s v="AV. CONCORDIA, 581"/>
    <s v="MORADA DA COLINA"/>
    <s v="38411-122"/>
    <m/>
    <s v="MARIA LÚCIA"/>
    <x v="3"/>
    <n v="1"/>
    <n v="40"/>
    <n v="40"/>
    <m/>
    <x v="1"/>
  </r>
  <r>
    <n v="883"/>
    <x v="19"/>
    <x v="21"/>
    <x v="194"/>
    <s v="9.9129-9265"/>
    <s v="R. AGESILAU PASCHOAL GRECO, 256"/>
    <s v="MORADA DA COLINA"/>
    <s v="38411-112"/>
    <m/>
    <s v="MARIA LÚCIA"/>
    <x v="2"/>
    <n v="1"/>
    <n v="40"/>
    <n v="40"/>
    <m/>
    <x v="1"/>
  </r>
  <r>
    <n v="882"/>
    <x v="19"/>
    <x v="21"/>
    <x v="195"/>
    <s v="9.8819-4189"/>
    <s v="R. CAETES, 580"/>
    <s v="SARAIVA"/>
    <s v="38408-422"/>
    <m/>
    <m/>
    <x v="1"/>
    <n v="1"/>
    <n v="40"/>
    <n v="40"/>
    <m/>
    <x v="1"/>
  </r>
  <r>
    <n v="881"/>
    <x v="19"/>
    <x v="21"/>
    <x v="16"/>
    <s v="9.9232-5605"/>
    <s v="R. EDMUNDO MUNIR ARANTES, 79"/>
    <s v="PLANALTO"/>
    <s v="38413-276"/>
    <s v="+FRALDAS"/>
    <m/>
    <x v="1"/>
    <n v="1"/>
    <n v="40"/>
    <n v="40"/>
    <n v="40"/>
    <x v="2"/>
  </r>
  <r>
    <n v="880"/>
    <x v="19"/>
    <x v="21"/>
    <x v="196"/>
    <s v="9.0025-8945"/>
    <s v="R. PIAUI, 255"/>
    <s v="MARTA HELENA "/>
    <s v="38402-043"/>
    <m/>
    <m/>
    <x v="1"/>
    <n v="1"/>
    <n v="40"/>
    <n v="40"/>
    <m/>
    <x v="1"/>
  </r>
  <r>
    <n v="879"/>
    <x v="19"/>
    <x v="21"/>
    <x v="98"/>
    <s v="9.9991-4357"/>
    <s v="R. MICHELE VIRNO, 4093"/>
    <s v="CUSTODIO PEREIRA"/>
    <s v="38405-190"/>
    <m/>
    <m/>
    <x v="4"/>
    <n v="1"/>
    <n v="40"/>
    <n v="40"/>
    <m/>
    <x v="1"/>
  </r>
  <r>
    <n v="878"/>
    <x v="19"/>
    <x v="21"/>
    <x v="80"/>
    <s v="99240-5393"/>
    <s v="R. RIO DE JANEIRO, 932 APTO 101"/>
    <s v=" BRASIL "/>
    <s v="38400-658"/>
    <m/>
    <m/>
    <x v="0"/>
    <n v="1"/>
    <n v="40"/>
    <n v="40"/>
    <m/>
    <x v="1"/>
  </r>
  <r>
    <n v="877"/>
    <x v="19"/>
    <x v="21"/>
    <x v="30"/>
    <s v="3213-3201/ 9.9211-0864"/>
    <s v="AV. CLARA CAMARAO, 427"/>
    <s v="N.SRA GRAÇAS"/>
    <s v="38402-010"/>
    <m/>
    <m/>
    <x v="1"/>
    <n v="1"/>
    <n v="40"/>
    <n v="40"/>
    <m/>
    <x v="1"/>
  </r>
  <r>
    <n v="877"/>
    <x v="19"/>
    <x v="21"/>
    <x v="30"/>
    <s v="3213-3201/ 9.9211-0864"/>
    <s v="AV. CLARA CAMARAO, 427"/>
    <s v="N.SRA GRAÇAS"/>
    <s v="38402-010"/>
    <m/>
    <m/>
    <x v="2"/>
    <n v="1"/>
    <n v="40"/>
    <n v="40"/>
    <m/>
    <x v="1"/>
  </r>
  <r>
    <n v="876"/>
    <x v="19"/>
    <x v="21"/>
    <x v="19"/>
    <s v=" 99155-5564 / 3215-1758"/>
    <s v="AV. CESARIO CROSARA, 3525"/>
    <s v=" ROOSEVELT "/>
    <s v="38401-119"/>
    <m/>
    <m/>
    <x v="3"/>
    <n v="1"/>
    <n v="40"/>
    <n v="40"/>
    <m/>
    <x v="1"/>
  </r>
  <r>
    <n v="875"/>
    <x v="19"/>
    <x v="21"/>
    <x v="21"/>
    <s v="9.9670-9884"/>
    <s v="R. AGESILAU PASCHOAL GRECO, 318"/>
    <s v="MORADA DA COLINA"/>
    <s v="38411-112"/>
    <m/>
    <s v="MARIA LÚCIA"/>
    <x v="3"/>
    <n v="1"/>
    <n v="40"/>
    <n v="40"/>
    <m/>
    <x v="1"/>
  </r>
  <r>
    <n v="874"/>
    <x v="19"/>
    <x v="21"/>
    <x v="17"/>
    <n v="0"/>
    <n v="0"/>
    <n v="0"/>
    <m/>
    <m/>
    <s v="CEDEL"/>
    <x v="2"/>
    <n v="1"/>
    <n v="40"/>
    <n v="40"/>
    <n v="40"/>
    <x v="2"/>
  </r>
  <r>
    <n v="873"/>
    <x v="19"/>
    <x v="21"/>
    <x v="12"/>
    <s v="9.9670-9884"/>
    <s v="R. AGESILAU PASCHOAL GRECO, 318"/>
    <s v="MORADA DA COLINA"/>
    <s v="38411-112"/>
    <m/>
    <s v="MARIA LÚCIA"/>
    <x v="2"/>
    <n v="1"/>
    <n v="40"/>
    <n v="40"/>
    <m/>
    <x v="1"/>
  </r>
  <r>
    <n v="872"/>
    <x v="19"/>
    <x v="21"/>
    <x v="32"/>
    <s v="9.9171-4462"/>
    <s v="R. MONLEVADE, 852"/>
    <s v="DANIEL FONSECA"/>
    <s v="38400-320"/>
    <m/>
    <m/>
    <x v="2"/>
    <n v="2"/>
    <n v="40"/>
    <n v="80"/>
    <m/>
    <x v="1"/>
  </r>
  <r>
    <n v="871"/>
    <x v="19"/>
    <x v="21"/>
    <x v="100"/>
    <s v="9.8877-4323"/>
    <s v="R.JUDITE MOREIRA, 280"/>
    <s v="ROOSEVELT"/>
    <s v="38401-160"/>
    <m/>
    <m/>
    <x v="2"/>
    <n v="1"/>
    <n v="40"/>
    <n v="40"/>
    <m/>
    <x v="1"/>
  </r>
  <r>
    <n v="870"/>
    <x v="19"/>
    <x v="21"/>
    <x v="10"/>
    <s v="3213-2775"/>
    <s v="R. PEDRO QUIRINO DA SILVA, 341 "/>
    <s v="MARTA HELENA "/>
    <s v="38402-075"/>
    <m/>
    <m/>
    <x v="1"/>
    <n v="5"/>
    <n v="40"/>
    <n v="200"/>
    <m/>
    <x v="1"/>
  </r>
  <r>
    <n v="869"/>
    <x v="19"/>
    <x v="21"/>
    <x v="31"/>
    <s v="9.8899-1860"/>
    <s v="R. ENGENHEIRO HELVIO FELICI, 250"/>
    <s v="MORADA DA COLINA"/>
    <s v="38411-114"/>
    <m/>
    <s v="MARIA LÚCIA"/>
    <x v="2"/>
    <n v="1"/>
    <n v="40"/>
    <n v="40"/>
    <m/>
    <x v="1"/>
  </r>
  <r>
    <n v="868"/>
    <x v="19"/>
    <x v="21"/>
    <x v="76"/>
    <s v="9.8878-1706"/>
    <s v="R. ATHOS PARANHOS VELOSO, 1046 (ESTÁ CORRETO)"/>
    <s v=" TUBALINA "/>
    <s v="38412-076"/>
    <m/>
    <m/>
    <x v="4"/>
    <n v="1"/>
    <n v="40"/>
    <n v="40"/>
    <m/>
    <x v="1"/>
  </r>
  <r>
    <n v="867"/>
    <x v="19"/>
    <x v="21"/>
    <x v="116"/>
    <s v="99661-5002"/>
    <s v="AV. PAULO GRACINDO, 1000 - COND. GAVEA PARADISO - ALAMEDA GAVIAO REAL, 90"/>
    <s v="COND. GAVEA PARADISO"/>
    <s v="38411-145"/>
    <m/>
    <m/>
    <x v="2"/>
    <n v="1"/>
    <n v="40"/>
    <n v="40"/>
    <m/>
    <x v="1"/>
  </r>
  <r>
    <n v="864"/>
    <x v="19"/>
    <x v="18"/>
    <x v="49"/>
    <n v="0"/>
    <s v="RUA JOSE PIRES DEFENSOR, 600, CASA 28"/>
    <n v="0"/>
    <m/>
    <m/>
    <s v="MI/LEANDRO"/>
    <x v="1"/>
    <n v="1"/>
    <n v="40"/>
    <n v="40"/>
    <m/>
    <x v="1"/>
  </r>
  <r>
    <n v="863"/>
    <x v="19"/>
    <x v="18"/>
    <x v="95"/>
    <s v="9.9222-2656"/>
    <s v="ALAMEDA BENETIDO JOSE DE SOUZA, Nº 81"/>
    <s v=" JD HOLANDA "/>
    <s v="38412-887"/>
    <m/>
    <m/>
    <x v="1"/>
    <n v="1"/>
    <n v="40"/>
    <n v="40"/>
    <m/>
    <x v="1"/>
  </r>
  <r>
    <n v="862"/>
    <x v="19"/>
    <x v="18"/>
    <x v="140"/>
    <s v="9.9811-4187"/>
    <s v="RUA TUPACIGUARA 400 AP 701  - ENTREGA ATE 13H"/>
    <s v="APARECIDA"/>
    <m/>
    <s v="LIGAR ANTES"/>
    <m/>
    <x v="0"/>
    <n v="2"/>
    <n v="40"/>
    <n v="80"/>
    <m/>
    <x v="1"/>
  </r>
  <r>
    <n v="861"/>
    <x v="19"/>
    <x v="18"/>
    <x v="10"/>
    <s v="3213-2775"/>
    <s v="R. PEDRO QUIRINO DA SILVA, 341 "/>
    <s v="MARTA HELENA "/>
    <m/>
    <s v="MARCELO"/>
    <m/>
    <x v="1"/>
    <n v="5"/>
    <n v="40"/>
    <n v="200"/>
    <m/>
    <x v="1"/>
  </r>
  <r>
    <n v="860"/>
    <x v="19"/>
    <x v="8"/>
    <x v="42"/>
    <n v="0"/>
    <n v="0"/>
    <n v="0"/>
    <m/>
    <m/>
    <s v="LEONIDAS"/>
    <x v="0"/>
    <n v="3"/>
    <n v="40"/>
    <n v="120"/>
    <m/>
    <x v="1"/>
  </r>
  <r>
    <n v="860"/>
    <x v="19"/>
    <x v="8"/>
    <x v="42"/>
    <n v="0"/>
    <n v="0"/>
    <n v="0"/>
    <m/>
    <m/>
    <s v="LEONIDAS"/>
    <x v="1"/>
    <n v="3"/>
    <n v="40"/>
    <n v="120"/>
    <m/>
    <x v="1"/>
  </r>
  <r>
    <n v="860"/>
    <x v="19"/>
    <x v="8"/>
    <x v="42"/>
    <n v="0"/>
    <n v="0"/>
    <n v="0"/>
    <m/>
    <m/>
    <s v="LEONIDAS"/>
    <x v="2"/>
    <n v="7"/>
    <n v="40"/>
    <n v="280"/>
    <m/>
    <x v="1"/>
  </r>
  <r>
    <n v="860"/>
    <x v="19"/>
    <x v="8"/>
    <x v="42"/>
    <n v="0"/>
    <n v="0"/>
    <n v="0"/>
    <m/>
    <m/>
    <s v="LEONIDAS"/>
    <x v="3"/>
    <n v="1"/>
    <n v="40"/>
    <n v="40"/>
    <m/>
    <x v="1"/>
  </r>
  <r>
    <n v="859"/>
    <x v="19"/>
    <x v="19"/>
    <x v="33"/>
    <s v="99942-3020"/>
    <s v="RUA CIPRIANO DEL FAVERO 659 APTº 1200  "/>
    <s v=" CENTRO "/>
    <m/>
    <m/>
    <m/>
    <x v="2"/>
    <n v="1"/>
    <n v="40"/>
    <n v="40"/>
    <m/>
    <x v="1"/>
  </r>
  <r>
    <n v="859"/>
    <x v="19"/>
    <x v="19"/>
    <x v="33"/>
    <s v="99942-3020"/>
    <s v="RUA CIPRIANO DEL FAVERO 659 APTº 1200  "/>
    <s v=" CENTRO "/>
    <m/>
    <m/>
    <m/>
    <x v="3"/>
    <n v="1"/>
    <n v="40"/>
    <n v="40"/>
    <m/>
    <x v="1"/>
  </r>
  <r>
    <n v="858"/>
    <x v="19"/>
    <x v="19"/>
    <x v="10"/>
    <s v="3213-2775"/>
    <s v="R. PEDRO QUIRINO DA SILVA, 341 "/>
    <s v="MARTA HELENA "/>
    <m/>
    <s v="RODRIGO/ZÉ"/>
    <m/>
    <x v="1"/>
    <n v="2"/>
    <n v="40"/>
    <n v="80"/>
    <m/>
    <x v="1"/>
  </r>
  <r>
    <n v="857"/>
    <x v="19"/>
    <x v="12"/>
    <x v="90"/>
    <n v="0"/>
    <n v="0"/>
    <n v="0"/>
    <m/>
    <m/>
    <m/>
    <x v="2"/>
    <n v="2"/>
    <n v="40"/>
    <n v="80"/>
    <m/>
    <x v="1"/>
  </r>
  <r>
    <n v="856"/>
    <x v="19"/>
    <x v="12"/>
    <x v="91"/>
    <s v="9.9976-5102"/>
    <n v="0"/>
    <s v="CEDEL"/>
    <m/>
    <m/>
    <s v="CEDEL"/>
    <x v="0"/>
    <n v="2"/>
    <n v="40"/>
    <n v="80"/>
    <m/>
    <x v="1"/>
  </r>
  <r>
    <n v="856"/>
    <x v="19"/>
    <x v="12"/>
    <x v="91"/>
    <s v="9.9976-5102"/>
    <n v="0"/>
    <s v="CEDEL"/>
    <m/>
    <m/>
    <s v="CEDEL"/>
    <x v="1"/>
    <n v="1"/>
    <n v="40"/>
    <n v="40"/>
    <m/>
    <x v="1"/>
  </r>
  <r>
    <n v="855"/>
    <x v="19"/>
    <x v="12"/>
    <x v="92"/>
    <s v=" 9973-9967"/>
    <n v="0"/>
    <n v="0"/>
    <m/>
    <m/>
    <s v="XANDE/ELIS"/>
    <x v="1"/>
    <n v="1"/>
    <n v="40"/>
    <n v="40"/>
    <m/>
    <x v="1"/>
  </r>
  <r>
    <n v="855"/>
    <x v="19"/>
    <x v="12"/>
    <x v="92"/>
    <s v=" 9973-9967"/>
    <n v="0"/>
    <n v="0"/>
    <m/>
    <m/>
    <s v="XANDE/ELIS"/>
    <x v="3"/>
    <n v="1"/>
    <n v="40"/>
    <n v="40"/>
    <m/>
    <x v="1"/>
  </r>
  <r>
    <n v="854"/>
    <x v="19"/>
    <x v="12"/>
    <x v="185"/>
    <n v="0"/>
    <s v="ALAMEDA PAUSO CESAR SANTANA , 885 -BLOCO 7 , APTO 406"/>
    <s v=" JD HOLANDA "/>
    <m/>
    <m/>
    <m/>
    <x v="1"/>
    <n v="1"/>
    <n v="40"/>
    <n v="40"/>
    <m/>
    <x v="1"/>
  </r>
  <r>
    <n v="853"/>
    <x v="19"/>
    <x v="12"/>
    <x v="4"/>
    <s v="9.9197-7955"/>
    <n v="0"/>
    <s v="CEDEL"/>
    <m/>
    <m/>
    <s v="LEOBALDO"/>
    <x v="1"/>
    <n v="2"/>
    <n v="40"/>
    <n v="80"/>
    <m/>
    <x v="1"/>
  </r>
  <r>
    <n v="852"/>
    <x v="19"/>
    <x v="12"/>
    <x v="75"/>
    <s v="9.9932-1907"/>
    <s v="RUA FRANCISCO RODRIGUES SERRALHA, 350 CONDOMINIO UCHOA BLOCO 27 APTO 402"/>
    <s v="CHACARAS TUBALINA"/>
    <m/>
    <m/>
    <m/>
    <x v="1"/>
    <n v="1"/>
    <n v="40"/>
    <n v="40"/>
    <m/>
    <x v="1"/>
  </r>
  <r>
    <n v="851"/>
    <x v="19"/>
    <x v="12"/>
    <x v="189"/>
    <s v="3219-8921"/>
    <s v="RUA TUIUTI 279, TEL: 99954-1904/ 98852-9621"/>
    <s v="TABAJARAS"/>
    <m/>
    <m/>
    <m/>
    <x v="1"/>
    <n v="1"/>
    <n v="40"/>
    <n v="40"/>
    <m/>
    <x v="1"/>
  </r>
  <r>
    <n v="850"/>
    <x v="19"/>
    <x v="7"/>
    <x v="39"/>
    <s v="98803-5267"/>
    <s v="RUA CAMPO RUPESTRE, 193"/>
    <s v=" JD. BOTANICO "/>
    <m/>
    <m/>
    <m/>
    <x v="1"/>
    <n v="1"/>
    <n v="40"/>
    <n v="40"/>
    <n v="40"/>
    <x v="2"/>
  </r>
  <r>
    <n v="849"/>
    <x v="19"/>
    <x v="7"/>
    <x v="40"/>
    <s v="98845-0023"/>
    <s v="RUA PROF. CIRO DE CASTRO ALMEIDA, 1576"/>
    <s v="CUSTODIO PEREIRA"/>
    <m/>
    <m/>
    <s v="GABRIEL"/>
    <x v="0"/>
    <n v="1"/>
    <n v="40"/>
    <n v="40"/>
    <n v="40"/>
    <x v="2"/>
  </r>
  <r>
    <n v="849"/>
    <x v="19"/>
    <x v="7"/>
    <x v="40"/>
    <s v="98845-0023"/>
    <s v="RUA PROF. CIRO DE CASTRO ALMEIDA, 1576"/>
    <s v="CUSTODIO PEREIRA"/>
    <m/>
    <m/>
    <s v="GABRIEL"/>
    <x v="2"/>
    <n v="1"/>
    <n v="40"/>
    <n v="40"/>
    <n v="40"/>
    <x v="2"/>
  </r>
  <r>
    <n v="848"/>
    <x v="19"/>
    <x v="7"/>
    <x v="41"/>
    <s v="99133-6005"/>
    <m/>
    <m/>
    <m/>
    <s v="CEDEL"/>
    <s v="GABRIEL"/>
    <x v="0"/>
    <n v="1"/>
    <n v="40"/>
    <n v="40"/>
    <m/>
    <x v="1"/>
  </r>
  <r>
    <n v="847"/>
    <x v="19"/>
    <x v="20"/>
    <x v="8"/>
    <s v="9.9149-1390"/>
    <n v="0"/>
    <s v="CEDEL"/>
    <m/>
    <m/>
    <m/>
    <x v="3"/>
    <n v="1"/>
    <n v="40"/>
    <n v="40"/>
    <m/>
    <x v="1"/>
  </r>
  <r>
    <n v="846"/>
    <x v="19"/>
    <x v="24"/>
    <x v="121"/>
    <s v="99979-3354"/>
    <n v="0"/>
    <n v="0"/>
    <m/>
    <m/>
    <m/>
    <x v="2"/>
    <n v="2"/>
    <n v="40"/>
    <n v="80"/>
    <m/>
    <x v="1"/>
  </r>
  <r>
    <n v="845"/>
    <x v="19"/>
    <x v="17"/>
    <x v="161"/>
    <s v="99669-6170"/>
    <s v="RUA PROF. CIRO DE CASTRO ALMEIDA, 1576"/>
    <s v="CUSTODIO PEREIRA"/>
    <s v="38405-250"/>
    <m/>
    <s v="GABRIEL"/>
    <x v="2"/>
    <n v="1"/>
    <n v="40"/>
    <n v="40"/>
    <n v="40"/>
    <x v="2"/>
  </r>
  <r>
    <n v="845"/>
    <x v="19"/>
    <x v="17"/>
    <x v="161"/>
    <s v="99669-6170"/>
    <s v="RUA PROF. CIRO DE CASTRO ALMEIDA, 1576"/>
    <s v="CUSTODIO PEREIRA"/>
    <s v="38405-250"/>
    <m/>
    <s v="GABRIEL"/>
    <x v="3"/>
    <n v="1"/>
    <n v="40"/>
    <n v="40"/>
    <n v="40"/>
    <x v="2"/>
  </r>
  <r>
    <n v="844"/>
    <x v="19"/>
    <x v="17"/>
    <x v="62"/>
    <s v="99676-2593 "/>
    <s v="R. ANITA 125 PASSARELA AV. LIBERDADE ALTAMIRA"/>
    <s v="MORADA DA COLINA"/>
    <s v="38411-014"/>
    <m/>
    <m/>
    <x v="2"/>
    <n v="1"/>
    <n v="40"/>
    <n v="40"/>
    <m/>
    <x v="1"/>
  </r>
  <r>
    <n v="844"/>
    <x v="19"/>
    <x v="17"/>
    <x v="62"/>
    <s v="99676-2593 "/>
    <s v="R. ANITA 125 PASSARELA AV. LIBERDADE ALTAMIRA"/>
    <s v="MORADA DA COLINA"/>
    <s v="38411-014"/>
    <m/>
    <m/>
    <x v="3"/>
    <n v="1"/>
    <n v="40"/>
    <n v="40"/>
    <m/>
    <x v="1"/>
  </r>
  <r>
    <n v="843"/>
    <x v="19"/>
    <x v="17"/>
    <x v="59"/>
    <n v="0"/>
    <n v="0"/>
    <n v="0"/>
    <m/>
    <m/>
    <m/>
    <x v="0"/>
    <n v="1"/>
    <n v="40"/>
    <n v="40"/>
    <m/>
    <x v="1"/>
  </r>
  <r>
    <n v="843"/>
    <x v="19"/>
    <x v="17"/>
    <x v="59"/>
    <n v="0"/>
    <n v="0"/>
    <n v="0"/>
    <m/>
    <m/>
    <m/>
    <x v="1"/>
    <n v="1"/>
    <n v="40"/>
    <n v="40"/>
    <m/>
    <x v="1"/>
  </r>
  <r>
    <n v="842"/>
    <x v="19"/>
    <x v="17"/>
    <x v="58"/>
    <s v="99147-8758"/>
    <n v="0"/>
    <n v="0"/>
    <m/>
    <m/>
    <m/>
    <x v="0"/>
    <n v="2"/>
    <n v="40"/>
    <n v="80"/>
    <m/>
    <x v="1"/>
  </r>
  <r>
    <n v="841"/>
    <x v="20"/>
    <x v="21"/>
    <x v="16"/>
    <s v="9.9232-5605"/>
    <s v="R. EDMUNDO MUNIR ARANTES, 79"/>
    <s v="PLANALTO"/>
    <s v="38413-276"/>
    <s v="+FRALDAS"/>
    <m/>
    <x v="1"/>
    <n v="1"/>
    <n v="40"/>
    <n v="40"/>
    <n v="40"/>
    <x v="2"/>
  </r>
  <r>
    <n v="840"/>
    <x v="20"/>
    <x v="21"/>
    <x v="28"/>
    <s v="9.9694-0869"/>
    <s v="R. IBIA, 127"/>
    <s v="OSVALDO REZENDE"/>
    <s v="38400-430"/>
    <m/>
    <m/>
    <x v="1"/>
    <n v="1"/>
    <n v="40"/>
    <n v="40"/>
    <m/>
    <x v="1"/>
  </r>
  <r>
    <n v="839"/>
    <x v="20"/>
    <x v="21"/>
    <x v="197"/>
    <s v=" 9.9244-8198"/>
    <s v="R. DOS PANDEIROS, 101"/>
    <s v="TAIAMAN"/>
    <s v="38415-084"/>
    <m/>
    <m/>
    <x v="0"/>
    <n v="1"/>
    <n v="40"/>
    <n v="40"/>
    <m/>
    <x v="1"/>
  </r>
  <r>
    <n v="838"/>
    <x v="20"/>
    <x v="21"/>
    <x v="198"/>
    <n v="0"/>
    <n v="0"/>
    <n v="0"/>
    <m/>
    <m/>
    <s v="MARIA LÚCIA"/>
    <x v="1"/>
    <n v="1"/>
    <n v="40"/>
    <n v="40"/>
    <m/>
    <x v="1"/>
  </r>
  <r>
    <n v="837"/>
    <x v="20"/>
    <x v="21"/>
    <x v="98"/>
    <s v="9.9991-4357"/>
    <s v="R. MICHELE VIRNO, 4093"/>
    <s v="CUSTODIO PEREIRA"/>
    <s v="38405-190"/>
    <m/>
    <m/>
    <x v="4"/>
    <n v="1"/>
    <n v="40"/>
    <n v="40"/>
    <m/>
    <x v="1"/>
  </r>
  <r>
    <n v="836"/>
    <x v="20"/>
    <x v="21"/>
    <x v="30"/>
    <s v="3213-3201/ 9.9211-0864"/>
    <s v="AV. CLARA CAMARAO, 427"/>
    <s v="N.SRA GRAçAS"/>
    <s v="38402-010"/>
    <m/>
    <m/>
    <x v="1"/>
    <n v="1"/>
    <n v="40"/>
    <n v="40"/>
    <m/>
    <x v="1"/>
  </r>
  <r>
    <n v="836"/>
    <x v="20"/>
    <x v="21"/>
    <x v="30"/>
    <s v="3213-3201/ 9.9211-0864"/>
    <s v="AV. CLARA CAMARAO, 427"/>
    <s v="N.SRA GRAçAS"/>
    <s v="38402-010"/>
    <m/>
    <m/>
    <x v="2"/>
    <n v="1"/>
    <n v="40"/>
    <n v="40"/>
    <m/>
    <x v="1"/>
  </r>
  <r>
    <n v="835"/>
    <x v="20"/>
    <x v="21"/>
    <x v="19"/>
    <s v=" 99155-5564 / 3215-1758"/>
    <s v="AV. CESARIO CROSARA, 3525"/>
    <s v=" ROOSEVELT "/>
    <s v="38401-119"/>
    <m/>
    <m/>
    <x v="3"/>
    <n v="1"/>
    <n v="40"/>
    <n v="40"/>
    <m/>
    <x v="1"/>
  </r>
  <r>
    <n v="834"/>
    <x v="20"/>
    <x v="21"/>
    <x v="199"/>
    <s v="98856-2310"/>
    <s v="R. PATRULHEIRO OSMAR TAVARES, 1331 APTO 303 ANTIGA 21"/>
    <s v="SANTA MONICA"/>
    <s v="38408-294"/>
    <m/>
    <m/>
    <x v="1"/>
    <n v="1"/>
    <n v="40"/>
    <n v="40"/>
    <m/>
    <x v="1"/>
  </r>
  <r>
    <n v="833"/>
    <x v="20"/>
    <x v="21"/>
    <x v="17"/>
    <n v="0"/>
    <n v="0"/>
    <n v="0"/>
    <m/>
    <m/>
    <s v="CEDEL"/>
    <x v="2"/>
    <n v="1"/>
    <n v="40"/>
    <n v="40"/>
    <n v="40"/>
    <x v="2"/>
  </r>
  <r>
    <n v="832"/>
    <x v="20"/>
    <x v="21"/>
    <x v="32"/>
    <s v="9.9171-4462"/>
    <s v="R. MONLEVADE, 852"/>
    <s v="DANIEL FONSECA"/>
    <s v="38400-320"/>
    <m/>
    <m/>
    <x v="2"/>
    <n v="2"/>
    <n v="40"/>
    <n v="80"/>
    <m/>
    <x v="1"/>
  </r>
  <r>
    <n v="831"/>
    <x v="20"/>
    <x v="21"/>
    <x v="25"/>
    <s v="99148-4283"/>
    <s v="R. JADE, 45 "/>
    <s v="JD. BOTANICO"/>
    <s v="38411-634"/>
    <m/>
    <m/>
    <x v="1"/>
    <n v="1"/>
    <n v="40"/>
    <n v="40"/>
    <m/>
    <x v="1"/>
  </r>
  <r>
    <n v="830"/>
    <x v="20"/>
    <x v="21"/>
    <x v="29"/>
    <s v="99195-9740"/>
    <s v="AV. BELO HORIZONTE, 1786 - ESQUINA C/ R. LAMBARI"/>
    <s v=" OSVALDO RESENDE "/>
    <s v="38400-454"/>
    <m/>
    <m/>
    <x v="0"/>
    <n v="1"/>
    <n v="40"/>
    <n v="40"/>
    <m/>
    <x v="1"/>
  </r>
  <r>
    <n v="829"/>
    <x v="20"/>
    <x v="21"/>
    <x v="10"/>
    <s v="3213-2775"/>
    <s v="R. PEDRO QUIRINO DA SILVA, 341 "/>
    <s v="MARTA HELENA "/>
    <s v="38402-075"/>
    <m/>
    <m/>
    <x v="1"/>
    <n v="5"/>
    <n v="40"/>
    <n v="200"/>
    <n v="200"/>
    <x v="2"/>
  </r>
  <r>
    <n v="828"/>
    <x v="20"/>
    <x v="21"/>
    <x v="31"/>
    <s v="9.8899-1860"/>
    <s v="R. ENGENHEIRO HELVIO FELICI, 250"/>
    <s v="MORADA DA COLINA"/>
    <s v="38411-114"/>
    <m/>
    <s v="MARIA LÚCIA"/>
    <x v="2"/>
    <n v="1"/>
    <n v="40"/>
    <n v="40"/>
    <m/>
    <x v="1"/>
  </r>
  <r>
    <n v="827"/>
    <x v="20"/>
    <x v="19"/>
    <x v="96"/>
    <n v="0"/>
    <n v="0"/>
    <s v="ZE LUIZ"/>
    <m/>
    <m/>
    <s v="JOSÉ LUIZ"/>
    <x v="1"/>
    <n v="1"/>
    <n v="40"/>
    <n v="40"/>
    <m/>
    <x v="1"/>
  </r>
  <r>
    <n v="826"/>
    <x v="20"/>
    <x v="22"/>
    <x v="168"/>
    <s v="9.9141-7904"/>
    <n v="0"/>
    <n v="0"/>
    <m/>
    <m/>
    <m/>
    <x v="0"/>
    <n v="1"/>
    <n v="40"/>
    <n v="40"/>
    <m/>
    <x v="1"/>
  </r>
  <r>
    <n v="825"/>
    <x v="20"/>
    <x v="18"/>
    <x v="179"/>
    <s v="9.9673-3900"/>
    <s v="AV. VEREADOR CARLITO CORDEIRO, Nº 2315 - CONDOMINIO SPLENDIDO - INTERNO: R. 09, N° 150."/>
    <s v="JD KARAIBA"/>
    <s v="38410-665"/>
    <m/>
    <m/>
    <x v="1"/>
    <n v="1"/>
    <n v="40"/>
    <n v="40"/>
    <m/>
    <x v="1"/>
  </r>
  <r>
    <n v="824"/>
    <x v="20"/>
    <x v="18"/>
    <x v="134"/>
    <s v="9.9634-0246"/>
    <s v="Rua José Miguel Saramago, 63, Casa 02"/>
    <s v="SANTA MONICA"/>
    <s v="38408-222"/>
    <m/>
    <m/>
    <x v="1"/>
    <n v="1"/>
    <n v="40"/>
    <n v="40"/>
    <m/>
    <x v="1"/>
  </r>
  <r>
    <n v="823"/>
    <x v="20"/>
    <x v="18"/>
    <x v="49"/>
    <n v="0"/>
    <s v="Rua José Pires Defensor, 600, Casa 28"/>
    <n v="0"/>
    <m/>
    <m/>
    <s v="MI/LEANDRO"/>
    <x v="1"/>
    <n v="1"/>
    <n v="40"/>
    <n v="40"/>
    <m/>
    <x v="1"/>
  </r>
  <r>
    <n v="822"/>
    <x v="20"/>
    <x v="18"/>
    <x v="200"/>
    <s v="9.9684-7889"/>
    <s v="AV. IMBAÚBA 2200 BL03 AP404"/>
    <s v="JARAGUÁ"/>
    <s v="38413-108"/>
    <m/>
    <m/>
    <x v="1"/>
    <n v="1"/>
    <n v="40"/>
    <n v="40"/>
    <m/>
    <x v="1"/>
  </r>
  <r>
    <n v="821"/>
    <x v="20"/>
    <x v="18"/>
    <x v="201"/>
    <s v="9.9222-2656"/>
    <s v="ALAMEDA BENETIDO JOSÉ DE SOUZA, Nº 81"/>
    <s v=" JD HOLANDA "/>
    <s v="38412-887"/>
    <m/>
    <m/>
    <x v="1"/>
    <n v="1"/>
    <n v="40"/>
    <n v="40"/>
    <m/>
    <x v="1"/>
  </r>
  <r>
    <n v="820"/>
    <x v="20"/>
    <x v="18"/>
    <x v="94"/>
    <s v="9.9976-8255"/>
    <s v="R. Irene Rosa, 54 OU R. do Borracheiro, 221"/>
    <s v="OSVALDO REZENDE"/>
    <s v="38400-480"/>
    <m/>
    <m/>
    <x v="1"/>
    <n v="1"/>
    <n v="40"/>
    <n v="40"/>
    <m/>
    <x v="1"/>
  </r>
  <r>
    <n v="819"/>
    <x v="20"/>
    <x v="18"/>
    <x v="202"/>
    <s v="9.9830-9676"/>
    <s v="R. ANTILHAS, 438"/>
    <s v="TIBERY"/>
    <s v="38405-176"/>
    <m/>
    <m/>
    <x v="2"/>
    <n v="1"/>
    <n v="40"/>
    <n v="40"/>
    <m/>
    <x v="1"/>
  </r>
  <r>
    <n v="819"/>
    <x v="20"/>
    <x v="18"/>
    <x v="202"/>
    <s v="9.9830-9676"/>
    <s v="R. ANTILHAS, 438"/>
    <s v="TIBERY"/>
    <s v="38405-176"/>
    <m/>
    <m/>
    <x v="3"/>
    <n v="1"/>
    <n v="40"/>
    <n v="40"/>
    <m/>
    <x v="1"/>
  </r>
  <r>
    <n v="818"/>
    <x v="20"/>
    <x v="24"/>
    <x v="203"/>
    <s v="34.99979-3354"/>
    <n v="0"/>
    <n v="0"/>
    <m/>
    <m/>
    <s v="CEDEL"/>
    <x v="2"/>
    <n v="2"/>
    <n v="40"/>
    <n v="80"/>
    <m/>
    <x v="1"/>
  </r>
  <r>
    <n v="817"/>
    <x v="20"/>
    <x v="17"/>
    <x v="59"/>
    <n v="0"/>
    <n v="0"/>
    <n v="0"/>
    <m/>
    <m/>
    <s v="CEDEL"/>
    <x v="0"/>
    <n v="1"/>
    <n v="40"/>
    <n v="40"/>
    <m/>
    <x v="1"/>
  </r>
  <r>
    <n v="817"/>
    <x v="20"/>
    <x v="17"/>
    <x v="59"/>
    <n v="0"/>
    <n v="0"/>
    <n v="0"/>
    <m/>
    <m/>
    <s v="CEDEL"/>
    <x v="1"/>
    <n v="1"/>
    <n v="40"/>
    <n v="40"/>
    <m/>
    <x v="1"/>
  </r>
  <r>
    <n v="816"/>
    <x v="20"/>
    <x v="10"/>
    <x v="10"/>
    <s v="34.3213-2775"/>
    <s v="R. Pedro Quirino da Silva, 341 "/>
    <s v="MARTA HELENA "/>
    <s v="38402-075"/>
    <m/>
    <m/>
    <x v="1"/>
    <n v="1"/>
    <n v="40"/>
    <n v="40"/>
    <m/>
    <x v="1"/>
  </r>
  <r>
    <n v="815"/>
    <x v="20"/>
    <x v="10"/>
    <x v="60"/>
    <n v="0"/>
    <n v="0"/>
    <n v="0"/>
    <m/>
    <s v="RECEBER 3(FALE)"/>
    <s v="CEDEL"/>
    <x v="1"/>
    <n v="2"/>
    <n v="40"/>
    <n v="80"/>
    <m/>
    <x v="1"/>
  </r>
  <r>
    <n v="814"/>
    <x v="20"/>
    <x v="25"/>
    <x v="204"/>
    <s v="34.99166-0731"/>
    <s v="RUA MARQUES POVOA, 456"/>
    <s v=" OSVALDO RESENDE "/>
    <s v="38400-438"/>
    <m/>
    <m/>
    <x v="1"/>
    <n v="1"/>
    <n v="40"/>
    <n v="40"/>
    <n v="40"/>
    <x v="2"/>
  </r>
  <r>
    <n v="813"/>
    <x v="20"/>
    <x v="25"/>
    <x v="205"/>
    <s v="34.99196-8079"/>
    <s v="RUA PEDRO JOSE SAMORA, 1468, ANT 17 "/>
    <s v=" SANTA MONICA "/>
    <s v="38408-224"/>
    <m/>
    <m/>
    <x v="0"/>
    <n v="2"/>
    <n v="40"/>
    <n v="80"/>
    <n v="80"/>
    <x v="2"/>
  </r>
  <r>
    <n v="812"/>
    <x v="20"/>
    <x v="19"/>
    <x v="10"/>
    <s v="34.3213-2775"/>
    <s v="R. Pedro Quirino da Silva, 341 "/>
    <s v="MARTA HELENA "/>
    <s v="38402-075"/>
    <s v="RODRIGO/ZÉ"/>
    <m/>
    <x v="1"/>
    <n v="2"/>
    <n v="40"/>
    <n v="80"/>
    <m/>
    <x v="1"/>
  </r>
  <r>
    <n v="811"/>
    <x v="20"/>
    <x v="11"/>
    <x v="206"/>
    <n v="0"/>
    <n v="0"/>
    <n v="0"/>
    <m/>
    <m/>
    <s v="CEDEL"/>
    <x v="2"/>
    <n v="1"/>
    <n v="40"/>
    <n v="40"/>
    <m/>
    <x v="1"/>
  </r>
  <r>
    <n v="809"/>
    <x v="20"/>
    <x v="17"/>
    <x v="86"/>
    <s v="9.9166-1547"/>
    <n v="0"/>
    <s v="CEDEL"/>
    <m/>
    <m/>
    <s v="CEDEL"/>
    <x v="0"/>
    <n v="2"/>
    <n v="40"/>
    <n v="80"/>
    <m/>
    <x v="1"/>
  </r>
  <r>
    <n v="809"/>
    <x v="20"/>
    <x v="17"/>
    <x v="86"/>
    <s v="9.9166-1547"/>
    <n v="0"/>
    <s v="CEDEL"/>
    <m/>
    <m/>
    <s v="CEDEL"/>
    <x v="1"/>
    <n v="1"/>
    <n v="40"/>
    <n v="40"/>
    <m/>
    <x v="1"/>
  </r>
  <r>
    <n v="809"/>
    <x v="20"/>
    <x v="17"/>
    <x v="86"/>
    <s v="9.9166-1547"/>
    <n v="0"/>
    <s v="CEDEL"/>
    <m/>
    <m/>
    <s v="CEDEL"/>
    <x v="2"/>
    <n v="2"/>
    <n v="40"/>
    <n v="80"/>
    <m/>
    <x v="1"/>
  </r>
  <r>
    <n v="809"/>
    <x v="20"/>
    <x v="17"/>
    <x v="86"/>
    <s v="9.9166-1547"/>
    <n v="0"/>
    <s v="CEDEL"/>
    <m/>
    <m/>
    <s v="CEDEL"/>
    <x v="3"/>
    <n v="1"/>
    <n v="40"/>
    <n v="40"/>
    <m/>
    <x v="1"/>
  </r>
  <r>
    <n v="807"/>
    <x v="20"/>
    <x v="18"/>
    <x v="175"/>
    <s v="9.9303-7802"/>
    <n v="0"/>
    <n v="0"/>
    <m/>
    <m/>
    <m/>
    <x v="0"/>
    <n v="1"/>
    <n v="40"/>
    <n v="40"/>
    <m/>
    <x v="1"/>
  </r>
  <r>
    <n v="807"/>
    <x v="20"/>
    <x v="18"/>
    <x v="175"/>
    <s v="9.9303-7802"/>
    <n v="0"/>
    <n v="0"/>
    <m/>
    <m/>
    <m/>
    <x v="2"/>
    <n v="1"/>
    <n v="40"/>
    <n v="40"/>
    <m/>
    <x v="1"/>
  </r>
  <r>
    <n v="807"/>
    <x v="20"/>
    <x v="18"/>
    <x v="175"/>
    <s v="9.9303-7802"/>
    <n v="0"/>
    <n v="0"/>
    <m/>
    <m/>
    <m/>
    <x v="3"/>
    <n v="1"/>
    <n v="40"/>
    <n v="40"/>
    <m/>
    <x v="1"/>
  </r>
  <r>
    <n v="805"/>
    <x v="20"/>
    <x v="16"/>
    <x v="141"/>
    <n v="0"/>
    <s v="Entrega Levy"/>
    <n v="0"/>
    <m/>
    <m/>
    <m/>
    <x v="0"/>
    <n v="1"/>
    <n v="40"/>
    <n v="40"/>
    <m/>
    <x v="1"/>
  </r>
  <r>
    <n v="804"/>
    <x v="20"/>
    <x v="17"/>
    <x v="62"/>
    <s v="34.99676-2593 "/>
    <s v="R. ANITA 125 PASSARELA AV. LIBERDADE ALTAMIRA"/>
    <s v="MORADA DA COLINA"/>
    <s v="38411-014"/>
    <m/>
    <m/>
    <x v="2"/>
    <n v="1"/>
    <n v="40"/>
    <n v="40"/>
    <m/>
    <x v="1"/>
  </r>
  <r>
    <n v="804"/>
    <x v="20"/>
    <x v="17"/>
    <x v="62"/>
    <s v="34.99676-2593 "/>
    <s v="R. ANITA 125 PASSARELA AV. LIBERDADE ALTAMIRA"/>
    <s v="MORADA DA COLINA"/>
    <s v="38411-014"/>
    <m/>
    <m/>
    <x v="3"/>
    <n v="1"/>
    <n v="40"/>
    <n v="40"/>
    <m/>
    <x v="1"/>
  </r>
  <r>
    <n v="803"/>
    <x v="20"/>
    <x v="17"/>
    <x v="207"/>
    <s v="34.99147-8758"/>
    <n v="0"/>
    <n v="0"/>
    <m/>
    <m/>
    <s v="CEDEL"/>
    <x v="0"/>
    <n v="2"/>
    <n v="40"/>
    <n v="80"/>
    <m/>
    <x v="1"/>
  </r>
  <r>
    <n v="802"/>
    <x v="20"/>
    <x v="17"/>
    <x v="161"/>
    <s v="34.99669-6170"/>
    <s v="Rua Prof. Ciro de Castro Almeida, 1576"/>
    <s v="CUSTÓDIO PEREIRA"/>
    <s v="38405-250"/>
    <s v="CASA REGINA"/>
    <m/>
    <x v="2"/>
    <n v="1"/>
    <n v="40"/>
    <n v="40"/>
    <n v="40"/>
    <x v="2"/>
  </r>
  <r>
    <n v="802"/>
    <x v="20"/>
    <x v="17"/>
    <x v="161"/>
    <s v="34.99669-6170"/>
    <s v="Rua Prof. Ciro de Castro Almeida, 1576"/>
    <s v="CUSTÓDIO PEREIRA"/>
    <s v="38405-250"/>
    <s v="CASA REGINA"/>
    <m/>
    <x v="3"/>
    <n v="1"/>
    <n v="40"/>
    <n v="40"/>
    <n v="40"/>
    <x v="2"/>
  </r>
  <r>
    <n v="801"/>
    <x v="20"/>
    <x v="20"/>
    <x v="8"/>
    <s v="9.9149-1390"/>
    <n v="0"/>
    <s v="CEDEL"/>
    <m/>
    <m/>
    <m/>
    <x v="3"/>
    <n v="1"/>
    <n v="40"/>
    <n v="40"/>
    <m/>
    <x v="1"/>
  </r>
  <r>
    <n v="800"/>
    <x v="20"/>
    <x v="23"/>
    <x v="208"/>
    <s v="34.99979-5832"/>
    <n v="0"/>
    <n v="0"/>
    <m/>
    <m/>
    <m/>
    <x v="2"/>
    <n v="1"/>
    <n v="40"/>
    <n v="40"/>
    <m/>
    <x v="1"/>
  </r>
  <r>
    <n v="799"/>
    <x v="20"/>
    <x v="17"/>
    <x v="140"/>
    <s v="9.9811-4187"/>
    <s v="Rua Tupaciguara 400 ap 701  - Entrega até 13h"/>
    <s v="APARECIDA"/>
    <s v="38400-618"/>
    <s v="LIGAR ANTES"/>
    <m/>
    <x v="0"/>
    <n v="1"/>
    <n v="40"/>
    <n v="40"/>
    <m/>
    <x v="1"/>
  </r>
  <r>
    <n v="798"/>
    <x v="20"/>
    <x v="17"/>
    <x v="190"/>
    <s v="34.99286-0302"/>
    <s v="R. DO PROFESSOR 320"/>
    <s v="PLANALTO"/>
    <s v="38412-296"/>
    <s v="RECEBER 20"/>
    <m/>
    <x v="1"/>
    <n v="1"/>
    <n v="40"/>
    <n v="40"/>
    <m/>
    <x v="1"/>
  </r>
  <r>
    <n v="797"/>
    <x v="20"/>
    <x v="17"/>
    <x v="209"/>
    <s v="34.99979-3545"/>
    <s v="AV. BRASIL, 1607"/>
    <s v="BRASIL"/>
    <s v="38400-716"/>
    <m/>
    <m/>
    <x v="3"/>
    <n v="1"/>
    <n v="40"/>
    <n v="40"/>
    <m/>
    <x v="1"/>
  </r>
  <r>
    <n v="796"/>
    <x v="20"/>
    <x v="7"/>
    <x v="40"/>
    <s v="34.98845-0023"/>
    <s v="Rua Prof. Ciro de Castro Almeida, 1576"/>
    <s v="CUSTÓDIO PEREIRA"/>
    <s v="38405-250"/>
    <m/>
    <m/>
    <x v="0"/>
    <n v="1"/>
    <n v="40"/>
    <n v="40"/>
    <n v="40"/>
    <x v="2"/>
  </r>
  <r>
    <n v="796"/>
    <x v="20"/>
    <x v="7"/>
    <x v="40"/>
    <s v="34.98845-0023"/>
    <s v="Rua Prof. Ciro de Castro Almeida, 1576"/>
    <s v="CUSTÓDIO PEREIRA"/>
    <s v="38405-250"/>
    <m/>
    <m/>
    <x v="2"/>
    <n v="1"/>
    <n v="40"/>
    <n v="40"/>
    <n v="40"/>
    <x v="2"/>
  </r>
  <r>
    <n v="795"/>
    <x v="20"/>
    <x v="7"/>
    <x v="39"/>
    <s v="34.98803-5267"/>
    <s v="Rua Campo Rupestre, 193"/>
    <s v=" JD. BOTANICO "/>
    <s v="38410-664"/>
    <m/>
    <m/>
    <x v="1"/>
    <n v="1"/>
    <n v="40"/>
    <n v="40"/>
    <n v="40"/>
    <x v="2"/>
  </r>
  <r>
    <n v="794"/>
    <x v="20"/>
    <x v="7"/>
    <x v="210"/>
    <s v="34.99167-3677"/>
    <s v="Av Dr Laerte viera Gonçalves, 2415 - ap 102"/>
    <s v="SANTA MONICA"/>
    <s v="38408-176"/>
    <m/>
    <m/>
    <x v="2"/>
    <n v="1"/>
    <n v="40"/>
    <n v="40"/>
    <m/>
    <x v="1"/>
  </r>
  <r>
    <n v="794"/>
    <x v="20"/>
    <x v="7"/>
    <x v="210"/>
    <s v="34.99167-3677"/>
    <s v="Av Dr Laerte viera Gonçalves, 2415 - ap 102"/>
    <s v="SANTA MONICA"/>
    <s v="38408-176"/>
    <m/>
    <m/>
    <x v="3"/>
    <n v="1"/>
    <n v="40"/>
    <n v="40"/>
    <m/>
    <x v="1"/>
  </r>
  <r>
    <n v="793"/>
    <x v="20"/>
    <x v="7"/>
    <x v="41"/>
    <s v="34.99133-6005"/>
    <s v="Rua Caxambu, 284 - ap 103"/>
    <s v=" OSVALDO RESENDE "/>
    <s v="38400-418"/>
    <m/>
    <m/>
    <x v="0"/>
    <n v="1"/>
    <n v="40"/>
    <n v="40"/>
    <m/>
    <x v="1"/>
  </r>
  <r>
    <n v="792"/>
    <x v="20"/>
    <x v="12"/>
    <x v="90"/>
    <n v="0"/>
    <n v="0"/>
    <n v="0"/>
    <m/>
    <m/>
    <s v="XANDE/ELIS"/>
    <x v="2"/>
    <n v="1"/>
    <n v="40"/>
    <n v="40"/>
    <m/>
    <x v="1"/>
  </r>
  <r>
    <n v="791"/>
    <x v="20"/>
    <x v="12"/>
    <x v="92"/>
    <s v=" 34.9973-9967"/>
    <n v="0"/>
    <n v="0"/>
    <m/>
    <m/>
    <s v="LIZ/XANDE"/>
    <x v="1"/>
    <n v="1"/>
    <n v="40"/>
    <n v="40"/>
    <m/>
    <x v="1"/>
  </r>
  <r>
    <n v="791"/>
    <x v="20"/>
    <x v="12"/>
    <x v="92"/>
    <s v=" 34.9973-9967"/>
    <n v="0"/>
    <n v="0"/>
    <m/>
    <m/>
    <s v="LIZ/XANDE"/>
    <x v="3"/>
    <n v="1"/>
    <n v="40"/>
    <n v="40"/>
    <m/>
    <x v="1"/>
  </r>
  <r>
    <n v="790"/>
    <x v="20"/>
    <x v="12"/>
    <x v="185"/>
    <n v="0"/>
    <s v="Alameda pauso cesar santana , 885 -bloco 7 , apto 406"/>
    <s v=" JD HOLANDA "/>
    <s v="38412-326"/>
    <m/>
    <m/>
    <x v="1"/>
    <n v="1"/>
    <n v="40"/>
    <n v="40"/>
    <m/>
    <x v="1"/>
  </r>
  <r>
    <n v="789"/>
    <x v="20"/>
    <x v="12"/>
    <x v="91"/>
    <s v="9.9976-5102"/>
    <n v="0"/>
    <s v="CEDEL"/>
    <m/>
    <m/>
    <m/>
    <x v="0"/>
    <n v="2"/>
    <n v="40"/>
    <n v="80"/>
    <m/>
    <x v="1"/>
  </r>
  <r>
    <n v="788"/>
    <x v="20"/>
    <x v="12"/>
    <x v="4"/>
    <s v="9.9197-7955"/>
    <n v="0"/>
    <s v="CEDEL"/>
    <m/>
    <m/>
    <m/>
    <x v="1"/>
    <n v="2"/>
    <n v="40"/>
    <n v="80"/>
    <m/>
    <x v="1"/>
  </r>
  <r>
    <n v="787"/>
    <x v="20"/>
    <x v="12"/>
    <x v="75"/>
    <s v="9.9932-1907"/>
    <s v="Rua Francisco Rodrigues Serralha, 350 Condomínio Uchoa Bloco 27 apto 402"/>
    <s v="Chácaras Tubalina"/>
    <s v="38413-297"/>
    <m/>
    <m/>
    <x v="1"/>
    <n v="1"/>
    <n v="40"/>
    <n v="40"/>
    <m/>
    <x v="1"/>
  </r>
  <r>
    <n v="786"/>
    <x v="20"/>
    <x v="12"/>
    <x v="189"/>
    <s v="34.3219-8921"/>
    <s v="Rua Tuiuti 279, Tel: 99954-1904/ 98852-9621"/>
    <s v="TABAJARAS"/>
    <s v="38400-264"/>
    <m/>
    <m/>
    <x v="1"/>
    <n v="1"/>
    <n v="40"/>
    <n v="40"/>
    <m/>
    <x v="1"/>
  </r>
  <r>
    <n v="785"/>
    <x v="21"/>
    <x v="12"/>
    <x v="91"/>
    <s v="9.9976-5102"/>
    <n v="0"/>
    <s v="CEDEL"/>
    <m/>
    <m/>
    <m/>
    <x v="0"/>
    <n v="3"/>
    <n v="40"/>
    <n v="120"/>
    <m/>
    <x v="1"/>
  </r>
  <r>
    <n v="784"/>
    <x v="21"/>
    <x v="21"/>
    <x v="211"/>
    <s v="9.8819-4189"/>
    <s v="R. CAETÉS, 580"/>
    <s v="SARAIVA"/>
    <s v="38408-422"/>
    <m/>
    <m/>
    <x v="1"/>
    <n v="2"/>
    <n v="40"/>
    <n v="80"/>
    <n v="80"/>
    <x v="2"/>
  </r>
  <r>
    <n v="783"/>
    <x v="21"/>
    <x v="21"/>
    <x v="212"/>
    <s v="9.8861-2894"/>
    <s v="R. CLÉZIO MIGUELETO, 525, AP101, BL B"/>
    <s v="ROOSEVELT"/>
    <s v="38401-040"/>
    <m/>
    <m/>
    <x v="1"/>
    <n v="1"/>
    <n v="40"/>
    <n v="40"/>
    <n v="40"/>
    <x v="2"/>
  </r>
  <r>
    <n v="782"/>
    <x v="21"/>
    <x v="21"/>
    <x v="213"/>
    <s v="9.8862-8595"/>
    <s v="R. ALBERTO MARQUES, 128"/>
    <s v="ROOSEVELT"/>
    <s v="39401-090"/>
    <m/>
    <m/>
    <x v="1"/>
    <n v="1"/>
    <n v="40"/>
    <n v="40"/>
    <n v="40"/>
    <x v="2"/>
  </r>
  <r>
    <n v="781"/>
    <x v="21"/>
    <x v="21"/>
    <x v="214"/>
    <s v="9.9674-5665"/>
    <s v="R. JOÃO LIMÍRIO DOS ANJOS, 1053"/>
    <s v="SANTA MONICA"/>
    <s v="38408-266"/>
    <m/>
    <m/>
    <x v="1"/>
    <n v="2"/>
    <n v="40"/>
    <n v="80"/>
    <n v="80"/>
    <x v="2"/>
  </r>
  <r>
    <n v="780"/>
    <x v="21"/>
    <x v="21"/>
    <x v="196"/>
    <s v="9.0025-8945"/>
    <s v="R. PIAUÍ, 255"/>
    <s v="MARTA HELENA "/>
    <s v="38402-043"/>
    <m/>
    <m/>
    <x v="1"/>
    <n v="1"/>
    <n v="40"/>
    <n v="40"/>
    <m/>
    <x v="1"/>
  </r>
  <r>
    <n v="779"/>
    <x v="21"/>
    <x v="21"/>
    <x v="82"/>
    <s v="9.9665-5619"/>
    <s v="R. Ismael Gomes de Oliveira, 72"/>
    <s v="ALTO UMUARAMA"/>
    <s v="38405-380"/>
    <m/>
    <m/>
    <x v="0"/>
    <n v="1"/>
    <n v="40"/>
    <n v="40"/>
    <m/>
    <x v="1"/>
  </r>
  <r>
    <n v="778"/>
    <x v="21"/>
    <x v="21"/>
    <x v="98"/>
    <s v="9.9991-4357"/>
    <s v="R. Michele Virno, 4093"/>
    <s v="CUSTÓDIO PEREIRA"/>
    <s v="38405-190"/>
    <s v="1/2 MUSS 1/2C CAL"/>
    <m/>
    <x v="4"/>
    <n v="1"/>
    <n v="40"/>
    <n v="40"/>
    <m/>
    <x v="1"/>
  </r>
  <r>
    <n v="777"/>
    <x v="21"/>
    <x v="21"/>
    <x v="171"/>
    <s v="34.99222-7189"/>
    <s v="Av. José Fonseca e Silva, 210"/>
    <s v=" LUIZOTE DE FREITAS "/>
    <s v="38414-348"/>
    <s v="RECEBER R$160,00"/>
    <m/>
    <x v="1"/>
    <n v="1"/>
    <n v="40"/>
    <n v="40"/>
    <m/>
    <x v="1"/>
  </r>
  <r>
    <n v="776"/>
    <x v="21"/>
    <x v="21"/>
    <x v="30"/>
    <s v="3213-3201/ 9.9211-0864"/>
    <s v="Av. Clara Camarão, 427"/>
    <s v="N.Sra Graças"/>
    <s v="38402-010"/>
    <m/>
    <m/>
    <x v="1"/>
    <n v="1"/>
    <n v="40"/>
    <n v="40"/>
    <m/>
    <x v="1"/>
  </r>
  <r>
    <n v="776"/>
    <x v="21"/>
    <x v="21"/>
    <x v="30"/>
    <s v="3213-3201/ 9.9211-0864"/>
    <s v="Av. Clara Camarão, 427"/>
    <s v="N.Sra Graças"/>
    <s v="38402-010"/>
    <m/>
    <m/>
    <x v="2"/>
    <n v="1"/>
    <n v="40"/>
    <n v="40"/>
    <m/>
    <x v="1"/>
  </r>
  <r>
    <n v="775"/>
    <x v="21"/>
    <x v="21"/>
    <x v="19"/>
    <s v=" 34.99155-5564 / 34.3215-1758"/>
    <s v="Av. Cesário Crosara, 3525"/>
    <s v=" ROOSEVELT "/>
    <s v="38401-119"/>
    <m/>
    <m/>
    <x v="3"/>
    <n v="1"/>
    <n v="40"/>
    <n v="40"/>
    <m/>
    <x v="1"/>
  </r>
  <r>
    <n v="774"/>
    <x v="21"/>
    <x v="21"/>
    <x v="215"/>
    <s v="34.98861-0155  34.3231-1098"/>
    <s v="Av Alexandre Ribeiro Guimarães, 603"/>
    <s v=" SANTA MARIA "/>
    <s v="38408-050"/>
    <m/>
    <m/>
    <x v="1"/>
    <n v="1"/>
    <n v="40"/>
    <n v="40"/>
    <m/>
    <x v="1"/>
  </r>
  <r>
    <n v="773"/>
    <x v="21"/>
    <x v="21"/>
    <x v="216"/>
    <n v="0"/>
    <n v="0"/>
    <n v="0"/>
    <m/>
    <m/>
    <s v="CEDEL"/>
    <x v="2"/>
    <n v="1"/>
    <n v="40"/>
    <n v="40"/>
    <n v="40"/>
    <x v="2"/>
  </r>
  <r>
    <n v="772"/>
    <x v="21"/>
    <x v="21"/>
    <x v="32"/>
    <s v="9.9171-4462"/>
    <s v="R. Monlevade, 852"/>
    <s v="DANIEL FONSECA"/>
    <s v="38400-320"/>
    <m/>
    <m/>
    <x v="0"/>
    <n v="1"/>
    <n v="40"/>
    <n v="40"/>
    <m/>
    <x v="1"/>
  </r>
  <r>
    <n v="772"/>
    <x v="21"/>
    <x v="21"/>
    <x v="32"/>
    <s v="9.9171-4462"/>
    <s v="R. Monlevade, 852"/>
    <s v="DANIEL FONSECA"/>
    <s v="38400-320"/>
    <m/>
    <m/>
    <x v="2"/>
    <n v="1"/>
    <n v="40"/>
    <n v="40"/>
    <m/>
    <x v="1"/>
  </r>
  <r>
    <n v="771"/>
    <x v="21"/>
    <x v="21"/>
    <x v="100"/>
    <s v="9.8877-4323"/>
    <s v="R.Judite Moreira, 280"/>
    <s v="ROOSEVELT"/>
    <s v="38401-160"/>
    <m/>
    <m/>
    <x v="2"/>
    <n v="1"/>
    <n v="40"/>
    <n v="40"/>
    <m/>
    <x v="1"/>
  </r>
  <r>
    <n v="770"/>
    <x v="21"/>
    <x v="21"/>
    <x v="217"/>
    <s v="34.99195-9740"/>
    <s v="Av. Belo Horizonte, 1786 - esquina c/ R. Lambari"/>
    <s v=" OSVALDO RESENDE "/>
    <s v="38400-454"/>
    <m/>
    <m/>
    <x v="0"/>
    <n v="1"/>
    <n v="40"/>
    <n v="40"/>
    <m/>
    <x v="1"/>
  </r>
  <r>
    <n v="770"/>
    <x v="21"/>
    <x v="21"/>
    <x v="217"/>
    <s v="34.99195-9740"/>
    <s v="Av. Belo Horizonte, 1786 - esquina c/ R. Lambari"/>
    <s v=" OSVALDO RESENDE "/>
    <s v="38400-454"/>
    <m/>
    <m/>
    <x v="2"/>
    <n v="1"/>
    <n v="40"/>
    <n v="40"/>
    <m/>
    <x v="1"/>
  </r>
  <r>
    <n v="769"/>
    <x v="21"/>
    <x v="21"/>
    <x v="10"/>
    <s v="34.3213-2775"/>
    <s v="R. Pedro Quirino da Silva, 341 "/>
    <s v="MARTA HELENA "/>
    <s v="38402-075"/>
    <s v="BAIANO"/>
    <m/>
    <x v="1"/>
    <n v="5"/>
    <n v="40"/>
    <n v="200"/>
    <n v="200"/>
    <x v="2"/>
  </r>
  <r>
    <n v="768"/>
    <x v="21"/>
    <x v="21"/>
    <x v="76"/>
    <s v="9.8878-1706"/>
    <s v="R. Athos Paranhos Veloso, 1046"/>
    <s v=" TUBALINA "/>
    <s v="38412-076"/>
    <m/>
    <m/>
    <x v="1"/>
    <n v="1"/>
    <n v="40"/>
    <n v="40"/>
    <m/>
    <x v="1"/>
  </r>
  <r>
    <n v="767"/>
    <x v="21"/>
    <x v="23"/>
    <x v="208"/>
    <s v="34.99979-5832"/>
    <n v="0"/>
    <n v="0"/>
    <m/>
    <m/>
    <s v="CEDEL"/>
    <x v="2"/>
    <n v="1"/>
    <n v="40"/>
    <n v="40"/>
    <m/>
    <x v="1"/>
  </r>
  <r>
    <n v="766"/>
    <x v="21"/>
    <x v="16"/>
    <x v="141"/>
    <n v="0"/>
    <s v="Entrega Levy"/>
    <n v="0"/>
    <m/>
    <m/>
    <s v="CEDEL"/>
    <x v="0"/>
    <n v="1"/>
    <n v="40"/>
    <n v="40"/>
    <m/>
    <x v="1"/>
  </r>
  <r>
    <n v="765"/>
    <x v="21"/>
    <x v="24"/>
    <x v="203"/>
    <s v="34.99979-3354"/>
    <n v="0"/>
    <n v="0"/>
    <m/>
    <m/>
    <s v="CEDEL"/>
    <x v="1"/>
    <n v="2"/>
    <n v="40"/>
    <n v="80"/>
    <m/>
    <x v="1"/>
  </r>
  <r>
    <n v="764"/>
    <x v="21"/>
    <x v="10"/>
    <x v="60"/>
    <n v="0"/>
    <n v="0"/>
    <n v="0"/>
    <m/>
    <m/>
    <s v="CEDEL"/>
    <x v="1"/>
    <n v="3"/>
    <n v="40"/>
    <n v="120"/>
    <m/>
    <x v="1"/>
  </r>
  <r>
    <n v="763"/>
    <x v="21"/>
    <x v="17"/>
    <x v="86"/>
    <s v="9.9166-1547"/>
    <n v="0"/>
    <s v="CEDEL"/>
    <m/>
    <m/>
    <s v="CEDEL"/>
    <x v="0"/>
    <n v="1"/>
    <n v="40"/>
    <n v="40"/>
    <m/>
    <x v="1"/>
  </r>
  <r>
    <n v="763"/>
    <x v="21"/>
    <x v="17"/>
    <x v="86"/>
    <s v="9.9166-1547"/>
    <n v="0"/>
    <s v="CEDEL"/>
    <m/>
    <m/>
    <s v="CEDEL"/>
    <x v="1"/>
    <n v="1"/>
    <n v="40"/>
    <n v="40"/>
    <m/>
    <x v="1"/>
  </r>
  <r>
    <n v="763"/>
    <x v="21"/>
    <x v="17"/>
    <x v="86"/>
    <s v="9.9166-1547"/>
    <n v="0"/>
    <s v="CEDEL"/>
    <m/>
    <m/>
    <s v="CEDEL"/>
    <x v="2"/>
    <n v="1"/>
    <n v="40"/>
    <n v="40"/>
    <m/>
    <x v="1"/>
  </r>
  <r>
    <n v="763"/>
    <x v="21"/>
    <x v="17"/>
    <x v="86"/>
    <s v="9.9166-1547"/>
    <n v="0"/>
    <s v="CEDEL"/>
    <m/>
    <m/>
    <s v="CEDEL"/>
    <x v="3"/>
    <n v="1"/>
    <n v="40"/>
    <n v="40"/>
    <m/>
    <x v="1"/>
  </r>
  <r>
    <n v="762"/>
    <x v="21"/>
    <x v="19"/>
    <x v="33"/>
    <s v="34.99942-3020"/>
    <s v="Rua Cipriano Del Favero 659 Aptº 1200  "/>
    <s v=" CENTRO "/>
    <s v="38400-106"/>
    <m/>
    <m/>
    <x v="2"/>
    <n v="1"/>
    <n v="40"/>
    <n v="40"/>
    <m/>
    <x v="1"/>
  </r>
  <r>
    <n v="762"/>
    <x v="21"/>
    <x v="19"/>
    <x v="33"/>
    <s v="34.99942-3020"/>
    <s v="Rua Cipriano Del Favero 659 Aptº 1200  "/>
    <s v=" CENTRO "/>
    <s v="38400-106"/>
    <m/>
    <m/>
    <x v="3"/>
    <n v="1"/>
    <n v="40"/>
    <n v="40"/>
    <m/>
    <x v="1"/>
  </r>
  <r>
    <n v="761"/>
    <x v="21"/>
    <x v="19"/>
    <x v="10"/>
    <s v="34.3213-2775"/>
    <s v="R. Pedro Quirino da Silva, 341 "/>
    <s v="MARTA HELENA "/>
    <s v="38402-075"/>
    <s v="VALERIA DE CARVALHO"/>
    <m/>
    <x v="1"/>
    <n v="1"/>
    <n v="40"/>
    <n v="40"/>
    <m/>
    <x v="1"/>
  </r>
  <r>
    <n v="760"/>
    <x v="21"/>
    <x v="19"/>
    <x v="218"/>
    <s v="9.98440-4224"/>
    <s v="R. FADUA BARCHA GUSTIM 445 BL1 AP1401"/>
    <s v="CIDADE JARDIM"/>
    <s v="38412-003"/>
    <m/>
    <m/>
    <x v="2"/>
    <n v="1"/>
    <n v="40"/>
    <n v="40"/>
    <m/>
    <x v="1"/>
  </r>
  <r>
    <n v="760"/>
    <x v="21"/>
    <x v="19"/>
    <x v="218"/>
    <s v="9.98440-4224"/>
    <s v="R. FADUA BARCHA GUSTIM 445 BL1 AP1401"/>
    <s v="CIDADE JARDIM"/>
    <s v="38412-003"/>
    <m/>
    <m/>
    <x v="3"/>
    <n v="1"/>
    <n v="40"/>
    <n v="40"/>
    <m/>
    <x v="1"/>
  </r>
  <r>
    <n v="759"/>
    <x v="21"/>
    <x v="19"/>
    <x v="10"/>
    <s v="34.3213-2775"/>
    <s v="R. Pedro Quirino da Silva, 341 "/>
    <s v="MARTA HELENA "/>
    <s v="38402-075"/>
    <s v="RODRIGO"/>
    <m/>
    <x v="1"/>
    <n v="1"/>
    <n v="40"/>
    <n v="40"/>
    <m/>
    <x v="1"/>
  </r>
  <r>
    <n v="758"/>
    <x v="21"/>
    <x v="12"/>
    <x v="90"/>
    <n v="0"/>
    <n v="0"/>
    <n v="0"/>
    <m/>
    <m/>
    <s v="XANDE/ELIS"/>
    <x v="2"/>
    <n v="1"/>
    <n v="40"/>
    <n v="40"/>
    <n v="40"/>
    <x v="2"/>
  </r>
  <r>
    <n v="757"/>
    <x v="21"/>
    <x v="12"/>
    <x v="92"/>
    <s v=" 34.9973-9967"/>
    <n v="0"/>
    <n v="0"/>
    <m/>
    <m/>
    <s v="XANDE/ELIS"/>
    <x v="1"/>
    <n v="1"/>
    <n v="40"/>
    <n v="40"/>
    <n v="40"/>
    <x v="2"/>
  </r>
  <r>
    <n v="757"/>
    <x v="21"/>
    <x v="12"/>
    <x v="92"/>
    <s v=" 34.9973-9967"/>
    <n v="0"/>
    <n v="0"/>
    <m/>
    <m/>
    <s v="XANDE/ELIS"/>
    <x v="3"/>
    <n v="1"/>
    <n v="40"/>
    <n v="40"/>
    <n v="40"/>
    <x v="2"/>
  </r>
  <r>
    <n v="756"/>
    <x v="21"/>
    <x v="12"/>
    <x v="219"/>
    <n v="0"/>
    <n v="0"/>
    <s v="CEDEL"/>
    <m/>
    <m/>
    <s v="CEDEL"/>
    <x v="1"/>
    <n v="2"/>
    <n v="40"/>
    <n v="80"/>
    <m/>
    <x v="1"/>
  </r>
  <r>
    <n v="755"/>
    <x v="21"/>
    <x v="12"/>
    <x v="220"/>
    <n v="0"/>
    <n v="0"/>
    <s v="CEDEL"/>
    <m/>
    <m/>
    <s v="XANDE/ELIS"/>
    <x v="1"/>
    <n v="1"/>
    <n v="40"/>
    <n v="40"/>
    <m/>
    <x v="1"/>
  </r>
  <r>
    <n v="754"/>
    <x v="21"/>
    <x v="12"/>
    <x v="185"/>
    <n v="0"/>
    <s v="Alameda pauso cesar santana , 885 -bloco 7 , apto 406"/>
    <s v=" JD HOLANDA "/>
    <s v="38412-326"/>
    <m/>
    <s v="CEDEL"/>
    <x v="1"/>
    <n v="1"/>
    <n v="40"/>
    <n v="40"/>
    <m/>
    <x v="1"/>
  </r>
  <r>
    <n v="754"/>
    <x v="21"/>
    <x v="12"/>
    <x v="185"/>
    <n v="0"/>
    <s v="Alameda pauso cesar santana , 885 -bloco 7 , apto 406"/>
    <s v=" JD HOLANDA "/>
    <s v="38412-326"/>
    <m/>
    <s v="CEDEL"/>
    <x v="3"/>
    <n v="1"/>
    <n v="40"/>
    <n v="40"/>
    <m/>
    <x v="1"/>
  </r>
  <r>
    <n v="753"/>
    <x v="21"/>
    <x v="12"/>
    <x v="4"/>
    <s v="9.9197-7955"/>
    <n v="0"/>
    <s v="CEDEL"/>
    <m/>
    <m/>
    <s v="CEDEL"/>
    <x v="1"/>
    <n v="3"/>
    <n v="40"/>
    <n v="120"/>
    <m/>
    <x v="1"/>
  </r>
  <r>
    <n v="752"/>
    <x v="21"/>
    <x v="12"/>
    <x v="75"/>
    <s v="9.9932-1907"/>
    <s v="Rua Francisco Rodrigues Serralha, 350 Condomínio Uchoa Bloco 27 apto 402"/>
    <s v="Chácaras Tubalina"/>
    <s v="38413-297"/>
    <m/>
    <m/>
    <x v="1"/>
    <n v="1"/>
    <n v="40"/>
    <n v="40"/>
    <m/>
    <x v="1"/>
  </r>
  <r>
    <n v="751"/>
    <x v="21"/>
    <x v="12"/>
    <x v="189"/>
    <s v="34.3219-8921"/>
    <s v="Rua Tuiuti 279, Tel: 99954-1904/ 98852-9621"/>
    <s v="TABAJARAS"/>
    <s v="38400-264"/>
    <m/>
    <m/>
    <x v="1"/>
    <n v="1"/>
    <n v="40"/>
    <n v="40"/>
    <m/>
    <x v="1"/>
  </r>
  <r>
    <n v="749"/>
    <x v="21"/>
    <x v="17"/>
    <x v="221"/>
    <n v="0"/>
    <s v="AL. JOSÉ OLIVEIRA GUIMARÃES, 51, CASA 45"/>
    <s v=" JD HOLANDA "/>
    <s v="38412-324"/>
    <m/>
    <s v="CEDEL"/>
    <x v="1"/>
    <n v="1"/>
    <n v="40"/>
    <n v="40"/>
    <m/>
    <x v="1"/>
  </r>
  <r>
    <n v="749"/>
    <x v="21"/>
    <x v="17"/>
    <x v="221"/>
    <n v="0"/>
    <s v="AL. JOSÉ OLIVEIRA GUIMARÃES, 51, CASA 45"/>
    <s v=" JD HOLANDA "/>
    <s v="38412-324"/>
    <m/>
    <s v="CEDEL"/>
    <x v="3"/>
    <n v="1"/>
    <n v="40"/>
    <n v="40"/>
    <m/>
    <x v="1"/>
  </r>
  <r>
    <n v="748"/>
    <x v="21"/>
    <x v="17"/>
    <x v="207"/>
    <s v="34.99147-8758"/>
    <n v="0"/>
    <n v="0"/>
    <m/>
    <m/>
    <s v="CEDEL"/>
    <x v="0"/>
    <n v="2"/>
    <n v="40"/>
    <n v="80"/>
    <m/>
    <x v="1"/>
  </r>
  <r>
    <n v="747"/>
    <x v="21"/>
    <x v="17"/>
    <x v="59"/>
    <n v="0"/>
    <n v="0"/>
    <n v="0"/>
    <m/>
    <m/>
    <s v="CEDEL"/>
    <x v="0"/>
    <n v="1"/>
    <n v="40"/>
    <n v="40"/>
    <m/>
    <x v="1"/>
  </r>
  <r>
    <n v="747"/>
    <x v="21"/>
    <x v="17"/>
    <x v="59"/>
    <n v="0"/>
    <n v="0"/>
    <n v="0"/>
    <m/>
    <m/>
    <s v="CEDEL"/>
    <x v="1"/>
    <n v="1"/>
    <n v="40"/>
    <n v="40"/>
    <m/>
    <x v="1"/>
  </r>
  <r>
    <n v="746"/>
    <x v="21"/>
    <x v="25"/>
    <x v="204"/>
    <s v="34.99166-0731"/>
    <s v="RUA MARQUES POVOA, 456"/>
    <s v=" OSVALDO RESENDE "/>
    <s v="38400-438"/>
    <m/>
    <m/>
    <x v="1"/>
    <n v="1"/>
    <n v="40"/>
    <n v="40"/>
    <m/>
    <x v="1"/>
  </r>
  <r>
    <n v="745"/>
    <x v="21"/>
    <x v="25"/>
    <x v="205"/>
    <s v="34.99196-8079"/>
    <s v="RUA PEDRO JOSE SAMORA, 1468, ANT 17 "/>
    <s v=" SANTA MONICA "/>
    <s v="38408-224"/>
    <m/>
    <m/>
    <x v="0"/>
    <n v="2"/>
    <n v="40"/>
    <n v="80"/>
    <n v="80"/>
    <x v="2"/>
  </r>
  <r>
    <n v="744"/>
    <x v="21"/>
    <x v="7"/>
    <x v="40"/>
    <s v="34.98845-0023"/>
    <s v="Rua Prof. Ciro de Castro Almeida, 1576"/>
    <s v="CUSTÓDIO PEREIRA"/>
    <s v="38405-250"/>
    <m/>
    <m/>
    <x v="0"/>
    <n v="1"/>
    <n v="40"/>
    <n v="40"/>
    <n v="40"/>
    <x v="2"/>
  </r>
  <r>
    <n v="744"/>
    <x v="21"/>
    <x v="7"/>
    <x v="40"/>
    <s v="34.98845-0023"/>
    <s v="Rua Prof. Ciro de Castro Almeida, 1576"/>
    <s v="CUSTÓDIO PEREIRA"/>
    <s v="38405-250"/>
    <m/>
    <m/>
    <x v="2"/>
    <n v="1"/>
    <n v="40"/>
    <n v="40"/>
    <n v="40"/>
    <x v="2"/>
  </r>
  <r>
    <n v="743"/>
    <x v="21"/>
    <x v="7"/>
    <x v="39"/>
    <s v="34.98803-5267"/>
    <s v="Rua Campo Rupestre, 193"/>
    <s v=" JD. BOTANICO "/>
    <s v="38410-664"/>
    <m/>
    <m/>
    <x v="1"/>
    <n v="1"/>
    <n v="40"/>
    <n v="40"/>
    <n v="40"/>
    <x v="2"/>
  </r>
  <r>
    <n v="742"/>
    <x v="21"/>
    <x v="7"/>
    <x v="41"/>
    <s v="34.99133-6005"/>
    <s v="Rua Caxambu, 284 - ap 103"/>
    <s v=" OSVALDO RESENDE "/>
    <s v="38400-418"/>
    <m/>
    <m/>
    <x v="0"/>
    <n v="1"/>
    <n v="40"/>
    <n v="40"/>
    <m/>
    <x v="1"/>
  </r>
  <r>
    <n v="741"/>
    <x v="21"/>
    <x v="11"/>
    <x v="63"/>
    <s v="9.8863-1720"/>
    <n v="0"/>
    <s v="CEDEL"/>
    <m/>
    <m/>
    <s v="CEDEL"/>
    <x v="1"/>
    <n v="1"/>
    <n v="40"/>
    <n v="40"/>
    <m/>
    <x v="1"/>
  </r>
  <r>
    <n v="740"/>
    <x v="21"/>
    <x v="8"/>
    <x v="222"/>
    <n v="0"/>
    <n v="0"/>
    <n v="0"/>
    <m/>
    <m/>
    <s v="LEONIDAS"/>
    <x v="0"/>
    <n v="3"/>
    <n v="40"/>
    <n v="120"/>
    <m/>
    <x v="1"/>
  </r>
  <r>
    <n v="740"/>
    <x v="21"/>
    <x v="8"/>
    <x v="222"/>
    <n v="0"/>
    <n v="0"/>
    <n v="0"/>
    <m/>
    <m/>
    <s v="LEONIDAS"/>
    <x v="1"/>
    <n v="2"/>
    <n v="40"/>
    <n v="80"/>
    <m/>
    <x v="1"/>
  </r>
  <r>
    <n v="740"/>
    <x v="21"/>
    <x v="8"/>
    <x v="222"/>
    <n v="0"/>
    <n v="0"/>
    <n v="0"/>
    <m/>
    <m/>
    <s v="LEONIDAS"/>
    <x v="2"/>
    <n v="2"/>
    <n v="40"/>
    <n v="80"/>
    <m/>
    <x v="1"/>
  </r>
  <r>
    <n v="740"/>
    <x v="21"/>
    <x v="8"/>
    <x v="222"/>
    <n v="0"/>
    <n v="0"/>
    <n v="0"/>
    <m/>
    <m/>
    <s v="LEONIDAS"/>
    <x v="3"/>
    <n v="1"/>
    <n v="40"/>
    <n v="40"/>
    <m/>
    <x v="1"/>
  </r>
  <r>
    <n v="739"/>
    <x v="22"/>
    <x v="21"/>
    <x v="223"/>
    <s v="9.9663-1746"/>
    <s v="R. Santos Dumont, 900 Apto térreo"/>
    <s v="CENTRO"/>
    <m/>
    <m/>
    <m/>
    <x v="1"/>
    <n v="1"/>
    <n v="30"/>
    <n v="30"/>
    <n v="30"/>
    <x v="2"/>
  </r>
  <r>
    <n v="738"/>
    <x v="22"/>
    <x v="21"/>
    <x v="224"/>
    <s v="9.9902-4252"/>
    <s v="R. Antônio Bento, 97"/>
    <s v="GRANADA"/>
    <m/>
    <m/>
    <m/>
    <x v="1"/>
    <n v="1"/>
    <n v="30"/>
    <n v="30"/>
    <n v="30"/>
    <x v="2"/>
  </r>
  <r>
    <n v="737"/>
    <x v="22"/>
    <x v="21"/>
    <x v="125"/>
    <s v="9.9661-1352"/>
    <s v="R. Prof Eunice Brandão de Paiva, 139"/>
    <s v="SHOPPING PARK"/>
    <s v="38411-466"/>
    <s v="+CESTA"/>
    <m/>
    <x v="1"/>
    <n v="1"/>
    <n v="30"/>
    <n v="30"/>
    <n v="30"/>
    <x v="2"/>
  </r>
  <r>
    <n v="736"/>
    <x v="22"/>
    <x v="21"/>
    <x v="225"/>
    <s v="9.9830-2766"/>
    <s v="R. Alfredo Tormin, 215, Apto 304"/>
    <s v="FINOTTI"/>
    <m/>
    <m/>
    <m/>
    <x v="1"/>
    <n v="2"/>
    <n v="30"/>
    <n v="60"/>
    <n v="60"/>
    <x v="2"/>
  </r>
  <r>
    <n v="735"/>
    <x v="22"/>
    <x v="21"/>
    <x v="226"/>
    <s v="9.98414-3113/3216-0778"/>
    <s v="R. Zâmbia, 54"/>
    <s v="LARANJEIRAS"/>
    <s v="38410-482"/>
    <m/>
    <m/>
    <x v="0"/>
    <n v="1"/>
    <n v="30"/>
    <n v="30"/>
    <n v="30"/>
    <x v="2"/>
  </r>
  <r>
    <n v="734"/>
    <x v="22"/>
    <x v="21"/>
    <x v="227"/>
    <s v="3235-9788"/>
    <s v="R. Orestes Mendes Ferreira, 435"/>
    <s v="SHOPPING PARK"/>
    <m/>
    <m/>
    <m/>
    <x v="1"/>
    <n v="1"/>
    <n v="30"/>
    <n v="30"/>
    <n v="30"/>
    <x v="2"/>
  </r>
  <r>
    <n v="733"/>
    <x v="22"/>
    <x v="21"/>
    <x v="228"/>
    <s v="9.9232-5605"/>
    <s v="R. Edmundo Munir Arantes, 79"/>
    <s v="PLANALTO"/>
    <s v="38413-276"/>
    <s v="+FRALDAS"/>
    <m/>
    <x v="1"/>
    <n v="1"/>
    <n v="30"/>
    <n v="30"/>
    <n v="30"/>
    <x v="2"/>
  </r>
  <r>
    <n v="732"/>
    <x v="22"/>
    <x v="21"/>
    <x v="28"/>
    <s v="9.9694-0869"/>
    <s v="R. Ibiá, 127"/>
    <s v="OSVALDO REZENDE"/>
    <s v="38400-430"/>
    <m/>
    <m/>
    <x v="1"/>
    <n v="1"/>
    <n v="30"/>
    <n v="30"/>
    <m/>
    <x v="1"/>
  </r>
  <r>
    <n v="731"/>
    <x v="22"/>
    <x v="21"/>
    <x v="229"/>
    <s v="9.9992-1905"/>
    <s v="Rua Patrulheiro Osmar Tavares, 989"/>
    <s v="SANTA MONICA"/>
    <s v="38408-294"/>
    <m/>
    <m/>
    <x v="1"/>
    <n v="1"/>
    <n v="30"/>
    <n v="30"/>
    <m/>
    <x v="1"/>
  </r>
  <r>
    <n v="730"/>
    <x v="22"/>
    <x v="21"/>
    <x v="230"/>
    <s v="9.9991-0073"/>
    <s v="Rua Izídio Antônio da Silva, 47"/>
    <s v="ROOSEVELT"/>
    <s v="38401-132"/>
    <s v="+ CESTA"/>
    <m/>
    <x v="1"/>
    <n v="1"/>
    <n v="30"/>
    <n v="30"/>
    <n v="30"/>
    <x v="2"/>
  </r>
  <r>
    <n v="729"/>
    <x v="22"/>
    <x v="21"/>
    <x v="98"/>
    <s v="9.9991-4357"/>
    <s v="R. Michele Virno, 4093"/>
    <s v="CUSTÓDIO PEREIRA"/>
    <s v="38405-190"/>
    <s v="1/2MUSS 1/2 CALAB"/>
    <m/>
    <x v="4"/>
    <n v="1"/>
    <n v="30"/>
    <n v="30"/>
    <m/>
    <x v="1"/>
  </r>
  <r>
    <n v="728"/>
    <x v="22"/>
    <x v="21"/>
    <x v="231"/>
    <s v="9.9969-9388"/>
    <s v="Av. Constelação, 791"/>
    <s v=" JD. BRASÍLIA "/>
    <s v="38401-478"/>
    <m/>
    <m/>
    <x v="1"/>
    <n v="2"/>
    <n v="30"/>
    <n v="60"/>
    <m/>
    <x v="1"/>
  </r>
  <r>
    <n v="727"/>
    <x v="22"/>
    <x v="21"/>
    <x v="232"/>
    <s v="34.99240-5393"/>
    <s v="R. Rio de Janeiro, 932 apto 101"/>
    <s v=" BRASIL "/>
    <s v="38400-658"/>
    <m/>
    <m/>
    <x v="0"/>
    <n v="1"/>
    <n v="30"/>
    <n v="30"/>
    <m/>
    <x v="1"/>
  </r>
  <r>
    <n v="726"/>
    <x v="22"/>
    <x v="21"/>
    <x v="171"/>
    <s v="34.99222-7189"/>
    <s v="Av. José Fonseca e Silva, 210"/>
    <s v=" LUIZOTE DE FREITAS "/>
    <s v="38414-348"/>
    <m/>
    <m/>
    <x v="1"/>
    <n v="1"/>
    <n v="30"/>
    <n v="30"/>
    <m/>
    <x v="1"/>
  </r>
  <r>
    <n v="725"/>
    <x v="22"/>
    <x v="21"/>
    <x v="30"/>
    <s v="3213-3201/ 9.9211-0864"/>
    <s v="Av. Clara Camarão, 427"/>
    <s v="N.Sra Graças"/>
    <s v="38402-010"/>
    <m/>
    <m/>
    <x v="1"/>
    <n v="1"/>
    <n v="30"/>
    <n v="30"/>
    <m/>
    <x v="1"/>
  </r>
  <r>
    <n v="725"/>
    <x v="22"/>
    <x v="21"/>
    <x v="30"/>
    <s v="3213-3201/ 9.9211-0864"/>
    <s v="Av. Clara Camarão, 427"/>
    <s v="N.Sra Graças"/>
    <s v="38402-010"/>
    <m/>
    <m/>
    <x v="2"/>
    <n v="1"/>
    <n v="30"/>
    <n v="30"/>
    <m/>
    <x v="1"/>
  </r>
  <r>
    <n v="724"/>
    <x v="22"/>
    <x v="21"/>
    <x v="233"/>
    <s v="9.8440-0765"/>
    <s v="R. Laura Guerra de Aquino, 146"/>
    <s v="CARAJÁS"/>
    <s v="38408-398"/>
    <m/>
    <m/>
    <x v="1"/>
    <n v="1"/>
    <n v="30"/>
    <n v="30"/>
    <n v="30"/>
    <x v="2"/>
  </r>
  <r>
    <n v="723"/>
    <x v="22"/>
    <x v="21"/>
    <x v="19"/>
    <s v=" 34.99155-5564 / 34.3215-1758"/>
    <s v="Av. Cesário Crosara, 3525"/>
    <s v=" ROOSEVELT "/>
    <s v="38401-119"/>
    <m/>
    <m/>
    <x v="3"/>
    <n v="1"/>
    <n v="30"/>
    <n v="30"/>
    <m/>
    <x v="1"/>
  </r>
  <r>
    <n v="722"/>
    <x v="22"/>
    <x v="21"/>
    <x v="215"/>
    <s v="34.98861-0155  34.3231-1098"/>
    <s v="Av Alexandre Ribeiro Guimarães, 603"/>
    <s v=" SANTA MARIA "/>
    <s v="38408-050"/>
    <m/>
    <m/>
    <x v="1"/>
    <n v="1"/>
    <n v="30"/>
    <n v="30"/>
    <m/>
    <x v="1"/>
  </r>
  <r>
    <n v="721"/>
    <x v="22"/>
    <x v="21"/>
    <x v="234"/>
    <s v="9.9670-9884"/>
    <s v="R. Agesilau Paschoal Greco, 318"/>
    <s v="MORADA DA COLINA"/>
    <s v="38411-112"/>
    <m/>
    <s v="MARIA LÚCIA"/>
    <x v="3"/>
    <n v="1"/>
    <n v="30"/>
    <n v="30"/>
    <m/>
    <x v="1"/>
  </r>
  <r>
    <n v="720"/>
    <x v="22"/>
    <x v="21"/>
    <x v="216"/>
    <n v="0"/>
    <n v="0"/>
    <n v="0"/>
    <m/>
    <m/>
    <m/>
    <x v="2"/>
    <n v="1"/>
    <n v="30"/>
    <n v="30"/>
    <n v="30"/>
    <x v="2"/>
  </r>
  <r>
    <n v="719"/>
    <x v="22"/>
    <x v="21"/>
    <x v="235"/>
    <s v="3232-9278"/>
    <s v="R. Feliciano de Moraes, 139"/>
    <s v="APARECIDA"/>
    <s v="38400-684"/>
    <m/>
    <m/>
    <x v="1"/>
    <n v="1"/>
    <n v="30"/>
    <n v="30"/>
    <m/>
    <x v="1"/>
  </r>
  <r>
    <n v="718"/>
    <x v="22"/>
    <x v="21"/>
    <x v="217"/>
    <s v="34.99195-9740"/>
    <s v="Av. Belo Horizonte, 1786 - esquina c/ R. Lambari"/>
    <s v=" OSVALDO RESENDE "/>
    <s v="38400-454"/>
    <m/>
    <m/>
    <x v="0"/>
    <n v="1"/>
    <n v="30"/>
    <n v="30"/>
    <m/>
    <x v="1"/>
  </r>
  <r>
    <n v="717"/>
    <x v="22"/>
    <x v="21"/>
    <x v="173"/>
    <s v="9.9892-3746"/>
    <s v="Alameda Durval Carrijo, 550"/>
    <s v="MORADA DA COLINA"/>
    <s v="38411-138"/>
    <m/>
    <s v="MARIA LÚCIA"/>
    <x v="2"/>
    <n v="1"/>
    <n v="30"/>
    <n v="30"/>
    <m/>
    <x v="1"/>
  </r>
  <r>
    <n v="716"/>
    <x v="22"/>
    <x v="21"/>
    <x v="10"/>
    <s v="34.3213-2775"/>
    <s v="R. Pedro Quirino da Silva, 341 "/>
    <s v="MARTA HELENA "/>
    <s v="38402-075"/>
    <m/>
    <m/>
    <x v="1"/>
    <n v="5"/>
    <n v="30"/>
    <n v="150"/>
    <n v="150"/>
    <x v="2"/>
  </r>
  <r>
    <n v="715"/>
    <x v="22"/>
    <x v="21"/>
    <x v="31"/>
    <s v="9.8899-1860"/>
    <s v="R. Engenheiro Hélvio Félici, 250"/>
    <s v="MORADA DA COLINA"/>
    <s v="38411-114"/>
    <m/>
    <s v="MARIA LÚCIA"/>
    <x v="1"/>
    <n v="1"/>
    <n v="30"/>
    <n v="30"/>
    <m/>
    <x v="1"/>
  </r>
  <r>
    <n v="714"/>
    <x v="22"/>
    <x v="21"/>
    <x v="236"/>
    <s v="34.99960-3309"/>
    <s v="R. dos Girassóis, 50"/>
    <s v=" CIDADE JARDIM "/>
    <s v="38412-140"/>
    <m/>
    <m/>
    <x v="1"/>
    <n v="1"/>
    <n v="30"/>
    <n v="30"/>
    <m/>
    <x v="1"/>
  </r>
  <r>
    <n v="713"/>
    <x v="22"/>
    <x v="21"/>
    <x v="116"/>
    <s v="34.99661-5002"/>
    <s v="Av. Paulo Gracindo, 1000 - Cond. Gávea Paradiso - Alameda Gavião Real, 90"/>
    <s v="COND. GÁVEA PARADISO"/>
    <s v="38411-145"/>
    <m/>
    <m/>
    <x v="2"/>
    <n v="1"/>
    <n v="30"/>
    <n v="30"/>
    <m/>
    <x v="1"/>
  </r>
  <r>
    <n v="712"/>
    <x v="22"/>
    <x v="17"/>
    <x v="237"/>
    <s v="9.9142-0663"/>
    <s v="Rua das Mães, 395"/>
    <s v="JD BRASÍLIA"/>
    <s v="38401-388"/>
    <m/>
    <m/>
    <x v="2"/>
    <n v="2"/>
    <n v="30"/>
    <n v="60"/>
    <m/>
    <x v="1"/>
  </r>
  <r>
    <n v="711"/>
    <x v="22"/>
    <x v="17"/>
    <x v="140"/>
    <s v="9.9811-4187"/>
    <s v="Rua Tupaciguara 400 ap 701  - Entrega até 13h"/>
    <s v="APARECIDA"/>
    <s v="38400-618"/>
    <m/>
    <m/>
    <x v="0"/>
    <n v="1"/>
    <n v="30"/>
    <n v="30"/>
    <m/>
    <x v="1"/>
  </r>
  <r>
    <n v="710"/>
    <x v="22"/>
    <x v="17"/>
    <x v="187"/>
    <s v="9.8842-2300"/>
    <n v="0"/>
    <s v="CEDEL"/>
    <m/>
    <m/>
    <s v="CEDEL"/>
    <x v="2"/>
    <n v="1"/>
    <n v="30"/>
    <n v="30"/>
    <m/>
    <x v="1"/>
  </r>
  <r>
    <n v="709"/>
    <x v="22"/>
    <x v="17"/>
    <x v="190"/>
    <s v="34.99286-0302"/>
    <s v="R. DO PROFESSOR 320"/>
    <s v="PLANALTO"/>
    <s v="38412-296"/>
    <m/>
    <m/>
    <x v="1"/>
    <n v="1"/>
    <n v="30"/>
    <n v="30"/>
    <m/>
    <x v="1"/>
  </r>
  <r>
    <n v="708"/>
    <x v="22"/>
    <x v="17"/>
    <x v="59"/>
    <n v="0"/>
    <n v="0"/>
    <n v="0"/>
    <m/>
    <m/>
    <m/>
    <x v="0"/>
    <n v="1"/>
    <n v="30"/>
    <n v="30"/>
    <m/>
    <x v="1"/>
  </r>
  <r>
    <n v="708"/>
    <x v="22"/>
    <x v="17"/>
    <x v="59"/>
    <n v="0"/>
    <n v="0"/>
    <n v="0"/>
    <m/>
    <m/>
    <m/>
    <x v="3"/>
    <n v="1"/>
    <n v="30"/>
    <n v="30"/>
    <m/>
    <x v="1"/>
  </r>
  <r>
    <n v="707"/>
    <x v="22"/>
    <x v="17"/>
    <x v="207"/>
    <s v="34.99147-8758"/>
    <n v="0"/>
    <n v="0"/>
    <m/>
    <m/>
    <m/>
    <x v="0"/>
    <n v="2"/>
    <n v="30"/>
    <n v="60"/>
    <m/>
    <x v="1"/>
  </r>
  <r>
    <n v="706"/>
    <x v="22"/>
    <x v="17"/>
    <x v="62"/>
    <s v="34.99676-2593 "/>
    <s v="R. ANITA 125 PASSARELA AV. LIBERDADE ALTAMIRA"/>
    <s v="MORADA DA COLINA"/>
    <s v="38411-014"/>
    <m/>
    <m/>
    <x v="2"/>
    <n v="1"/>
    <n v="30"/>
    <n v="30"/>
    <m/>
    <x v="1"/>
  </r>
  <r>
    <n v="706"/>
    <x v="22"/>
    <x v="17"/>
    <x v="62"/>
    <s v="34.99676-2593 "/>
    <s v="R. ANITA 125 PASSARELA AV. LIBERDADE ALTAMIRA"/>
    <s v="MORADA DA COLINA"/>
    <s v="38411-014"/>
    <m/>
    <m/>
    <x v="3"/>
    <n v="1"/>
    <n v="30"/>
    <n v="30"/>
    <m/>
    <x v="1"/>
  </r>
  <r>
    <n v="705"/>
    <x v="22"/>
    <x v="19"/>
    <x v="36"/>
    <n v="0"/>
    <s v="Rua Dom Almir Marques Ferreira, 820 "/>
    <s v="GÁVEA"/>
    <s v="38411-170"/>
    <s v="ZÉ LUIZ"/>
    <m/>
    <x v="2"/>
    <n v="1"/>
    <n v="30"/>
    <n v="30"/>
    <m/>
    <x v="1"/>
  </r>
  <r>
    <n v="704"/>
    <x v="22"/>
    <x v="12"/>
    <x v="185"/>
    <n v="0"/>
    <s v="Alameda pauso cesar santana , 885 -bloco 7 , apto 406"/>
    <s v=" JD HOLANDA "/>
    <s v="38412-326"/>
    <m/>
    <m/>
    <x v="1"/>
    <n v="1"/>
    <n v="30"/>
    <n v="30"/>
    <m/>
    <x v="1"/>
  </r>
  <r>
    <n v="704"/>
    <x v="22"/>
    <x v="12"/>
    <x v="185"/>
    <n v="0"/>
    <s v="Alameda pauso cesar santana , 885 -bloco 7 , apto 406"/>
    <s v=" JD HOLANDA "/>
    <s v="38412-326"/>
    <m/>
    <m/>
    <x v="3"/>
    <n v="1"/>
    <n v="30"/>
    <n v="30"/>
    <m/>
    <x v="1"/>
  </r>
  <r>
    <n v="703"/>
    <x v="22"/>
    <x v="12"/>
    <x v="238"/>
    <n v="0"/>
    <n v="0"/>
    <n v="0"/>
    <m/>
    <m/>
    <m/>
    <x v="2"/>
    <n v="1"/>
    <n v="30"/>
    <n v="30"/>
    <m/>
    <x v="1"/>
  </r>
  <r>
    <n v="702"/>
    <x v="22"/>
    <x v="12"/>
    <x v="10"/>
    <s v="34.3213-2775"/>
    <s v="R. Pedro Quirino da Silva, 341 "/>
    <s v="MARTA HELENA "/>
    <s v="38402-075"/>
    <s v="SANDRA"/>
    <m/>
    <x v="1"/>
    <n v="1"/>
    <n v="30"/>
    <n v="30"/>
    <m/>
    <x v="1"/>
  </r>
  <r>
    <n v="701"/>
    <x v="22"/>
    <x v="12"/>
    <x v="91"/>
    <s v="9.9976-5102"/>
    <n v="0"/>
    <s v="CEDEL"/>
    <m/>
    <m/>
    <m/>
    <x v="0"/>
    <n v="4"/>
    <n v="30"/>
    <n v="120"/>
    <m/>
    <x v="1"/>
  </r>
  <r>
    <n v="700"/>
    <x v="22"/>
    <x v="12"/>
    <x v="90"/>
    <n v="0"/>
    <n v="0"/>
    <n v="0"/>
    <m/>
    <m/>
    <m/>
    <x v="2"/>
    <n v="2"/>
    <n v="30"/>
    <n v="60"/>
    <m/>
    <x v="1"/>
  </r>
  <r>
    <n v="699"/>
    <x v="22"/>
    <x v="12"/>
    <x v="4"/>
    <s v="9.9197-7955"/>
    <n v="0"/>
    <s v="CEDEL"/>
    <m/>
    <m/>
    <m/>
    <x v="1"/>
    <n v="5"/>
    <n v="30"/>
    <n v="150"/>
    <m/>
    <x v="1"/>
  </r>
  <r>
    <n v="698"/>
    <x v="22"/>
    <x v="12"/>
    <x v="73"/>
    <s v="9.8876-6001"/>
    <s v="Rua José Lelis França, 1480 Apto 301"/>
    <s v="SANTA MONICA"/>
    <s v="38408-234"/>
    <m/>
    <m/>
    <x v="1"/>
    <n v="1"/>
    <n v="30"/>
    <n v="30"/>
    <n v="30"/>
    <x v="2"/>
  </r>
  <r>
    <n v="697"/>
    <x v="22"/>
    <x v="12"/>
    <x v="75"/>
    <s v="9.9932-1907"/>
    <s v="Rua Francisco Rodrigues Serralha, 350 Condomínio Uchoa Bloco 27 apto 402"/>
    <s v="Chácaras Tubalina"/>
    <s v="38413-297"/>
    <m/>
    <m/>
    <x v="1"/>
    <n v="1"/>
    <n v="30"/>
    <n v="30"/>
    <m/>
    <x v="1"/>
  </r>
  <r>
    <n v="696"/>
    <x v="22"/>
    <x v="12"/>
    <x v="189"/>
    <s v="34.3219-8921"/>
    <s v="Rua Tuiuti 279, Tel: 99954-1904/ 98852-9621"/>
    <s v="TABAJARAS"/>
    <s v="38400-264"/>
    <m/>
    <m/>
    <x v="1"/>
    <n v="1"/>
    <n v="30"/>
    <n v="30"/>
    <m/>
    <x v="1"/>
  </r>
  <r>
    <n v="695"/>
    <x v="22"/>
    <x v="19"/>
    <x v="239"/>
    <s v="9.9164-5332"/>
    <s v="Alameda Vila Rica 520"/>
    <s v="CITY UBERLANDIA"/>
    <s v="38411-314"/>
    <s v="ENTREGAR Nº500 - TINA"/>
    <m/>
    <x v="2"/>
    <n v="2"/>
    <n v="30"/>
    <n v="60"/>
    <m/>
    <x v="1"/>
  </r>
  <r>
    <n v="694"/>
    <x v="22"/>
    <x v="25"/>
    <x v="240"/>
    <s v="9.9215-5938"/>
    <s v="R. Joao Rodrigues Castro, 400"/>
    <s v="JARDIM PATRÍCIA"/>
    <s v="38414-122"/>
    <m/>
    <m/>
    <x v="0"/>
    <n v="1"/>
    <n v="30"/>
    <n v="30"/>
    <m/>
    <x v="1"/>
  </r>
  <r>
    <n v="693"/>
    <x v="22"/>
    <x v="25"/>
    <x v="241"/>
    <s v="34.99913-9667"/>
    <s v="R: FRANCISCA ALVES AZEVEDO, 35 "/>
    <s v="JARDIM IPANEMA I"/>
    <s v="38406-211"/>
    <s v="LIGAR ANTES"/>
    <m/>
    <x v="2"/>
    <n v="1"/>
    <n v="30"/>
    <n v="30"/>
    <m/>
    <x v="1"/>
  </r>
  <r>
    <n v="692"/>
    <x v="22"/>
    <x v="25"/>
    <x v="205"/>
    <s v="34.99196-8079"/>
    <s v="RUA PEDRO JOSE SAMORA, 1468, ANT 17 "/>
    <s v=" SANTA MONICA "/>
    <s v="38408-224"/>
    <s v="PORTÃO MARROM"/>
    <m/>
    <x v="0"/>
    <n v="1"/>
    <n v="30"/>
    <n v="30"/>
    <n v="30"/>
    <x v="2"/>
  </r>
  <r>
    <n v="691"/>
    <x v="22"/>
    <x v="19"/>
    <x v="242"/>
    <s v="9.9237-0104"/>
    <s v="Rua Olivia Almeida e Silva, 137, Condominio Uruguai "/>
    <s v="JD AMÉRICA"/>
    <s v="38401-788"/>
    <m/>
    <m/>
    <x v="2"/>
    <n v="1"/>
    <n v="30"/>
    <n v="30"/>
    <m/>
    <x v="1"/>
  </r>
  <r>
    <n v="690"/>
    <x v="22"/>
    <x v="19"/>
    <x v="243"/>
    <s v="9.9998-8810"/>
    <s v="Rua do Carteiro, 882"/>
    <s v="PLANALTO"/>
    <s v="38413-195"/>
    <m/>
    <m/>
    <x v="1"/>
    <n v="1"/>
    <n v="30"/>
    <n v="30"/>
    <m/>
    <x v="1"/>
  </r>
  <r>
    <n v="689"/>
    <x v="22"/>
    <x v="19"/>
    <x v="165"/>
    <s v="9.9971-1866"/>
    <s v="Rua África 1013"/>
    <s v="MANSÕES AEROPORTO"/>
    <s v="38406-407"/>
    <m/>
    <m/>
    <x v="1"/>
    <n v="1"/>
    <n v="30"/>
    <n v="30"/>
    <m/>
    <x v="1"/>
  </r>
  <r>
    <n v="689"/>
    <x v="22"/>
    <x v="19"/>
    <x v="165"/>
    <s v="9.9971-1866"/>
    <s v="Rua África 1013"/>
    <s v="MANSÕES AEROPORTO"/>
    <s v="38406-407"/>
    <m/>
    <m/>
    <x v="3"/>
    <n v="1"/>
    <n v="30"/>
    <n v="30"/>
    <m/>
    <x v="1"/>
  </r>
  <r>
    <n v="688"/>
    <x v="22"/>
    <x v="19"/>
    <x v="244"/>
    <n v="0"/>
    <n v="0"/>
    <s v="RODRIGO"/>
    <m/>
    <s v="RODRIGO"/>
    <m/>
    <x v="1"/>
    <n v="1"/>
    <n v="30"/>
    <n v="30"/>
    <m/>
    <x v="1"/>
  </r>
  <r>
    <n v="687"/>
    <x v="22"/>
    <x v="19"/>
    <x v="96"/>
    <n v="0"/>
    <n v="0"/>
    <s v="ZÉ LUIZ"/>
    <m/>
    <m/>
    <m/>
    <x v="1"/>
    <n v="1"/>
    <n v="30"/>
    <n v="30"/>
    <m/>
    <x v="1"/>
  </r>
  <r>
    <n v="686"/>
    <x v="22"/>
    <x v="19"/>
    <x v="245"/>
    <n v="0"/>
    <n v="0"/>
    <n v="0"/>
    <m/>
    <s v="JOSE LUIZ"/>
    <m/>
    <x v="2"/>
    <n v="1"/>
    <n v="30"/>
    <n v="30"/>
    <m/>
    <x v="1"/>
  </r>
  <r>
    <n v="685"/>
    <x v="22"/>
    <x v="19"/>
    <x v="10"/>
    <s v="34.3213-2775"/>
    <s v="R. Pedro Quirino da Silva, 341 "/>
    <s v="MARTA HELENA "/>
    <s v="38402-075"/>
    <m/>
    <m/>
    <x v="1"/>
    <n v="2"/>
    <n v="30"/>
    <n v="60"/>
    <m/>
    <x v="1"/>
  </r>
  <r>
    <n v="684"/>
    <x v="22"/>
    <x v="19"/>
    <x v="246"/>
    <s v="9.9766-0500"/>
    <n v="0"/>
    <s v="CEDEL"/>
    <m/>
    <s v="1/2 SEM MUSSARELA"/>
    <m/>
    <x v="4"/>
    <n v="1"/>
    <n v="30"/>
    <n v="30"/>
    <m/>
    <x v="1"/>
  </r>
  <r>
    <n v="683"/>
    <x v="22"/>
    <x v="23"/>
    <x v="89"/>
    <s v="9.9929-8010"/>
    <n v="0"/>
    <s v="CEDEL"/>
    <m/>
    <s v="CEDEL"/>
    <m/>
    <x v="0"/>
    <n v="1"/>
    <n v="30"/>
    <n v="30"/>
    <m/>
    <x v="1"/>
  </r>
  <r>
    <n v="683"/>
    <x v="22"/>
    <x v="23"/>
    <x v="89"/>
    <s v="9.9929-8010"/>
    <n v="0"/>
    <s v="CEDEL"/>
    <m/>
    <s v="CEDEL"/>
    <m/>
    <x v="1"/>
    <n v="1"/>
    <n v="30"/>
    <n v="30"/>
    <m/>
    <x v="1"/>
  </r>
  <r>
    <n v="683"/>
    <x v="22"/>
    <x v="23"/>
    <x v="89"/>
    <s v="9.9929-8010"/>
    <n v="0"/>
    <s v="CEDEL"/>
    <m/>
    <s v="CEDEL"/>
    <m/>
    <x v="3"/>
    <n v="1"/>
    <n v="30"/>
    <n v="30"/>
    <m/>
    <x v="1"/>
  </r>
  <r>
    <n v="682"/>
    <x v="22"/>
    <x v="23"/>
    <x v="208"/>
    <s v="34.99979-5832"/>
    <n v="0"/>
    <n v="0"/>
    <m/>
    <m/>
    <m/>
    <x v="2"/>
    <n v="1"/>
    <n v="30"/>
    <n v="30"/>
    <m/>
    <x v="1"/>
  </r>
  <r>
    <n v="681"/>
    <x v="22"/>
    <x v="10"/>
    <x v="60"/>
    <n v="0"/>
    <n v="0"/>
    <n v="0"/>
    <m/>
    <s v="COBRAR 3 - 1 FALE"/>
    <m/>
    <x v="1"/>
    <n v="2"/>
    <n v="30"/>
    <n v="60"/>
    <m/>
    <x v="1"/>
  </r>
  <r>
    <n v="680"/>
    <x v="22"/>
    <x v="10"/>
    <x v="10"/>
    <s v="34.3213-2775"/>
    <s v="R. Pedro Quirino da Silva, 341 "/>
    <s v="MARTA HELENA "/>
    <s v="38402-075"/>
    <m/>
    <m/>
    <x v="1"/>
    <n v="1"/>
    <n v="30"/>
    <n v="30"/>
    <m/>
    <x v="1"/>
  </r>
  <r>
    <n v="679"/>
    <x v="22"/>
    <x v="2"/>
    <x v="247"/>
    <s v="9.9875-2981"/>
    <s v="Rua Monte Carmelo 1915, casa 1"/>
    <s v="MARTINS"/>
    <s v="38400-470"/>
    <s v="1ª ENTREGA"/>
    <m/>
    <x v="3"/>
    <n v="1"/>
    <n v="30"/>
    <n v="30"/>
    <m/>
    <x v="1"/>
  </r>
  <r>
    <n v="678"/>
    <x v="22"/>
    <x v="2"/>
    <x v="20"/>
    <s v="9.9647-8862 / 9.9967-0416"/>
    <s v="R. ROMA, 546 - CASA 2"/>
    <s v="TIBERY"/>
    <s v="38405-076"/>
    <m/>
    <m/>
    <x v="0"/>
    <n v="1"/>
    <n v="30"/>
    <n v="30"/>
    <m/>
    <x v="1"/>
  </r>
  <r>
    <n v="677"/>
    <x v="22"/>
    <x v="18"/>
    <x v="200"/>
    <s v="9.9684-7889"/>
    <s v="AV. IMBAÚBA 2200 BL03 AP404"/>
    <s v="JARAGUÁ"/>
    <s v="38413-108"/>
    <m/>
    <m/>
    <x v="2"/>
    <n v="1"/>
    <n v="30"/>
    <n v="30"/>
    <m/>
    <x v="1"/>
  </r>
  <r>
    <n v="676"/>
    <x v="22"/>
    <x v="22"/>
    <x v="168"/>
    <s v="9.9141-7904"/>
    <n v="0"/>
    <n v="0"/>
    <m/>
    <m/>
    <m/>
    <x v="0"/>
    <n v="1"/>
    <n v="30"/>
    <n v="30"/>
    <m/>
    <x v="1"/>
  </r>
  <r>
    <n v="675"/>
    <x v="22"/>
    <x v="16"/>
    <x v="141"/>
    <n v="0"/>
    <s v="Entrega Levy"/>
    <n v="0"/>
    <m/>
    <m/>
    <m/>
    <x v="0"/>
    <n v="1"/>
    <n v="30"/>
    <n v="30"/>
    <m/>
    <x v="1"/>
  </r>
  <r>
    <n v="674"/>
    <x v="22"/>
    <x v="8"/>
    <x v="222"/>
    <n v="0"/>
    <n v="0"/>
    <n v="0"/>
    <m/>
    <m/>
    <m/>
    <x v="0"/>
    <n v="2"/>
    <n v="30"/>
    <n v="60"/>
    <m/>
    <x v="1"/>
  </r>
  <r>
    <n v="674"/>
    <x v="22"/>
    <x v="8"/>
    <x v="222"/>
    <n v="0"/>
    <n v="0"/>
    <n v="0"/>
    <m/>
    <m/>
    <m/>
    <x v="1"/>
    <n v="1"/>
    <n v="30"/>
    <n v="30"/>
    <m/>
    <x v="1"/>
  </r>
  <r>
    <n v="674"/>
    <x v="22"/>
    <x v="8"/>
    <x v="222"/>
    <n v="0"/>
    <n v="0"/>
    <n v="0"/>
    <m/>
    <m/>
    <m/>
    <x v="2"/>
    <n v="2"/>
    <n v="30"/>
    <n v="60"/>
    <m/>
    <x v="1"/>
  </r>
  <r>
    <n v="674"/>
    <x v="22"/>
    <x v="8"/>
    <x v="222"/>
    <n v="0"/>
    <n v="0"/>
    <n v="0"/>
    <m/>
    <m/>
    <m/>
    <x v="3"/>
    <n v="2"/>
    <n v="30"/>
    <n v="60"/>
    <m/>
    <x v="1"/>
  </r>
  <r>
    <n v="673"/>
    <x v="22"/>
    <x v="11"/>
    <x v="180"/>
    <s v="34.99149-6210"/>
    <n v="0"/>
    <n v="0"/>
    <m/>
    <m/>
    <m/>
    <x v="0"/>
    <n v="1"/>
    <n v="30"/>
    <n v="30"/>
    <m/>
    <x v="1"/>
  </r>
  <r>
    <n v="672"/>
    <x v="22"/>
    <x v="11"/>
    <x v="84"/>
    <s v="9.9992-0097"/>
    <s v="R. Horácio Rezende, 241"/>
    <s v="OSVALDO REZENDE"/>
    <s v="38400-302"/>
    <m/>
    <m/>
    <x v="2"/>
    <n v="1"/>
    <n v="30"/>
    <n v="30"/>
    <m/>
    <x v="1"/>
  </r>
  <r>
    <n v="671"/>
    <x v="22"/>
    <x v="20"/>
    <x v="8"/>
    <s v="9.9149-1390"/>
    <n v="0"/>
    <s v="CEDEL"/>
    <m/>
    <m/>
    <m/>
    <x v="3"/>
    <n v="2"/>
    <n v="30"/>
    <n v="60"/>
    <m/>
    <x v="1"/>
  </r>
  <r>
    <n v="670"/>
    <x v="23"/>
    <x v="21"/>
    <x v="125"/>
    <s v="9.9661-1352"/>
    <s v="R. Prof Eunice Brandão de Paiva, 139"/>
    <s v="SHOPPING PARK"/>
    <s v="38411-466"/>
    <s v="+CESTA"/>
    <m/>
    <x v="1"/>
    <n v="1"/>
    <n v="30"/>
    <n v="30"/>
    <n v="30"/>
    <x v="2"/>
  </r>
  <r>
    <n v="669"/>
    <x v="23"/>
    <x v="21"/>
    <x v="226"/>
    <s v="9.98414-3113/3216-0778"/>
    <s v="R. Zâmbia, 54"/>
    <s v="LARANJEIRAS"/>
    <s v="38410-482"/>
    <m/>
    <m/>
    <x v="0"/>
    <n v="1"/>
    <n v="30"/>
    <n v="30"/>
    <n v="30"/>
    <x v="2"/>
  </r>
  <r>
    <n v="668"/>
    <x v="23"/>
    <x v="21"/>
    <x v="216"/>
    <n v="0"/>
    <n v="0"/>
    <n v="0"/>
    <m/>
    <m/>
    <m/>
    <x v="2"/>
    <n v="1"/>
    <n v="30"/>
    <n v="30"/>
    <n v="30"/>
    <x v="2"/>
  </r>
  <r>
    <n v="667"/>
    <x v="23"/>
    <x v="21"/>
    <x v="248"/>
    <s v="9.9229-8477"/>
    <s v="Av. Cesário Crosara, 4264"/>
    <s v="ROOSEVELT"/>
    <s v="38401-119"/>
    <m/>
    <m/>
    <x v="1"/>
    <n v="1"/>
    <n v="30"/>
    <n v="30"/>
    <m/>
    <x v="1"/>
  </r>
  <r>
    <n v="666"/>
    <x v="23"/>
    <x v="21"/>
    <x v="228"/>
    <s v="9.9232-5605"/>
    <s v="R. Edmundo Munir Arantes, 79"/>
    <s v="PLANALTO"/>
    <s v="38413-276"/>
    <s v="+ FRALDAS"/>
    <m/>
    <x v="1"/>
    <n v="1"/>
    <n v="30"/>
    <n v="30"/>
    <n v="30"/>
    <x v="2"/>
  </r>
  <r>
    <n v="665"/>
    <x v="23"/>
    <x v="21"/>
    <x v="249"/>
    <s v="9.9797-7352"/>
    <s v="Rua Guerra Junqueira, 430, bl 4 - ap 413"/>
    <s v="TUBALINA"/>
    <s v="38412-004"/>
    <m/>
    <m/>
    <x v="2"/>
    <n v="1"/>
    <n v="30"/>
    <n v="30"/>
    <m/>
    <x v="1"/>
  </r>
  <r>
    <n v="664"/>
    <x v="23"/>
    <x v="21"/>
    <x v="31"/>
    <s v="9.8899-1860"/>
    <s v="R. Engenheiro Hélvio Félici, 250"/>
    <s v="MORADA DA COLINA"/>
    <s v="38411-114"/>
    <m/>
    <s v="MARIA LÚCIA"/>
    <x v="1"/>
    <n v="1"/>
    <n v="30"/>
    <n v="30"/>
    <m/>
    <x v="1"/>
  </r>
  <r>
    <n v="663"/>
    <x v="23"/>
    <x v="21"/>
    <x v="171"/>
    <s v="34.99222-7189"/>
    <s v="Av. José Fonseca e Silva, 210"/>
    <s v=" LUIZOTE DE FREITAS "/>
    <s v="38414-348"/>
    <m/>
    <m/>
    <x v="1"/>
    <n v="1"/>
    <n v="30"/>
    <n v="30"/>
    <m/>
    <x v="1"/>
  </r>
  <r>
    <n v="662"/>
    <x v="23"/>
    <x v="21"/>
    <x v="32"/>
    <s v="9.9171-4462"/>
    <s v="R. Monlevade, 852"/>
    <s v="DANIEL FONSECA"/>
    <s v="38400-320"/>
    <m/>
    <m/>
    <x v="2"/>
    <n v="2"/>
    <n v="30"/>
    <n v="60"/>
    <m/>
    <x v="1"/>
  </r>
  <r>
    <n v="661"/>
    <x v="23"/>
    <x v="21"/>
    <x v="229"/>
    <s v="9.9992-1905"/>
    <s v="Rua Patrulheiro Osmar Tavares, 989"/>
    <s v="SANTA MONICA"/>
    <s v="38408-294"/>
    <m/>
    <m/>
    <x v="1"/>
    <n v="1"/>
    <n v="30"/>
    <n v="30"/>
    <m/>
    <x v="1"/>
  </r>
  <r>
    <n v="660"/>
    <x v="23"/>
    <x v="21"/>
    <x v="217"/>
    <s v="34.99195-9740"/>
    <s v="Av. Belo Horizonte, 1786 - esquina c/ R. Lambari"/>
    <s v=" OSVALDO RESENDE "/>
    <s v="38400-454"/>
    <m/>
    <m/>
    <x v="2"/>
    <n v="1"/>
    <n v="30"/>
    <n v="30"/>
    <m/>
    <x v="1"/>
  </r>
  <r>
    <n v="659"/>
    <x v="23"/>
    <x v="21"/>
    <x v="19"/>
    <s v=" 34.99155-5564 / 34.3215-1758"/>
    <s v="Av. Cesário Crosara, 3525"/>
    <s v=" ROOSEVELT "/>
    <s v="38401-119"/>
    <m/>
    <m/>
    <x v="3"/>
    <n v="1"/>
    <n v="30"/>
    <n v="30"/>
    <m/>
    <x v="1"/>
  </r>
  <r>
    <n v="658"/>
    <x v="23"/>
    <x v="21"/>
    <x v="173"/>
    <s v="9.9892-3746"/>
    <s v="Alameda Durval Carrijo, 550"/>
    <s v="MORADA DA COLINA"/>
    <s v="38411-138"/>
    <m/>
    <s v="MARIA LÚCIA"/>
    <x v="1"/>
    <n v="1"/>
    <n v="30"/>
    <n v="30"/>
    <m/>
    <x v="1"/>
  </r>
  <r>
    <n v="657"/>
    <x v="23"/>
    <x v="21"/>
    <x v="98"/>
    <s v="9.9991-4357"/>
    <s v="R. Michele Virno, 4093"/>
    <s v="CUSTÓDIO PEREIRA"/>
    <s v="38405-190"/>
    <s v="RECEBER 10,00"/>
    <m/>
    <x v="4"/>
    <n v="1"/>
    <n v="30"/>
    <n v="30"/>
    <m/>
    <x v="1"/>
  </r>
  <r>
    <n v="656"/>
    <x v="23"/>
    <x v="21"/>
    <x v="10"/>
    <s v="34.3213-2775"/>
    <s v="R. Pedro Quirino da Silva, 341 "/>
    <s v="MARTA HELENA "/>
    <s v="38402-075"/>
    <m/>
    <m/>
    <x v="1"/>
    <n v="5"/>
    <n v="30"/>
    <n v="150"/>
    <n v="150"/>
    <x v="2"/>
  </r>
  <r>
    <n v="655"/>
    <x v="23"/>
    <x v="21"/>
    <x v="232"/>
    <s v="34.99240-5393"/>
    <s v="R. Rio de Janeiro, 932 apto 101"/>
    <s v=" BRASIL "/>
    <s v="38400-658"/>
    <m/>
    <m/>
    <x v="0"/>
    <n v="1"/>
    <n v="30"/>
    <n v="30"/>
    <m/>
    <x v="1"/>
  </r>
  <r>
    <n v="654"/>
    <x v="23"/>
    <x v="21"/>
    <x v="215"/>
    <s v="34.98861-0155  34.3231-1098"/>
    <s v="Av Alexandre Ribeiro Guimarães, 603"/>
    <s v=" SANTA MARIA "/>
    <s v="38408-050"/>
    <m/>
    <m/>
    <x v="1"/>
    <n v="1"/>
    <n v="30"/>
    <n v="30"/>
    <m/>
    <x v="1"/>
  </r>
  <r>
    <n v="653"/>
    <x v="23"/>
    <x v="17"/>
    <x v="208"/>
    <s v="34.99979-5832"/>
    <n v="0"/>
    <n v="0"/>
    <m/>
    <m/>
    <m/>
    <x v="0"/>
    <n v="1"/>
    <n v="30"/>
    <n v="30"/>
    <m/>
    <x v="1"/>
  </r>
  <r>
    <n v="653"/>
    <x v="23"/>
    <x v="17"/>
    <x v="208"/>
    <s v="34.99979-5832"/>
    <n v="0"/>
    <n v="0"/>
    <m/>
    <m/>
    <m/>
    <x v="3"/>
    <n v="1"/>
    <n v="30"/>
    <n v="30"/>
    <m/>
    <x v="1"/>
  </r>
  <r>
    <n v="652"/>
    <x v="23"/>
    <x v="2"/>
    <x v="250"/>
    <s v="9.9646-4482"/>
    <s v="Av. Uirapuru, 1505"/>
    <s v="CIDADE JARDIM"/>
    <s v="38412-166"/>
    <m/>
    <m/>
    <x v="3"/>
    <n v="1"/>
    <n v="30"/>
    <n v="30"/>
    <m/>
    <x v="1"/>
  </r>
  <r>
    <n v="651"/>
    <x v="24"/>
    <x v="11"/>
    <x v="206"/>
    <n v="0"/>
    <n v="0"/>
    <n v="0"/>
    <m/>
    <m/>
    <s v="CRIS"/>
    <x v="2"/>
    <n v="1"/>
    <n v="30"/>
    <n v="30"/>
    <m/>
    <x v="1"/>
  </r>
  <r>
    <n v="650"/>
    <x v="24"/>
    <x v="9"/>
    <x v="200"/>
    <s v="9.9684-7889"/>
    <s v="AV. IMBAÚBA 2200 BL03 AP404"/>
    <s v="JARAGUÁ"/>
    <s v="38413-108"/>
    <m/>
    <s v="LEANDRO"/>
    <x v="1"/>
    <n v="1"/>
    <n v="30"/>
    <n v="30"/>
    <m/>
    <x v="1"/>
  </r>
  <r>
    <n v="649"/>
    <x v="24"/>
    <x v="9"/>
    <x v="94"/>
    <s v="9.9976-8255"/>
    <s v="R. Irene Rosa, 54"/>
    <s v="OSVALDO REZENDE"/>
    <s v="38400-480"/>
    <s v="PAGAR 25,00"/>
    <m/>
    <x v="1"/>
    <n v="1"/>
    <n v="30"/>
    <n v="30"/>
    <m/>
    <x v="1"/>
  </r>
  <r>
    <n v="648"/>
    <x v="24"/>
    <x v="8"/>
    <x v="222"/>
    <n v="0"/>
    <n v="0"/>
    <n v="0"/>
    <m/>
    <m/>
    <s v="LEONIDAS"/>
    <x v="0"/>
    <n v="5"/>
    <n v="30"/>
    <n v="150"/>
    <m/>
    <x v="1"/>
  </r>
  <r>
    <n v="648"/>
    <x v="24"/>
    <x v="8"/>
    <x v="222"/>
    <n v="0"/>
    <n v="0"/>
    <n v="0"/>
    <m/>
    <m/>
    <s v="LEONIDAS"/>
    <x v="1"/>
    <n v="3"/>
    <n v="30"/>
    <n v="90"/>
    <m/>
    <x v="1"/>
  </r>
  <r>
    <n v="648"/>
    <x v="24"/>
    <x v="8"/>
    <x v="222"/>
    <n v="0"/>
    <n v="0"/>
    <n v="0"/>
    <m/>
    <m/>
    <s v="LEONIDAS"/>
    <x v="2"/>
    <n v="5"/>
    <n v="30"/>
    <n v="150"/>
    <m/>
    <x v="1"/>
  </r>
  <r>
    <n v="648"/>
    <x v="24"/>
    <x v="8"/>
    <x v="222"/>
    <n v="0"/>
    <n v="0"/>
    <n v="0"/>
    <m/>
    <m/>
    <s v="LEONIDAS"/>
    <x v="3"/>
    <n v="2"/>
    <n v="30"/>
    <n v="60"/>
    <m/>
    <x v="1"/>
  </r>
  <r>
    <n v="647"/>
    <x v="24"/>
    <x v="16"/>
    <x v="141"/>
    <n v="0"/>
    <s v="Entrega Levy"/>
    <n v="0"/>
    <m/>
    <m/>
    <s v="CEDEL"/>
    <x v="0"/>
    <n v="1"/>
    <n v="30"/>
    <n v="30"/>
    <m/>
    <x v="1"/>
  </r>
  <r>
    <n v="646"/>
    <x v="24"/>
    <x v="2"/>
    <x v="251"/>
    <s v="9.9155-0999"/>
    <s v="Rua Antônio Fortunato Silva, 691 Antiga 3"/>
    <s v="SANTA MONICA"/>
    <s v="38408-210"/>
    <m/>
    <m/>
    <x v="1"/>
    <n v="1"/>
    <n v="30"/>
    <n v="30"/>
    <m/>
    <x v="1"/>
  </r>
  <r>
    <n v="645"/>
    <x v="24"/>
    <x v="22"/>
    <x v="168"/>
    <s v="9.9141-7904"/>
    <n v="0"/>
    <n v="0"/>
    <m/>
    <m/>
    <s v="MARIA ADRIANA VIDIGAL "/>
    <x v="0"/>
    <n v="2"/>
    <n v="30"/>
    <n v="60"/>
    <m/>
    <x v="1"/>
  </r>
  <r>
    <n v="644"/>
    <x v="24"/>
    <x v="2"/>
    <x v="20"/>
    <s v="9.9647-8862 / 9.9967-0416"/>
    <s v="R. ROMA, 546 - CASA 2"/>
    <s v="TIBERY"/>
    <s v="38405-076"/>
    <m/>
    <m/>
    <x v="0"/>
    <n v="1"/>
    <n v="30"/>
    <n v="30"/>
    <m/>
    <x v="1"/>
  </r>
  <r>
    <n v="643"/>
    <x v="24"/>
    <x v="2"/>
    <x v="247"/>
    <s v="9.9875-2981"/>
    <s v="Rua Monte Carmelo 1915, casa 1"/>
    <s v="MARTINS"/>
    <s v="38400-470"/>
    <m/>
    <m/>
    <x v="3"/>
    <n v="1"/>
    <n v="30"/>
    <n v="30"/>
    <m/>
    <x v="1"/>
  </r>
  <r>
    <n v="642"/>
    <x v="24"/>
    <x v="17"/>
    <x v="190"/>
    <s v="34.99286-0302"/>
    <s v="R. DO PROFESSOR 320"/>
    <s v="PLANALTO"/>
    <s v="38412-296"/>
    <s v="pagar 10,00"/>
    <m/>
    <x v="1"/>
    <n v="1"/>
    <n v="30"/>
    <n v="30"/>
    <m/>
    <x v="1"/>
  </r>
  <r>
    <n v="641"/>
    <x v="24"/>
    <x v="17"/>
    <x v="62"/>
    <s v="34.99676-2593 "/>
    <s v="R. ANITA 125 PASSARELA AV. LIBERDADE ALTAMIRA"/>
    <s v="MORADA DA COLINA"/>
    <s v="38411-014"/>
    <m/>
    <m/>
    <x v="2"/>
    <n v="1"/>
    <n v="30"/>
    <n v="30"/>
    <m/>
    <x v="1"/>
  </r>
  <r>
    <n v="641"/>
    <x v="24"/>
    <x v="17"/>
    <x v="62"/>
    <s v="34.99676-2593 "/>
    <s v="R. ANITA 125 PASSARELA AV. LIBERDADE ALTAMIRA"/>
    <s v="MORADA DA COLINA"/>
    <s v="38411-014"/>
    <m/>
    <m/>
    <x v="3"/>
    <n v="1"/>
    <n v="30"/>
    <n v="30"/>
    <m/>
    <x v="1"/>
  </r>
  <r>
    <n v="640"/>
    <x v="24"/>
    <x v="17"/>
    <x v="59"/>
    <n v="0"/>
    <n v="0"/>
    <n v="0"/>
    <m/>
    <m/>
    <m/>
    <x v="1"/>
    <n v="2"/>
    <n v="30"/>
    <n v="60"/>
    <m/>
    <x v="1"/>
  </r>
  <r>
    <n v="639"/>
    <x v="24"/>
    <x v="17"/>
    <x v="207"/>
    <s v="34.99147-8758"/>
    <n v="0"/>
    <n v="0"/>
    <m/>
    <m/>
    <m/>
    <x v="0"/>
    <n v="2"/>
    <n v="30"/>
    <n v="60"/>
    <m/>
    <x v="1"/>
  </r>
  <r>
    <n v="638"/>
    <x v="24"/>
    <x v="17"/>
    <x v="161"/>
    <s v="34.99669-6170"/>
    <s v="Rua Prof. Ciro de Castro Almeida, 1576"/>
    <s v="CUSTÓDIO PEREIRA"/>
    <s v="38405-250"/>
    <m/>
    <m/>
    <x v="2"/>
    <n v="4"/>
    <n v="30"/>
    <n v="120"/>
    <n v="120"/>
    <x v="2"/>
  </r>
  <r>
    <n v="637"/>
    <x v="24"/>
    <x v="26"/>
    <x v="252"/>
    <s v="9.9205-9575"/>
    <n v="0"/>
    <n v="0"/>
    <m/>
    <m/>
    <m/>
    <x v="1"/>
    <n v="3"/>
    <n v="30"/>
    <n v="90"/>
    <m/>
    <x v="1"/>
  </r>
  <r>
    <n v="637"/>
    <x v="24"/>
    <x v="26"/>
    <x v="252"/>
    <s v="9.9205-9575"/>
    <n v="0"/>
    <n v="0"/>
    <m/>
    <m/>
    <m/>
    <x v="2"/>
    <n v="1"/>
    <n v="30"/>
    <n v="30"/>
    <m/>
    <x v="1"/>
  </r>
  <r>
    <n v="637"/>
    <x v="24"/>
    <x v="26"/>
    <x v="252"/>
    <s v="9.9205-9575"/>
    <n v="0"/>
    <n v="0"/>
    <m/>
    <m/>
    <m/>
    <x v="3"/>
    <n v="1"/>
    <n v="30"/>
    <n v="30"/>
    <m/>
    <x v="1"/>
  </r>
  <r>
    <n v="636"/>
    <x v="24"/>
    <x v="17"/>
    <x v="140"/>
    <s v="9.9811-4187"/>
    <s v="Rua Tupaciguara 400 ap 701  - Entrega até 13h"/>
    <s v="APARECIDA"/>
    <s v="38400-618"/>
    <s v="ligar antes"/>
    <m/>
    <x v="0"/>
    <n v="2"/>
    <n v="30"/>
    <n v="60"/>
    <m/>
    <x v="1"/>
  </r>
  <r>
    <n v="635"/>
    <x v="24"/>
    <x v="20"/>
    <x v="8"/>
    <s v="9.9149-1390"/>
    <n v="0"/>
    <s v="CEDEL"/>
    <m/>
    <m/>
    <m/>
    <x v="3"/>
    <n v="2"/>
    <n v="30"/>
    <n v="60"/>
    <m/>
    <x v="1"/>
  </r>
  <r>
    <n v="634"/>
    <x v="24"/>
    <x v="17"/>
    <x v="86"/>
    <s v="9.9166-1547"/>
    <n v="0"/>
    <s v="CEDEL"/>
    <m/>
    <m/>
    <m/>
    <x v="0"/>
    <n v="1"/>
    <n v="30"/>
    <n v="30"/>
    <m/>
    <x v="1"/>
  </r>
  <r>
    <n v="634"/>
    <x v="24"/>
    <x v="17"/>
    <x v="86"/>
    <s v="9.9166-1547"/>
    <n v="0"/>
    <s v="CEDEL"/>
    <m/>
    <m/>
    <m/>
    <x v="1"/>
    <n v="1"/>
    <n v="30"/>
    <n v="30"/>
    <m/>
    <x v="1"/>
  </r>
  <r>
    <n v="634"/>
    <x v="24"/>
    <x v="17"/>
    <x v="86"/>
    <s v="9.9166-1547"/>
    <n v="0"/>
    <s v="CEDEL"/>
    <m/>
    <m/>
    <m/>
    <x v="3"/>
    <n v="1"/>
    <n v="30"/>
    <n v="30"/>
    <m/>
    <x v="1"/>
  </r>
  <r>
    <n v="633"/>
    <x v="24"/>
    <x v="10"/>
    <x v="10"/>
    <s v="34.3213-2775"/>
    <s v="R. Pedro Quirino da Silva, 341 "/>
    <s v="MARTA HELENA "/>
    <s v="38402-075"/>
    <m/>
    <m/>
    <x v="1"/>
    <n v="1"/>
    <n v="30"/>
    <n v="30"/>
    <m/>
    <x v="1"/>
  </r>
  <r>
    <n v="632"/>
    <x v="24"/>
    <x v="10"/>
    <x v="60"/>
    <n v="0"/>
    <n v="0"/>
    <n v="0"/>
    <m/>
    <m/>
    <s v="CEDEL"/>
    <x v="1"/>
    <n v="2"/>
    <n v="30"/>
    <n v="60"/>
    <m/>
    <x v="1"/>
  </r>
  <r>
    <n v="631"/>
    <x v="24"/>
    <x v="19"/>
    <x v="253"/>
    <s v="9.9971-6898"/>
    <s v="Av. Cesar Finoti 555, Apt° 304 - após as 11hs"/>
    <s v="SANTA MONICA"/>
    <s v="38408-138"/>
    <m/>
    <m/>
    <x v="0"/>
    <n v="1"/>
    <n v="30"/>
    <n v="30"/>
    <m/>
    <x v="1"/>
  </r>
  <r>
    <n v="630"/>
    <x v="24"/>
    <x v="19"/>
    <x v="244"/>
    <n v="0"/>
    <n v="0"/>
    <s v="RODRIGO"/>
    <m/>
    <m/>
    <s v="RODRIGO"/>
    <x v="1"/>
    <n v="1"/>
    <n v="30"/>
    <n v="30"/>
    <m/>
    <x v="1"/>
  </r>
  <r>
    <n v="629"/>
    <x v="24"/>
    <x v="19"/>
    <x v="245"/>
    <n v="0"/>
    <n v="0"/>
    <n v="0"/>
    <m/>
    <m/>
    <s v="JOSÉ LUIZ"/>
    <x v="2"/>
    <n v="1"/>
    <n v="30"/>
    <n v="30"/>
    <m/>
    <x v="1"/>
  </r>
  <r>
    <n v="628"/>
    <x v="24"/>
    <x v="19"/>
    <x v="10"/>
    <s v="34.3213-2775"/>
    <s v="R. Pedro Quirino da Silva, 341 "/>
    <s v="MARTA HELENA "/>
    <s v="38402-075"/>
    <s v="ZE/RODRIGO"/>
    <m/>
    <x v="1"/>
    <n v="2"/>
    <n v="30"/>
    <n v="60"/>
    <m/>
    <x v="1"/>
  </r>
  <r>
    <n v="627"/>
    <x v="24"/>
    <x v="19"/>
    <x v="246"/>
    <s v="9.9766-0500"/>
    <n v="0"/>
    <s v="CEDEL"/>
    <m/>
    <s v="CALABRESA, 1/2 SEM MUSSARELA"/>
    <s v="RODRIGO"/>
    <x v="4"/>
    <n v="1"/>
    <n v="30"/>
    <n v="30"/>
    <m/>
    <x v="1"/>
  </r>
  <r>
    <n v="626"/>
    <x v="24"/>
    <x v="7"/>
    <x v="210"/>
    <s v="34.99167-3677"/>
    <s v="Av Dr Laerte viera Gonçalves, 2415 - ap 102"/>
    <s v="SANTA MONICA"/>
    <s v="38408-176"/>
    <m/>
    <m/>
    <x v="2"/>
    <n v="1"/>
    <n v="30"/>
    <n v="30"/>
    <m/>
    <x v="1"/>
  </r>
  <r>
    <n v="626"/>
    <x v="24"/>
    <x v="7"/>
    <x v="210"/>
    <s v="34.99167-3677"/>
    <s v="Av Dr Laerte viera Gonçalves, 2415 - ap 102"/>
    <s v="SANTA MONICA"/>
    <s v="38408-176"/>
    <m/>
    <m/>
    <x v="3"/>
    <n v="1"/>
    <n v="30"/>
    <n v="30"/>
    <m/>
    <x v="1"/>
  </r>
  <r>
    <n v="625"/>
    <x v="24"/>
    <x v="7"/>
    <x v="40"/>
    <s v="34.98845-0023"/>
    <s v="Rua Prof. Ciro de Castro Almeida, 1576"/>
    <s v="CUSTÓDIO PEREIRA"/>
    <s v="38405-250"/>
    <m/>
    <m/>
    <x v="0"/>
    <n v="1"/>
    <n v="30"/>
    <n v="30"/>
    <n v="30"/>
    <x v="2"/>
  </r>
  <r>
    <n v="625"/>
    <x v="24"/>
    <x v="7"/>
    <x v="40"/>
    <s v="34.98845-0023"/>
    <s v="Rua Prof. Ciro de Castro Almeida, 1576"/>
    <s v="CUSTÓDIO PEREIRA"/>
    <s v="38405-250"/>
    <m/>
    <m/>
    <x v="2"/>
    <n v="1"/>
    <n v="30"/>
    <n v="30"/>
    <n v="30"/>
    <x v="2"/>
  </r>
  <r>
    <n v="624"/>
    <x v="24"/>
    <x v="7"/>
    <x v="39"/>
    <s v="34.98803-5267"/>
    <s v="Rua Campo Rupestre, 193"/>
    <s v=" JD. BOTANICO "/>
    <s v="38410-664"/>
    <m/>
    <m/>
    <x v="1"/>
    <n v="1"/>
    <n v="30"/>
    <n v="30"/>
    <n v="30"/>
    <x v="2"/>
  </r>
  <r>
    <n v="623"/>
    <x v="24"/>
    <x v="7"/>
    <x v="41"/>
    <s v="34.99133-6005"/>
    <s v="Rua Caxambu, 284 - ap 103"/>
    <s v=" OSVALDO RESENDE "/>
    <s v="38400-418"/>
    <s v="PAGAR 20,00"/>
    <m/>
    <x v="0"/>
    <n v="1"/>
    <n v="30"/>
    <n v="30"/>
    <m/>
    <x v="1"/>
  </r>
  <r>
    <n v="622"/>
    <x v="24"/>
    <x v="12"/>
    <x v="238"/>
    <n v="0"/>
    <n v="0"/>
    <n v="0"/>
    <m/>
    <m/>
    <m/>
    <x v="2"/>
    <n v="1"/>
    <n v="30"/>
    <n v="30"/>
    <m/>
    <x v="1"/>
  </r>
  <r>
    <n v="621"/>
    <x v="24"/>
    <x v="12"/>
    <x v="185"/>
    <n v="0"/>
    <s v="Alameda pauso cesar santana , 885 -bloco 7 , apto 406"/>
    <s v=" JD HOLANDA "/>
    <s v="38412-326"/>
    <m/>
    <m/>
    <x v="1"/>
    <n v="1"/>
    <n v="30"/>
    <n v="30"/>
    <m/>
    <x v="1"/>
  </r>
  <r>
    <n v="621"/>
    <x v="24"/>
    <x v="12"/>
    <x v="185"/>
    <n v="0"/>
    <s v="Alameda pauso cesar santana , 885 -bloco 7 , apto 406"/>
    <s v=" JD HOLANDA "/>
    <s v="38412-326"/>
    <m/>
    <m/>
    <x v="3"/>
    <n v="1"/>
    <n v="30"/>
    <n v="30"/>
    <m/>
    <x v="1"/>
  </r>
  <r>
    <n v="620"/>
    <x v="24"/>
    <x v="12"/>
    <x v="91"/>
    <s v="9.9976-5102"/>
    <n v="0"/>
    <s v="CEDEL"/>
    <m/>
    <m/>
    <s v="CEDEL"/>
    <x v="0"/>
    <n v="4"/>
    <n v="30"/>
    <n v="120"/>
    <m/>
    <x v="1"/>
  </r>
  <r>
    <n v="619"/>
    <x v="24"/>
    <x v="12"/>
    <x v="219"/>
    <n v="0"/>
    <n v="0"/>
    <s v="CEDEL"/>
    <m/>
    <m/>
    <s v="CEDEL"/>
    <x v="1"/>
    <n v="2"/>
    <n v="30"/>
    <n v="60"/>
    <m/>
    <x v="1"/>
  </r>
  <r>
    <n v="618"/>
    <x v="24"/>
    <x v="12"/>
    <x v="254"/>
    <s v="9.9157-9400"/>
    <n v="0"/>
    <s v="CEDEL"/>
    <m/>
    <m/>
    <s v="CEDEL"/>
    <x v="2"/>
    <n v="1"/>
    <n v="30"/>
    <n v="30"/>
    <m/>
    <x v="1"/>
  </r>
  <r>
    <n v="617"/>
    <x v="24"/>
    <x v="12"/>
    <x v="4"/>
    <s v="9.9197-7955"/>
    <n v="0"/>
    <s v="CEDEL"/>
    <m/>
    <m/>
    <s v="LEOBALDO"/>
    <x v="1"/>
    <n v="2"/>
    <n v="30"/>
    <n v="60"/>
    <m/>
    <x v="1"/>
  </r>
  <r>
    <n v="616"/>
    <x v="24"/>
    <x v="12"/>
    <x v="73"/>
    <s v="9.8876-6001"/>
    <s v="Rua José Lelis França, 1480 Apto 301"/>
    <s v="SANTA MONICA"/>
    <s v="38408-234"/>
    <m/>
    <m/>
    <x v="1"/>
    <n v="1"/>
    <n v="30"/>
    <n v="30"/>
    <n v="30"/>
    <x v="2"/>
  </r>
  <r>
    <n v="615"/>
    <x v="24"/>
    <x v="12"/>
    <x v="75"/>
    <s v="9.9932-1907"/>
    <s v="Rua Francisco Rodrigues Serralha, 350 Condomínio Uchoa Bloco 27 apto 402"/>
    <s v="Chácaras Tubalina"/>
    <s v="38413-297"/>
    <m/>
    <m/>
    <x v="1"/>
    <n v="1"/>
    <n v="30"/>
    <n v="30"/>
    <m/>
    <x v="1"/>
  </r>
  <r>
    <n v="614"/>
    <x v="24"/>
    <x v="12"/>
    <x v="189"/>
    <s v="34.3219-8921"/>
    <s v="Rua Tuiuti 279, Tel: 99954-1904/ 98852-9621"/>
    <s v="TABAJARAS"/>
    <s v="38400-264"/>
    <m/>
    <m/>
    <x v="1"/>
    <n v="1"/>
    <n v="30"/>
    <n v="30"/>
    <m/>
    <x v="1"/>
  </r>
  <r>
    <n v="613"/>
    <x v="24"/>
    <x v="17"/>
    <x v="255"/>
    <s v="34.99128-4121"/>
    <s v="R. RAUL PETRONILHO DE PÁDUA 187"/>
    <s v="GRANADA"/>
    <s v="38410-020"/>
    <m/>
    <m/>
    <x v="0"/>
    <n v="1"/>
    <n v="30"/>
    <n v="30"/>
    <m/>
    <x v="1"/>
  </r>
  <r>
    <n v="612"/>
    <x v="25"/>
    <x v="17"/>
    <x v="208"/>
    <s v="34.99979-5832"/>
    <n v="0"/>
    <n v="0"/>
    <m/>
    <m/>
    <m/>
    <x v="2"/>
    <n v="2"/>
    <n v="30"/>
    <n v="30"/>
    <m/>
    <x v="1"/>
  </r>
  <r>
    <n v="611"/>
    <x v="26"/>
    <x v="12"/>
    <x v="91"/>
    <s v="9.9976-5102"/>
    <n v="0"/>
    <s v="CEDEL"/>
    <m/>
    <m/>
    <m/>
    <x v="1"/>
    <n v="3"/>
    <n v="30"/>
    <n v="90"/>
    <m/>
    <x v="1"/>
  </r>
  <r>
    <n v="610"/>
    <x v="26"/>
    <x v="21"/>
    <x v="76"/>
    <s v="9.8878-1706"/>
    <s v="R. Athos Paranhos Veloso, 1146"/>
    <s v=" TUBALINA "/>
    <s v="38412-076"/>
    <s v="VER Nº"/>
    <m/>
    <x v="1"/>
    <n v="1"/>
    <n v="30"/>
    <n v="30"/>
    <m/>
    <x v="1"/>
  </r>
  <r>
    <n v="609"/>
    <x v="26"/>
    <x v="19"/>
    <x v="256"/>
    <s v="9.9976-9126"/>
    <s v="Rua Xavantes 1056, Apto 302 Edifício Costa Bela ou no Apto 303 no Apto da mãe."/>
    <s v="LÍDICE"/>
    <s v="38400-082"/>
    <m/>
    <m/>
    <x v="4"/>
    <n v="1"/>
    <n v="30"/>
    <n v="30"/>
    <m/>
    <x v="1"/>
  </r>
  <r>
    <n v="609"/>
    <x v="26"/>
    <x v="19"/>
    <x v="256"/>
    <s v="9.9976-9126"/>
    <s v="Rua Xavantes 1056, Apto 302 Edifício Costa Bela ou no Apto 303 no Apto da mãe."/>
    <s v="LÍDICE"/>
    <s v="38400-082"/>
    <m/>
    <m/>
    <x v="2"/>
    <n v="2"/>
    <n v="30"/>
    <n v="60"/>
    <m/>
    <x v="1"/>
  </r>
  <r>
    <n v="608"/>
    <x v="26"/>
    <x v="19"/>
    <x v="244"/>
    <n v="0"/>
    <n v="0"/>
    <s v="RODRIGO"/>
    <m/>
    <m/>
    <s v="RODRIGO"/>
    <x v="1"/>
    <n v="1"/>
    <n v="30"/>
    <n v="30"/>
    <m/>
    <x v="1"/>
  </r>
  <r>
    <n v="607"/>
    <x v="26"/>
    <x v="19"/>
    <x v="165"/>
    <s v="9.9971-1866"/>
    <s v="Rua África 1013"/>
    <s v="MANSÕES AEROPORTO"/>
    <s v="38406-407"/>
    <m/>
    <m/>
    <x v="1"/>
    <n v="1"/>
    <n v="30"/>
    <n v="30"/>
    <m/>
    <x v="1"/>
  </r>
  <r>
    <n v="607"/>
    <x v="26"/>
    <x v="19"/>
    <x v="165"/>
    <s v="9.9971-1866"/>
    <s v="Rua África 1013"/>
    <s v="MANSÕES AEROPORTO"/>
    <s v="38406-407"/>
    <m/>
    <m/>
    <x v="3"/>
    <n v="1"/>
    <n v="30"/>
    <n v="30"/>
    <m/>
    <x v="1"/>
  </r>
  <r>
    <n v="606"/>
    <x v="26"/>
    <x v="19"/>
    <x v="243"/>
    <s v="9.998-8810"/>
    <n v="0"/>
    <s v="ZÉ LUIZ"/>
    <m/>
    <m/>
    <s v="JOSÉ LUIZ"/>
    <x v="1"/>
    <n v="1"/>
    <n v="30"/>
    <n v="30"/>
    <m/>
    <x v="1"/>
  </r>
  <r>
    <n v="605"/>
    <x v="26"/>
    <x v="19"/>
    <x v="245"/>
    <n v="0"/>
    <n v="0"/>
    <n v="0"/>
    <m/>
    <m/>
    <m/>
    <x v="2"/>
    <n v="1"/>
    <n v="30"/>
    <n v="30"/>
    <m/>
    <x v="1"/>
  </r>
  <r>
    <n v="604"/>
    <x v="26"/>
    <x v="19"/>
    <x v="10"/>
    <s v="34.3213-2775"/>
    <s v="R. Pedro Quirino da Silva, 341 "/>
    <s v="MARTA HELENA "/>
    <s v="38402-075"/>
    <s v="RODRIGO/ZE LUIZ"/>
    <m/>
    <x v="1"/>
    <n v="2"/>
    <n v="30"/>
    <n v="60"/>
    <m/>
    <x v="1"/>
  </r>
  <r>
    <n v="603"/>
    <x v="26"/>
    <x v="19"/>
    <x v="246"/>
    <s v="9.9766-0500"/>
    <n v="0"/>
    <s v="CEDEL"/>
    <m/>
    <m/>
    <s v="RODRIGO"/>
    <x v="4"/>
    <n v="1"/>
    <n v="30"/>
    <n v="30"/>
    <m/>
    <x v="1"/>
  </r>
  <r>
    <n v="602"/>
    <x v="26"/>
    <x v="17"/>
    <x v="257"/>
    <s v="9.9670-6155"/>
    <s v="Pça Américo Ferreira de Abreu, 23"/>
    <s v="SANTA MONICA"/>
    <s v="38408-166"/>
    <m/>
    <m/>
    <x v="0"/>
    <n v="1"/>
    <n v="30"/>
    <n v="30"/>
    <m/>
    <x v="1"/>
  </r>
  <r>
    <n v="601"/>
    <x v="26"/>
    <x v="17"/>
    <x v="190"/>
    <s v="34.99286-0302"/>
    <s v="R. DO PROFESSOR 320"/>
    <s v="PLANALTO"/>
    <s v="38412-296"/>
    <m/>
    <m/>
    <x v="1"/>
    <n v="1"/>
    <n v="30"/>
    <n v="30"/>
    <m/>
    <x v="1"/>
  </r>
  <r>
    <n v="600"/>
    <x v="26"/>
    <x v="17"/>
    <x v="140"/>
    <s v="9.9811-4187"/>
    <s v="Rua Tupaciguara 400 ap 701  - Entrega até 13h"/>
    <s v="APARECIDA"/>
    <s v="38400-618"/>
    <m/>
    <m/>
    <x v="0"/>
    <n v="2"/>
    <n v="30"/>
    <n v="60"/>
    <m/>
    <x v="1"/>
  </r>
  <r>
    <n v="599"/>
    <x v="26"/>
    <x v="17"/>
    <x v="208"/>
    <s v="34.99979-5832"/>
    <n v="0"/>
    <n v="0"/>
    <m/>
    <m/>
    <m/>
    <x v="2"/>
    <n v="1"/>
    <n v="30"/>
    <n v="30"/>
    <m/>
    <x v="1"/>
  </r>
  <r>
    <n v="598"/>
    <x v="26"/>
    <x v="17"/>
    <x v="161"/>
    <s v="34.99669-6170"/>
    <s v="Rua Prof. Ciro de Castro Almeida, 1576"/>
    <s v="CUSTÓDIO PEREIRA"/>
    <s v="38405-250"/>
    <m/>
    <m/>
    <x v="2"/>
    <n v="4"/>
    <n v="30"/>
    <n v="120"/>
    <n v="120"/>
    <x v="2"/>
  </r>
  <r>
    <n v="597"/>
    <x v="26"/>
    <x v="17"/>
    <x v="59"/>
    <n v="0"/>
    <n v="0"/>
    <n v="0"/>
    <m/>
    <m/>
    <s v="CEDEL"/>
    <x v="1"/>
    <n v="2"/>
    <n v="30"/>
    <n v="60"/>
    <m/>
    <x v="1"/>
  </r>
  <r>
    <n v="596"/>
    <x v="26"/>
    <x v="17"/>
    <x v="207"/>
    <s v="34.99147-8758"/>
    <n v="0"/>
    <n v="0"/>
    <m/>
    <m/>
    <s v="CEDEL"/>
    <x v="0"/>
    <n v="2"/>
    <n v="30"/>
    <n v="60"/>
    <m/>
    <x v="1"/>
  </r>
  <r>
    <n v="595"/>
    <x v="26"/>
    <x v="17"/>
    <x v="62"/>
    <s v="34.99676-2593 "/>
    <s v="R. ANITA 125 PASSARELA AV. LIBERDADE ALTAMIRA"/>
    <s v="MORADA DA COLINA"/>
    <s v="38411-014"/>
    <m/>
    <s v="MILVAR"/>
    <x v="2"/>
    <n v="1"/>
    <n v="30"/>
    <n v="30"/>
    <m/>
    <x v="1"/>
  </r>
  <r>
    <n v="595"/>
    <x v="26"/>
    <x v="17"/>
    <x v="62"/>
    <s v="34.99676-2593 "/>
    <s v="R. ANITA 125 PASSARELA AV. LIBERDADE ALTAMIRA"/>
    <s v="MORADA DA COLINA"/>
    <s v="38411-014"/>
    <m/>
    <s v="MILVAR"/>
    <x v="3"/>
    <n v="1"/>
    <n v="30"/>
    <n v="30"/>
    <m/>
    <x v="1"/>
  </r>
  <r>
    <n v="594"/>
    <x v="26"/>
    <x v="12"/>
    <x v="189"/>
    <s v="34.3219-8921"/>
    <s v="Rua Tuiuti 279, Tel: 99954-1904/ 98852-9621"/>
    <s v="TABAJARAS"/>
    <s v="38400-264"/>
    <m/>
    <m/>
    <x v="1"/>
    <n v="1"/>
    <n v="30"/>
    <n v="30"/>
    <m/>
    <x v="1"/>
  </r>
  <r>
    <n v="593"/>
    <x v="26"/>
    <x v="12"/>
    <x v="75"/>
    <s v="9.9932-1907"/>
    <s v="Rua Francisco Rodrigues Serralha, 350 Condomínio Uchoa Bloco 27 apto 402"/>
    <s v="Chácaras Tubalina"/>
    <s v="38413-297"/>
    <m/>
    <m/>
    <x v="1"/>
    <n v="1"/>
    <n v="30"/>
    <n v="30"/>
    <m/>
    <x v="1"/>
  </r>
  <r>
    <n v="592"/>
    <x v="26"/>
    <x v="12"/>
    <x v="4"/>
    <s v="9.9197-7955"/>
    <n v="0"/>
    <s v="CEDEL"/>
    <m/>
    <m/>
    <s v="LEOBALDO"/>
    <x v="1"/>
    <n v="2"/>
    <n v="30"/>
    <n v="60"/>
    <m/>
    <x v="1"/>
  </r>
  <r>
    <n v="591"/>
    <x v="26"/>
    <x v="12"/>
    <x v="254"/>
    <s v="9.9157-9400"/>
    <n v="0"/>
    <s v="CEDEL"/>
    <m/>
    <m/>
    <s v="CEDEL"/>
    <x v="2"/>
    <n v="1"/>
    <n v="30"/>
    <n v="30"/>
    <m/>
    <x v="1"/>
  </r>
  <r>
    <n v="590"/>
    <x v="26"/>
    <x v="12"/>
    <x v="185"/>
    <n v="0"/>
    <s v="Alameda pauso cesar santana , 885 -bloco 7 , apto 406"/>
    <s v=" JD HOLANDA "/>
    <s v="38412-326"/>
    <m/>
    <s v="MANUEL"/>
    <x v="1"/>
    <n v="1"/>
    <n v="30"/>
    <n v="30"/>
    <m/>
    <x v="1"/>
  </r>
  <r>
    <n v="590"/>
    <x v="26"/>
    <x v="12"/>
    <x v="185"/>
    <n v="0"/>
    <s v="Alameda pauso cesar santana , 885 -bloco 7 , apto 406"/>
    <s v=" JD HOLANDA "/>
    <s v="38412-326"/>
    <m/>
    <s v="MANUEL"/>
    <x v="3"/>
    <n v="1"/>
    <n v="30"/>
    <n v="30"/>
    <m/>
    <x v="1"/>
  </r>
  <r>
    <n v="589"/>
    <x v="26"/>
    <x v="12"/>
    <x v="238"/>
    <n v="0"/>
    <n v="0"/>
    <n v="0"/>
    <m/>
    <m/>
    <s v="ZILMA"/>
    <x v="1"/>
    <n v="1"/>
    <n v="30"/>
    <n v="30"/>
    <m/>
    <x v="1"/>
  </r>
  <r>
    <n v="588"/>
    <x v="26"/>
    <x v="7"/>
    <x v="210"/>
    <s v="34.99167-3677"/>
    <s v="Av Dr Laerte viera Gonçalves, 2415 - ap 102"/>
    <s v="SANTA MONICA"/>
    <s v="38408-176"/>
    <m/>
    <m/>
    <x v="2"/>
    <n v="1"/>
    <n v="30"/>
    <n v="30"/>
    <n v="30"/>
    <x v="2"/>
  </r>
  <r>
    <n v="588"/>
    <x v="26"/>
    <x v="7"/>
    <x v="210"/>
    <s v="34.99167-3677"/>
    <s v="Av Dr Laerte viera Gonçalves, 2415 - ap 102"/>
    <s v="SANTA MONICA"/>
    <s v="38408-176"/>
    <m/>
    <m/>
    <x v="3"/>
    <n v="1"/>
    <n v="30"/>
    <n v="30"/>
    <n v="30"/>
    <x v="2"/>
  </r>
  <r>
    <n v="587"/>
    <x v="26"/>
    <x v="7"/>
    <x v="40"/>
    <s v="34.98845-0023"/>
    <s v="Rua Prof. Ciro de Castro Almeida, 1576"/>
    <s v="CUSTÓDIO PEREIRA"/>
    <s v="38405-250"/>
    <m/>
    <m/>
    <x v="0"/>
    <n v="1"/>
    <n v="30"/>
    <n v="30"/>
    <n v="30"/>
    <x v="2"/>
  </r>
  <r>
    <n v="587"/>
    <x v="26"/>
    <x v="7"/>
    <x v="40"/>
    <s v="34.98845-0023"/>
    <s v="Rua Prof. Ciro de Castro Almeida, 1576"/>
    <s v="CUSTÓDIO PEREIRA"/>
    <s v="38405-250"/>
    <m/>
    <m/>
    <x v="1"/>
    <n v="1"/>
    <n v="30"/>
    <n v="30"/>
    <n v="30"/>
    <x v="2"/>
  </r>
  <r>
    <n v="587"/>
    <x v="26"/>
    <x v="7"/>
    <x v="40"/>
    <s v="34.98845-0023"/>
    <s v="Rua Prof. Ciro de Castro Almeida, 1576"/>
    <s v="CUSTÓDIO PEREIRA"/>
    <s v="38405-250"/>
    <m/>
    <m/>
    <x v="2"/>
    <n v="1"/>
    <n v="30"/>
    <n v="30"/>
    <n v="30"/>
    <x v="2"/>
  </r>
  <r>
    <n v="586"/>
    <x v="26"/>
    <x v="7"/>
    <x v="39"/>
    <s v="34.98803-5267"/>
    <s v="Rua Campo Rupestre, 193"/>
    <s v=" JD. BOTANICO "/>
    <s v="38410-664"/>
    <m/>
    <m/>
    <x v="1"/>
    <n v="1"/>
    <n v="30"/>
    <n v="30"/>
    <n v="30"/>
    <x v="2"/>
  </r>
  <r>
    <n v="585"/>
    <x v="26"/>
    <x v="7"/>
    <x v="41"/>
    <s v="34.99133-6005"/>
    <s v="Rua Caxambu, 284 - ap 103"/>
    <s v=" OSVALDO RESENDE "/>
    <s v="38400-418"/>
    <s v="Entregar domingo após as 18 hrs"/>
    <m/>
    <x v="0"/>
    <n v="1"/>
    <n v="30"/>
    <n v="30"/>
    <m/>
    <x v="1"/>
  </r>
  <r>
    <n v="584"/>
    <x v="26"/>
    <x v="2"/>
    <x v="10"/>
    <s v="34.3213-2775"/>
    <s v="R. Pedro Quirino da Silva, 341 "/>
    <s v="MARTA HELENA "/>
    <s v="38402-075"/>
    <s v="CLOVIS"/>
    <m/>
    <x v="1"/>
    <n v="1"/>
    <n v="30"/>
    <n v="30"/>
    <n v="30"/>
    <x v="2"/>
  </r>
  <r>
    <n v="583"/>
    <x v="26"/>
    <x v="2"/>
    <x v="258"/>
    <s v="9.9941-1412"/>
    <s v="Av. Cleanto Vieira Gonçalves, 1.227"/>
    <s v="PACAEMBU"/>
    <s v="38401-545 "/>
    <m/>
    <m/>
    <x v="0"/>
    <n v="1"/>
    <n v="30"/>
    <n v="30"/>
    <n v="30"/>
    <x v="2"/>
  </r>
  <r>
    <n v="582"/>
    <x v="26"/>
    <x v="21"/>
    <x v="259"/>
    <s v="9.9818-0707"/>
    <s v="R. Raimundo Martins de Almeida Cavalcante, 181 casa 5"/>
    <s v="JD EUROPA"/>
    <s v="38414-624"/>
    <m/>
    <m/>
    <x v="4"/>
    <n v="1"/>
    <n v="30"/>
    <n v="30"/>
    <m/>
    <x v="1"/>
  </r>
  <r>
    <n v="581"/>
    <x v="26"/>
    <x v="21"/>
    <x v="260"/>
    <s v="9.9995-3438"/>
    <s v="R. Marcelo Barbosa, 178"/>
    <s v="SHOPPING PARK"/>
    <s v="38411-464"/>
    <m/>
    <m/>
    <x v="1"/>
    <n v="1"/>
    <n v="30"/>
    <n v="30"/>
    <n v="30"/>
    <x v="2"/>
  </r>
  <r>
    <n v="580"/>
    <x v="26"/>
    <x v="21"/>
    <x v="248"/>
    <s v="9.9229-8477"/>
    <s v="Av. Cesário Crosara, 4264"/>
    <s v="ROOSEVELT"/>
    <s v="38401-119"/>
    <m/>
    <m/>
    <x v="1"/>
    <n v="1"/>
    <n v="30"/>
    <n v="30"/>
    <n v="30"/>
    <x v="2"/>
  </r>
  <r>
    <n v="579"/>
    <x v="26"/>
    <x v="21"/>
    <x v="261"/>
    <s v="9.9204-1591"/>
    <s v="R. Graça Aranha, 480"/>
    <s v="TUBALINA"/>
    <s v="38412-070"/>
    <m/>
    <m/>
    <x v="1"/>
    <n v="1"/>
    <n v="30"/>
    <n v="30"/>
    <n v="30"/>
    <x v="2"/>
  </r>
  <r>
    <n v="578"/>
    <x v="26"/>
    <x v="21"/>
    <x v="262"/>
    <s v="9.9876-0960"/>
    <s v="R. Fádua Barcha Gustin, 445 BL 01 APTO 302"/>
    <s v="CIDADE JARDIM"/>
    <s v="38412-003"/>
    <m/>
    <m/>
    <x v="1"/>
    <n v="1"/>
    <n v="30"/>
    <n v="30"/>
    <m/>
    <x v="1"/>
  </r>
  <r>
    <n v="577"/>
    <x v="26"/>
    <x v="21"/>
    <x v="228"/>
    <s v="9.9232-5605"/>
    <s v="R. Edmundo Munir Arantes, 79"/>
    <s v="PLANALTO"/>
    <s v="38413-276"/>
    <s v="+FRALDAS"/>
    <m/>
    <x v="1"/>
    <n v="1"/>
    <n v="30"/>
    <n v="30"/>
    <n v="30"/>
    <x v="2"/>
  </r>
  <r>
    <n v="576"/>
    <x v="26"/>
    <x v="21"/>
    <x v="28"/>
    <s v="9.9694-0869"/>
    <s v="R. Ibiá, 127"/>
    <s v="OSVALDO REZENDE"/>
    <s v="38400-430"/>
    <m/>
    <m/>
    <x v="1"/>
    <n v="1"/>
    <n v="30"/>
    <n v="30"/>
    <m/>
    <x v="1"/>
  </r>
  <r>
    <n v="575"/>
    <x v="26"/>
    <x v="21"/>
    <x v="82"/>
    <s v="9.9665-5619"/>
    <s v="R. Ismael Gomes de Oliveira, 72"/>
    <s v="ALTO UMUARAMA"/>
    <s v="38405-380"/>
    <m/>
    <m/>
    <x v="0"/>
    <n v="1"/>
    <n v="30"/>
    <n v="30"/>
    <m/>
    <x v="1"/>
  </r>
  <r>
    <n v="574"/>
    <x v="26"/>
    <x v="21"/>
    <x v="229"/>
    <s v="9.9992-1905"/>
    <s v="Rua Patrulheiro Osmar Tavares, 989"/>
    <s v="SANTA MONICA"/>
    <s v="38408-294"/>
    <m/>
    <m/>
    <x v="1"/>
    <n v="2"/>
    <n v="30"/>
    <n v="60"/>
    <m/>
    <x v="1"/>
  </r>
  <r>
    <n v="573"/>
    <x v="26"/>
    <x v="21"/>
    <x v="198"/>
    <n v="0"/>
    <n v="0"/>
    <n v="0"/>
    <m/>
    <m/>
    <s v="MARIA LÚCIA"/>
    <x v="2"/>
    <n v="1"/>
    <n v="30"/>
    <n v="30"/>
    <m/>
    <x v="1"/>
  </r>
  <r>
    <n v="572"/>
    <x v="26"/>
    <x v="21"/>
    <x v="22"/>
    <s v="34.99977-5669"/>
    <s v="R. Waterloo Pereira Alves, 73 "/>
    <s v=" JD. PATRÍCIA "/>
    <s v="38414-172"/>
    <s v="LIGAR ANTES"/>
    <m/>
    <x v="2"/>
    <n v="1"/>
    <n v="30"/>
    <n v="30"/>
    <m/>
    <x v="1"/>
  </r>
  <r>
    <n v="571"/>
    <x v="26"/>
    <x v="21"/>
    <x v="98"/>
    <s v="9.9991-4357"/>
    <s v="R. Michele Virno, 4093"/>
    <s v="CUSTÓDIO PEREIRA"/>
    <s v="38405-190"/>
    <m/>
    <m/>
    <x v="4"/>
    <n v="1"/>
    <n v="30"/>
    <n v="30"/>
    <m/>
    <x v="1"/>
  </r>
  <r>
    <n v="570"/>
    <x v="26"/>
    <x v="21"/>
    <x v="263"/>
    <s v=" 3214-4522 / 34.99996-0527"/>
    <s v="R.Cel Antônio Alves Pereira, 1874"/>
    <s v=" SARAIVA "/>
    <s v="38408-370"/>
    <m/>
    <m/>
    <x v="2"/>
    <n v="1"/>
    <n v="30"/>
    <n v="30"/>
    <m/>
    <x v="1"/>
  </r>
  <r>
    <n v="569"/>
    <x v="26"/>
    <x v="21"/>
    <x v="264"/>
    <s v=" 34.3237-4538/ 34.99129-2747"/>
    <s v="R. Sebastião Rangel, 593"/>
    <s v="SANTA MONICA"/>
    <s v="38408-250"/>
    <m/>
    <m/>
    <x v="2"/>
    <n v="1"/>
    <n v="30"/>
    <n v="30"/>
    <m/>
    <x v="1"/>
  </r>
  <r>
    <n v="568"/>
    <x v="26"/>
    <x v="21"/>
    <x v="232"/>
    <s v="34.99240-5393"/>
    <s v="R. Rio de Janeiro, 932 apto 101"/>
    <s v=" BRASIL "/>
    <s v="38400-658"/>
    <m/>
    <m/>
    <x v="0"/>
    <n v="1"/>
    <n v="30"/>
    <n v="30"/>
    <m/>
    <x v="1"/>
  </r>
  <r>
    <n v="567"/>
    <x v="26"/>
    <x v="21"/>
    <x v="171"/>
    <s v="34.99222-7189"/>
    <s v="Av. José Fonseca e Silva, 210"/>
    <s v=" LUIZOTE DE FREITAS "/>
    <s v="38414-348"/>
    <m/>
    <m/>
    <x v="1"/>
    <n v="1"/>
    <n v="30"/>
    <n v="30"/>
    <m/>
    <x v="1"/>
  </r>
  <r>
    <n v="566"/>
    <x v="26"/>
    <x v="21"/>
    <x v="30"/>
    <s v="3213-3201/ 9.9211-0864"/>
    <s v="Av. Clara Camarão, 427"/>
    <s v="N.Sra Graças"/>
    <s v="38402-010"/>
    <m/>
    <m/>
    <x v="1"/>
    <n v="1"/>
    <n v="30"/>
    <n v="30"/>
    <m/>
    <x v="1"/>
  </r>
  <r>
    <n v="566"/>
    <x v="26"/>
    <x v="21"/>
    <x v="30"/>
    <s v="3213-3201/ 9.9211-0864"/>
    <s v="Av. Clara Camarão, 427"/>
    <s v="N.Sra Graças"/>
    <s v="38402-010"/>
    <m/>
    <m/>
    <x v="2"/>
    <n v="1"/>
    <n v="30"/>
    <n v="30"/>
    <m/>
    <x v="1"/>
  </r>
  <r>
    <n v="565"/>
    <x v="26"/>
    <x v="21"/>
    <x v="11"/>
    <s v="9.9132-9676"/>
    <s v="R. Melo Viana, 233 esq. R. Eduardo Marquês"/>
    <s v="MARTINS"/>
    <s v="38400-376"/>
    <m/>
    <m/>
    <x v="1"/>
    <n v="1"/>
    <n v="30"/>
    <n v="30"/>
    <m/>
    <x v="1"/>
  </r>
  <r>
    <n v="564"/>
    <x v="26"/>
    <x v="21"/>
    <x v="19"/>
    <s v=" 34.99155-5564 / 34.3215-1758"/>
    <s v="Av. Cesário Crosara, 3525"/>
    <s v=" ROOSEVELT "/>
    <s v="38401-119"/>
    <m/>
    <m/>
    <x v="3"/>
    <n v="1"/>
    <n v="30"/>
    <n v="30"/>
    <m/>
    <x v="1"/>
  </r>
  <r>
    <n v="563"/>
    <x v="26"/>
    <x v="21"/>
    <x v="215"/>
    <s v="34.98861-0155  34.3231-1098"/>
    <s v="Av Alexandre Ribeiro Guimarães, 603"/>
    <s v=" SANTA MARIA "/>
    <s v="38408-050"/>
    <m/>
    <m/>
    <x v="1"/>
    <n v="1"/>
    <n v="30"/>
    <n v="30"/>
    <m/>
    <x v="1"/>
  </r>
  <r>
    <n v="562"/>
    <x v="26"/>
    <x v="21"/>
    <x v="234"/>
    <s v="9.9670-9884"/>
    <s v="R. Agesilau Paschoal Greco, 318"/>
    <s v="MORADA DA COLINA"/>
    <s v="38411-112"/>
    <m/>
    <s v="MARIA LÚCIA"/>
    <x v="1"/>
    <n v="1"/>
    <n v="30"/>
    <n v="30"/>
    <m/>
    <x v="1"/>
  </r>
  <r>
    <n v="561"/>
    <x v="26"/>
    <x v="21"/>
    <x v="216"/>
    <n v="0"/>
    <n v="0"/>
    <n v="0"/>
    <m/>
    <m/>
    <s v="CEDEL"/>
    <x v="2"/>
    <n v="1"/>
    <n v="30"/>
    <n v="30"/>
    <n v="30"/>
    <x v="2"/>
  </r>
  <r>
    <n v="560"/>
    <x v="26"/>
    <x v="21"/>
    <x v="12"/>
    <s v="9.9670-9884"/>
    <s v="R. Agesilau Paschoal Greco, 318"/>
    <s v="MORADA DA COLINA"/>
    <s v="38411-112"/>
    <m/>
    <s v="MARIA LÚCIA"/>
    <x v="2"/>
    <n v="4"/>
    <n v="30"/>
    <n v="120"/>
    <m/>
    <x v="1"/>
  </r>
  <r>
    <n v="559"/>
    <x v="26"/>
    <x v="21"/>
    <x v="265"/>
    <s v="34.99632-5003"/>
    <s v="R. Duque de Caxias, 1390"/>
    <s v=" SARAIVA "/>
    <s v="38408-382"/>
    <m/>
    <m/>
    <x v="1"/>
    <n v="1"/>
    <n v="30"/>
    <n v="30"/>
    <m/>
    <x v="1"/>
  </r>
  <r>
    <n v="558"/>
    <x v="26"/>
    <x v="21"/>
    <x v="32"/>
    <s v="9.9171-4462"/>
    <s v="R. Monlevade, 852"/>
    <s v="DANIEL FONSECA"/>
    <s v="38400-320"/>
    <m/>
    <m/>
    <x v="2"/>
    <n v="2"/>
    <n v="30"/>
    <n v="60"/>
    <m/>
    <x v="1"/>
  </r>
  <r>
    <n v="557"/>
    <x v="26"/>
    <x v="21"/>
    <x v="235"/>
    <s v="3232-9278"/>
    <s v="R. Feliciano de Moraes, 139"/>
    <s v="APARECIDA"/>
    <s v="38400-684"/>
    <m/>
    <m/>
    <x v="1"/>
    <n v="1"/>
    <n v="30"/>
    <n v="30"/>
    <m/>
    <x v="1"/>
  </r>
  <r>
    <n v="556"/>
    <x v="26"/>
    <x v="21"/>
    <x v="266"/>
    <s v="34.99148-4283"/>
    <s v="R. Jade, 45 "/>
    <s v="JD. BOTÂNICO"/>
    <s v="38411-634"/>
    <m/>
    <m/>
    <x v="2"/>
    <n v="1"/>
    <n v="30"/>
    <n v="30"/>
    <m/>
    <x v="1"/>
  </r>
  <r>
    <n v="555"/>
    <x v="26"/>
    <x v="21"/>
    <x v="217"/>
    <s v="34.99195-9740"/>
    <s v="Av. Belo Horizonte, 1786 - esquina c/ R. Lambari"/>
    <s v=" OSVALDO RESENDE "/>
    <s v="38400-454"/>
    <m/>
    <m/>
    <x v="0"/>
    <n v="2"/>
    <n v="30"/>
    <n v="60"/>
    <m/>
    <x v="1"/>
  </r>
  <r>
    <n v="554"/>
    <x v="26"/>
    <x v="21"/>
    <x v="173"/>
    <s v="9.9892-3746"/>
    <s v="Alameda Durval Carrijo, 550"/>
    <s v="MORADA DA COLINA"/>
    <s v="38411-138"/>
    <m/>
    <s v="MARIA LÚCIA"/>
    <x v="2"/>
    <n v="1"/>
    <n v="30"/>
    <n v="30"/>
    <m/>
    <x v="1"/>
  </r>
  <r>
    <n v="553"/>
    <x v="26"/>
    <x v="21"/>
    <x v="10"/>
    <s v="34.3213-2775"/>
    <s v="R. Pedro Quirino da Silva, 341 "/>
    <s v="MARTA HELENA "/>
    <s v="38402-075"/>
    <m/>
    <m/>
    <x v="1"/>
    <n v="5"/>
    <n v="30"/>
    <n v="150"/>
    <n v="150"/>
    <x v="2"/>
  </r>
  <r>
    <n v="552"/>
    <x v="26"/>
    <x v="21"/>
    <x v="31"/>
    <s v="9.8899-1860"/>
    <s v="R. Engenheiro Hélvio Félici, 250"/>
    <s v="MORADA DA COLINA"/>
    <s v="38411-114"/>
    <m/>
    <s v="MARIA LÚCIA"/>
    <x v="1"/>
    <n v="1"/>
    <n v="30"/>
    <n v="30"/>
    <m/>
    <x v="1"/>
  </r>
  <r>
    <n v="551"/>
    <x v="26"/>
    <x v="18"/>
    <x v="94"/>
    <s v="9.9976-8255"/>
    <s v="R. Irene Rosa, 54"/>
    <s v="OSVALDO REZENDE"/>
    <s v="38400-480"/>
    <s v="LIGAR ANTES"/>
    <m/>
    <x v="1"/>
    <n v="1"/>
    <n v="30"/>
    <n v="30"/>
    <m/>
    <x v="1"/>
  </r>
  <r>
    <n v="550"/>
    <x v="26"/>
    <x v="18"/>
    <x v="200"/>
    <s v="9.9684-7889"/>
    <s v="AV. IMBAÚBA 2200 BL03 AP404"/>
    <s v="JARAGUÁ"/>
    <s v="38413-108"/>
    <m/>
    <m/>
    <x v="1"/>
    <n v="1"/>
    <n v="30"/>
    <n v="30"/>
    <m/>
    <x v="1"/>
  </r>
  <r>
    <n v="549"/>
    <x v="26"/>
    <x v="25"/>
    <x v="240"/>
    <s v="9.9215-5938"/>
    <s v="R. Joao Rodrigues Castro, 400"/>
    <s v="JARDIM PATRÍCIA"/>
    <s v="38414-122"/>
    <m/>
    <m/>
    <x v="0"/>
    <n v="1"/>
    <n v="30"/>
    <n v="30"/>
    <m/>
    <x v="1"/>
  </r>
  <r>
    <n v="548"/>
    <x v="26"/>
    <x v="25"/>
    <x v="267"/>
    <s v="9.8822-2019"/>
    <s v="R: DO AMENDOIN, 3100, CASA 08"/>
    <s v="MINAS GERAIS"/>
    <s v="38402-206"/>
    <m/>
    <m/>
    <x v="1"/>
    <n v="1"/>
    <n v="30"/>
    <n v="30"/>
    <m/>
    <x v="1"/>
  </r>
  <r>
    <n v="547"/>
    <x v="26"/>
    <x v="25"/>
    <x v="241"/>
    <s v="34.99913-9667"/>
    <s v="R: FRANCISCA ALVES AZEVEDO, 35 "/>
    <s v="JARDIM IPANEMA I"/>
    <s v="38406-211"/>
    <s v="LIGAR ANTES"/>
    <m/>
    <x v="2"/>
    <n v="1"/>
    <n v="30"/>
    <n v="30"/>
    <n v="30"/>
    <x v="2"/>
  </r>
  <r>
    <n v="546"/>
    <x v="26"/>
    <x v="25"/>
    <x v="205"/>
    <s v="34.99196-8079"/>
    <s v="RUA PEDRO JOSE SAMORA, 1468, ANT 17 "/>
    <s v=" SANTA MONICA "/>
    <s v="38408-224"/>
    <m/>
    <m/>
    <x v="0"/>
    <n v="1"/>
    <n v="30"/>
    <n v="30"/>
    <n v="30"/>
    <x v="2"/>
  </r>
  <r>
    <n v="545"/>
    <x v="26"/>
    <x v="22"/>
    <x v="168"/>
    <s v="9.9141-7904"/>
    <n v="0"/>
    <n v="0"/>
    <m/>
    <m/>
    <m/>
    <x v="0"/>
    <n v="2"/>
    <n v="30"/>
    <n v="60"/>
    <m/>
    <x v="1"/>
  </r>
  <r>
    <n v="544"/>
    <x v="26"/>
    <x v="27"/>
    <x v="239"/>
    <s v="9.9164-5332"/>
    <s v="Alameda Vila Rica 520"/>
    <s v="CITY UBERLANDIA"/>
    <s v="38411-314"/>
    <m/>
    <m/>
    <x v="2"/>
    <n v="2"/>
    <n v="30"/>
    <n v="60"/>
    <m/>
    <x v="1"/>
  </r>
  <r>
    <n v="543"/>
    <x v="26"/>
    <x v="10"/>
    <x v="10"/>
    <s v="34.3213-2775"/>
    <s v="R. Pedro Quirino da Silva, 341 "/>
    <s v="MARTA HELENA "/>
    <s v="38402-075"/>
    <s v="RODOLFO"/>
    <m/>
    <x v="1"/>
    <n v="1"/>
    <n v="30"/>
    <n v="30"/>
    <m/>
    <x v="1"/>
  </r>
  <r>
    <n v="542"/>
    <x v="26"/>
    <x v="10"/>
    <x v="60"/>
    <n v="0"/>
    <n v="0"/>
    <n v="0"/>
    <m/>
    <m/>
    <s v="CEDEL"/>
    <x v="1"/>
    <n v="2"/>
    <n v="30"/>
    <n v="60"/>
    <m/>
    <x v="1"/>
  </r>
  <r>
    <n v="541"/>
    <x v="26"/>
    <x v="28"/>
    <x v="255"/>
    <s v="34.99128-4121"/>
    <s v="R. RAUL PETRONILHO DE PÁDUA 187"/>
    <s v="GRANADA"/>
    <s v="38410-020"/>
    <m/>
    <m/>
    <x v="0"/>
    <n v="1"/>
    <n v="30"/>
    <n v="30"/>
    <m/>
    <x v="1"/>
  </r>
  <r>
    <n v="540"/>
    <x v="26"/>
    <x v="2"/>
    <x v="268"/>
    <s v="9.9663-4126"/>
    <s v="Rua Arlindo Gomes Teixeira, 1459 Antiga 39"/>
    <s v="SANTA MONICA"/>
    <s v="38408-264"/>
    <m/>
    <m/>
    <x v="0"/>
    <n v="1"/>
    <n v="30"/>
    <n v="30"/>
    <n v="30"/>
    <x v="2"/>
  </r>
  <r>
    <n v="539"/>
    <x v="26"/>
    <x v="2"/>
    <x v="61"/>
    <s v="34.9948-0722"/>
    <s v="R. Orozimbo José Ferreira"/>
    <s v="APARECIDA"/>
    <s v="38400-774"/>
    <m/>
    <s v="CEDEL"/>
    <x v="0"/>
    <n v="1"/>
    <n v="30"/>
    <n v="30"/>
    <m/>
    <x v="1"/>
  </r>
  <r>
    <n v="539"/>
    <x v="26"/>
    <x v="2"/>
    <x v="61"/>
    <s v="34.9948-0722"/>
    <s v="R. Orozimbo José Ferreira"/>
    <s v="APARECIDA"/>
    <s v="38400-774"/>
    <m/>
    <s v="CEDEL"/>
    <x v="4"/>
    <n v="1"/>
    <n v="30"/>
    <n v="30"/>
    <m/>
    <x v="1"/>
  </r>
  <r>
    <n v="538"/>
    <x v="26"/>
    <x v="20"/>
    <x v="8"/>
    <s v="9.9149-1390"/>
    <n v="0"/>
    <s v="CEDEL"/>
    <m/>
    <m/>
    <s v="CEDEL"/>
    <x v="3"/>
    <n v="1"/>
    <n v="30"/>
    <n v="30"/>
    <m/>
    <x v="1"/>
  </r>
  <r>
    <n v="537"/>
    <x v="27"/>
    <x v="17"/>
    <x v="134"/>
    <s v="9.9634-0246"/>
    <s v="Rua José Miguel Saramago, 63, Casa 02"/>
    <s v="SANTA MONICA"/>
    <s v="38408-222"/>
    <m/>
    <m/>
    <x v="1"/>
    <n v="1"/>
    <n v="30"/>
    <n v="30"/>
    <m/>
    <x v="1"/>
  </r>
  <r>
    <n v="536"/>
    <x v="27"/>
    <x v="17"/>
    <x v="269"/>
    <s v="9.9990-2430"/>
    <s v="R. JOSÉ OLIVEIRA PINTO 34 "/>
    <s v="TUBALINA"/>
    <s v="38412-098"/>
    <m/>
    <m/>
    <x v="1"/>
    <n v="2"/>
    <n v="30"/>
    <n v="60"/>
    <m/>
    <x v="1"/>
  </r>
  <r>
    <n v="535"/>
    <x v="27"/>
    <x v="18"/>
    <x v="184"/>
    <s v="9.8852-3585"/>
    <s v="R. João Ângelo Schiavinatto, 2220, apto 302 "/>
    <s v="SANTA MONICA"/>
    <s v="38408-272"/>
    <m/>
    <m/>
    <x v="1"/>
    <n v="1"/>
    <n v="30"/>
    <n v="30"/>
    <m/>
    <x v="1"/>
  </r>
  <r>
    <n v="534"/>
    <x v="27"/>
    <x v="18"/>
    <x v="200"/>
    <s v="9.9684-7889"/>
    <s v="AV. IMBAÚBA 2200 BL03 AP404"/>
    <s v="JARAGUÁ"/>
    <s v="38413-108"/>
    <s v="ATÉ 13:30 - LIGAR ANTES"/>
    <m/>
    <x v="1"/>
    <n v="1"/>
    <n v="30"/>
    <n v="30"/>
    <m/>
    <x v="1"/>
  </r>
  <r>
    <n v="533"/>
    <x v="27"/>
    <x v="18"/>
    <x v="94"/>
    <s v="9.9976-8255"/>
    <s v="R. Irene Rosa, 54"/>
    <s v="OSVALDO REZENDE"/>
    <s v="38400-480"/>
    <s v="LIGAR ANTES"/>
    <m/>
    <x v="1"/>
    <n v="1"/>
    <n v="30"/>
    <n v="30"/>
    <m/>
    <x v="1"/>
  </r>
  <r>
    <n v="532"/>
    <x v="27"/>
    <x v="18"/>
    <x v="270"/>
    <s v="9.9673-3900"/>
    <s v="R. Pirapuã, 275"/>
    <s v="JD KARÍBA"/>
    <s v="38411-364"/>
    <m/>
    <m/>
    <x v="0"/>
    <n v="1"/>
    <n v="30"/>
    <n v="30"/>
    <m/>
    <x v="1"/>
  </r>
  <r>
    <n v="532"/>
    <x v="27"/>
    <x v="18"/>
    <x v="270"/>
    <s v="9.9673-3900"/>
    <s v="R. Pirapuã, 275"/>
    <s v="JD KARÍBA"/>
    <s v="38411-364"/>
    <m/>
    <m/>
    <x v="2"/>
    <n v="1"/>
    <n v="30"/>
    <n v="30"/>
    <m/>
    <x v="1"/>
  </r>
  <r>
    <n v="531"/>
    <x v="27"/>
    <x v="17"/>
    <x v="62"/>
    <s v="34.99676-2593 "/>
    <s v="R. ANITA 125 PASSARELA AV. LIBERDADE ALTAMIRA"/>
    <s v="MORADA DA COLINA"/>
    <s v="38411-014"/>
    <m/>
    <s v="MILVAR"/>
    <x v="2"/>
    <n v="1"/>
    <n v="30"/>
    <n v="30"/>
    <m/>
    <x v="1"/>
  </r>
  <r>
    <n v="531"/>
    <x v="27"/>
    <x v="17"/>
    <x v="62"/>
    <s v="34.99676-2593 "/>
    <s v="R. ANITA 125 PASSARELA AV. LIBERDADE ALTAMIRA"/>
    <s v="MORADA DA COLINA"/>
    <s v="38411-014"/>
    <m/>
    <s v="MILVAR"/>
    <x v="3"/>
    <n v="1"/>
    <n v="30"/>
    <n v="30"/>
    <m/>
    <x v="1"/>
  </r>
  <r>
    <n v="530"/>
    <x v="27"/>
    <x v="17"/>
    <x v="271"/>
    <s v="9.98102-6788"/>
    <n v="0"/>
    <n v="0"/>
    <m/>
    <m/>
    <s v="CEDEL"/>
    <x v="2"/>
    <n v="1"/>
    <n v="30"/>
    <n v="30"/>
    <m/>
    <x v="1"/>
  </r>
  <r>
    <n v="529"/>
    <x v="27"/>
    <x v="17"/>
    <x v="272"/>
    <s v="9.9219-4113"/>
    <n v="0"/>
    <n v="0"/>
    <m/>
    <m/>
    <m/>
    <x v="2"/>
    <n v="2"/>
    <n v="30"/>
    <n v="60"/>
    <m/>
    <x v="1"/>
  </r>
  <r>
    <n v="528"/>
    <x v="27"/>
    <x v="17"/>
    <x v="273"/>
    <n v="0"/>
    <s v="Rua dos jardins 1500 condomínio Gênova _x000a_Rua bouganville 481"/>
    <s v="NOVA UBERLÂNDIA"/>
    <s v="38412-639"/>
    <m/>
    <m/>
    <x v="0"/>
    <n v="2"/>
    <n v="30"/>
    <n v="60"/>
    <m/>
    <x v="1"/>
  </r>
  <r>
    <n v="528"/>
    <x v="27"/>
    <x v="17"/>
    <x v="273"/>
    <n v="0"/>
    <s v="Rua dos jardins 1500 condomínio Gênova _x000a_Rua bouganville 481"/>
    <s v="NOVA UBERLÂNDIA"/>
    <s v="38412-639"/>
    <m/>
    <m/>
    <x v="2"/>
    <n v="2"/>
    <n v="30"/>
    <n v="60"/>
    <m/>
    <x v="1"/>
  </r>
  <r>
    <n v="527"/>
    <x v="27"/>
    <x v="17"/>
    <x v="274"/>
    <s v="9.9973-4397"/>
    <s v="R. DYENIFER APARECIDA COSTA SANTOS 210 APÓS 15HRS "/>
    <s v="JD EUROPA"/>
    <s v="38414-620"/>
    <s v="LIGAR ANTES"/>
    <m/>
    <x v="1"/>
    <n v="1"/>
    <n v="30"/>
    <n v="30"/>
    <m/>
    <x v="1"/>
  </r>
  <r>
    <n v="526"/>
    <x v="27"/>
    <x v="17"/>
    <x v="275"/>
    <s v="34.99817-1174"/>
    <s v="TRAVESSA ANTONIO FONSECA SILVA, 11"/>
    <s v="APARECIDA"/>
    <s v="38400-676"/>
    <m/>
    <m/>
    <x v="3"/>
    <n v="1"/>
    <n v="30"/>
    <n v="30"/>
    <m/>
    <x v="1"/>
  </r>
  <r>
    <n v="525"/>
    <x v="27"/>
    <x v="17"/>
    <x v="208"/>
    <s v="34.99979-5832"/>
    <n v="0"/>
    <n v="0"/>
    <m/>
    <m/>
    <m/>
    <x v="2"/>
    <n v="2"/>
    <n v="30"/>
    <n v="60"/>
    <m/>
    <x v="1"/>
  </r>
  <r>
    <n v="524"/>
    <x v="27"/>
    <x v="17"/>
    <x v="190"/>
    <s v="34.99286-0302"/>
    <s v="R. DO PROFESSOR 320"/>
    <s v="PLANALTO"/>
    <s v="38412-296"/>
    <m/>
    <m/>
    <x v="1"/>
    <n v="1"/>
    <n v="30"/>
    <n v="30"/>
    <m/>
    <x v="1"/>
  </r>
  <r>
    <n v="523"/>
    <x v="27"/>
    <x v="17"/>
    <x v="276"/>
    <s v="34.99145-7868"/>
    <s v="R. ARNALDO TUCCI 1289 ANT34 "/>
    <s v="SANTA MONICA"/>
    <s v="38408-256"/>
    <m/>
    <m/>
    <x v="2"/>
    <n v="1"/>
    <n v="30"/>
    <n v="30"/>
    <m/>
    <x v="1"/>
  </r>
  <r>
    <n v="522"/>
    <x v="27"/>
    <x v="17"/>
    <x v="161"/>
    <s v="34.99669-6170"/>
    <s v="Rua Prof. Ciro de Castro Almeida, 1576"/>
    <s v="CUSTÓDIO PEREIRA"/>
    <s v="38405-250"/>
    <m/>
    <m/>
    <x v="2"/>
    <n v="4"/>
    <n v="30"/>
    <n v="120"/>
    <n v="120"/>
    <x v="2"/>
  </r>
  <r>
    <n v="521"/>
    <x v="27"/>
    <x v="17"/>
    <x v="59"/>
    <n v="0"/>
    <n v="0"/>
    <n v="0"/>
    <m/>
    <m/>
    <m/>
    <x v="1"/>
    <n v="2"/>
    <n v="30"/>
    <n v="60"/>
    <m/>
    <x v="1"/>
  </r>
  <r>
    <n v="520"/>
    <x v="27"/>
    <x v="17"/>
    <x v="207"/>
    <s v="34.99147-8758"/>
    <n v="0"/>
    <n v="0"/>
    <m/>
    <m/>
    <s v="CEDEL"/>
    <x v="0"/>
    <n v="2"/>
    <n v="30"/>
    <n v="60"/>
    <m/>
    <x v="1"/>
  </r>
  <r>
    <n v="519"/>
    <x v="27"/>
    <x v="11"/>
    <x v="180"/>
    <s v="34.99149-6210"/>
    <n v="0"/>
    <n v="0"/>
    <m/>
    <m/>
    <m/>
    <x v="2"/>
    <n v="1"/>
    <n v="30"/>
    <n v="30"/>
    <m/>
    <x v="1"/>
  </r>
  <r>
    <n v="518"/>
    <x v="27"/>
    <x v="20"/>
    <x v="8"/>
    <s v="9.9149-1390"/>
    <n v="0"/>
    <s v="CEDEL"/>
    <m/>
    <m/>
    <s v="FÁBIO MATOS"/>
    <x v="1"/>
    <n v="2"/>
    <n v="30"/>
    <n v="60"/>
    <m/>
    <x v="1"/>
  </r>
  <r>
    <n v="518"/>
    <x v="27"/>
    <x v="20"/>
    <x v="8"/>
    <s v="9.9149-1390"/>
    <n v="0"/>
    <s v="CEDEL"/>
    <m/>
    <m/>
    <s v="FÁBIO MATOS"/>
    <x v="3"/>
    <n v="1"/>
    <n v="30"/>
    <n v="30"/>
    <m/>
    <x v="1"/>
  </r>
  <r>
    <n v="517"/>
    <x v="27"/>
    <x v="22"/>
    <x v="168"/>
    <s v="9.9141-7904"/>
    <n v="0"/>
    <n v="0"/>
    <m/>
    <m/>
    <m/>
    <x v="0"/>
    <n v="1"/>
    <n v="30"/>
    <n v="30"/>
    <m/>
    <x v="1"/>
  </r>
  <r>
    <n v="517"/>
    <x v="27"/>
    <x v="22"/>
    <x v="168"/>
    <s v="9.9141-7904"/>
    <n v="0"/>
    <n v="0"/>
    <m/>
    <m/>
    <m/>
    <x v="1"/>
    <n v="1"/>
    <n v="30"/>
    <n v="30"/>
    <m/>
    <x v="1"/>
  </r>
  <r>
    <n v="516"/>
    <x v="27"/>
    <x v="2"/>
    <x v="61"/>
    <s v="34.9948-0722"/>
    <s v="R. Orozimbo José Ferreira"/>
    <s v="APARECIDA"/>
    <s v="38400-774"/>
    <m/>
    <s v="PRISCILLA"/>
    <x v="4"/>
    <n v="1"/>
    <n v="30"/>
    <n v="30"/>
    <m/>
    <x v="1"/>
  </r>
  <r>
    <n v="516"/>
    <x v="27"/>
    <x v="2"/>
    <x v="61"/>
    <s v="34.9948-0722"/>
    <s v="R. Orozimbo José Ferreira"/>
    <s v="APARECIDA"/>
    <s v="38400-774"/>
    <m/>
    <s v="PRISCILLA"/>
    <x v="0"/>
    <n v="1"/>
    <n v="30"/>
    <n v="30"/>
    <m/>
    <x v="1"/>
  </r>
  <r>
    <n v="515"/>
    <x v="27"/>
    <x v="2"/>
    <x v="251"/>
    <s v="9.9155-0999"/>
    <s v="Rua Antônio Fortunato Silva, 691 Antiga 3"/>
    <s v="SANTA MONICA"/>
    <s v="38408-210"/>
    <m/>
    <m/>
    <x v="3"/>
    <n v="1"/>
    <n v="30"/>
    <n v="30"/>
    <m/>
    <x v="1"/>
  </r>
  <r>
    <n v="514"/>
    <x v="27"/>
    <x v="10"/>
    <x v="10"/>
    <s v="34.3213-2775"/>
    <s v="R. Pedro Quirino da Silva, 341 "/>
    <s v="MARTA HELENA "/>
    <s v="38402-075"/>
    <s v="RODOLFO"/>
    <m/>
    <x v="1"/>
    <n v="1"/>
    <n v="30"/>
    <n v="30"/>
    <m/>
    <x v="1"/>
  </r>
  <r>
    <n v="513"/>
    <x v="27"/>
    <x v="10"/>
    <x v="60"/>
    <n v="0"/>
    <n v="0"/>
    <n v="0"/>
    <m/>
    <m/>
    <m/>
    <x v="1"/>
    <n v="2"/>
    <n v="30"/>
    <n v="60"/>
    <m/>
    <x v="1"/>
  </r>
  <r>
    <n v="512"/>
    <x v="27"/>
    <x v="27"/>
    <x v="239"/>
    <s v="9.9164-5332"/>
    <s v="Alameda Vila Rica 520"/>
    <s v="CITY UBERLANDIA"/>
    <s v="38411-314"/>
    <m/>
    <m/>
    <x v="2"/>
    <n v="2"/>
    <n v="30"/>
    <n v="60"/>
    <m/>
    <x v="1"/>
  </r>
  <r>
    <n v="511"/>
    <x v="27"/>
    <x v="28"/>
    <x v="255"/>
    <s v="34.99128-4121"/>
    <s v="R. RAUL PETRONILHO DE PÁDUA 187"/>
    <s v="GRANADA"/>
    <s v="38410-020"/>
    <m/>
    <m/>
    <x v="0"/>
    <n v="1"/>
    <n v="30"/>
    <n v="30"/>
    <m/>
    <x v="1"/>
  </r>
  <r>
    <n v="510"/>
    <x v="27"/>
    <x v="19"/>
    <x v="277"/>
    <s v="34.99690-8656"/>
    <s v="Rua João Severiano Rodrigesda Cunha 879 casa 10 "/>
    <s v="ITAPEMA SUL"/>
    <s v="38411-356"/>
    <m/>
    <m/>
    <x v="2"/>
    <n v="1"/>
    <n v="30"/>
    <n v="30"/>
    <m/>
    <x v="1"/>
  </r>
  <r>
    <n v="509"/>
    <x v="27"/>
    <x v="19"/>
    <x v="245"/>
    <n v="0"/>
    <n v="0"/>
    <n v="0"/>
    <m/>
    <m/>
    <s v="JOSÉ LUIZ"/>
    <x v="2"/>
    <n v="1"/>
    <n v="30"/>
    <n v="30"/>
    <m/>
    <x v="1"/>
  </r>
  <r>
    <n v="508"/>
    <x v="27"/>
    <x v="19"/>
    <x v="242"/>
    <s v="9.9237-0104"/>
    <s v="Rua Olivia Almeida e Silva, 137, Condominio Uruguai "/>
    <s v="JD AMÉRICA"/>
    <s v="38401-788"/>
    <m/>
    <m/>
    <x v="1"/>
    <n v="1"/>
    <n v="30"/>
    <n v="30"/>
    <m/>
    <x v="1"/>
  </r>
  <r>
    <n v="507"/>
    <x v="27"/>
    <x v="19"/>
    <x v="243"/>
    <s v="9.998-8810"/>
    <n v="0"/>
    <s v="ZÉ LUIZ"/>
    <m/>
    <m/>
    <s v="JOSÉ LUIZ"/>
    <x v="1"/>
    <n v="1"/>
    <n v="30"/>
    <n v="30"/>
    <m/>
    <x v="1"/>
  </r>
  <r>
    <n v="506"/>
    <x v="27"/>
    <x v="19"/>
    <x v="10"/>
    <s v="34.3213-2775"/>
    <s v="R. Pedro Quirino da Silva, 341 "/>
    <s v="MARTA HELENA "/>
    <s v="38402-075"/>
    <s v="JOSE LUIZ"/>
    <m/>
    <x v="1"/>
    <n v="2"/>
    <n v="30"/>
    <n v="60"/>
    <n v="60"/>
    <x v="2"/>
  </r>
  <r>
    <n v="505"/>
    <x v="27"/>
    <x v="19"/>
    <x v="246"/>
    <s v="9.9766-0500"/>
    <n v="0"/>
    <s v="CEDEL"/>
    <m/>
    <m/>
    <s v="RODRIGO"/>
    <x v="4"/>
    <n v="1"/>
    <n v="30"/>
    <n v="30"/>
    <m/>
    <x v="1"/>
  </r>
  <r>
    <n v="504"/>
    <x v="27"/>
    <x v="12"/>
    <x v="238"/>
    <n v="0"/>
    <n v="0"/>
    <n v="0"/>
    <m/>
    <m/>
    <s v="ZILMA"/>
    <x v="2"/>
    <n v="1"/>
    <n v="30"/>
    <n v="30"/>
    <m/>
    <x v="1"/>
  </r>
  <r>
    <n v="503"/>
    <x v="27"/>
    <x v="12"/>
    <x v="185"/>
    <n v="0"/>
    <s v="Alameda pauso cesar santana , 885 -bloco 7 , apto 406"/>
    <s v=" JD HOLANDA "/>
    <s v="38412-326"/>
    <m/>
    <s v="MANUEL"/>
    <x v="1"/>
    <n v="1"/>
    <n v="30"/>
    <n v="30"/>
    <m/>
    <x v="1"/>
  </r>
  <r>
    <n v="503"/>
    <x v="27"/>
    <x v="12"/>
    <x v="185"/>
    <n v="0"/>
    <s v="Alameda pauso cesar santana , 885 -bloco 7 , apto 406"/>
    <s v=" JD HOLANDA "/>
    <s v="38412-326"/>
    <m/>
    <s v="MANUEL"/>
    <x v="3"/>
    <n v="1"/>
    <n v="30"/>
    <n v="30"/>
    <m/>
    <x v="1"/>
  </r>
  <r>
    <n v="502"/>
    <x v="27"/>
    <x v="12"/>
    <x v="91"/>
    <n v="0"/>
    <n v="0"/>
    <s v="CEDEL"/>
    <m/>
    <m/>
    <m/>
    <x v="0"/>
    <n v="2"/>
    <n v="30"/>
    <n v="60"/>
    <m/>
    <x v="1"/>
  </r>
  <r>
    <n v="502"/>
    <x v="27"/>
    <x v="12"/>
    <x v="91"/>
    <n v="0"/>
    <n v="0"/>
    <s v="CEDEL"/>
    <m/>
    <m/>
    <m/>
    <x v="1"/>
    <n v="1"/>
    <n v="30"/>
    <n v="30"/>
    <m/>
    <x v="1"/>
  </r>
  <r>
    <n v="501"/>
    <x v="27"/>
    <x v="12"/>
    <x v="254"/>
    <s v="9.9157-9400"/>
    <n v="0"/>
    <s v="CEDEL"/>
    <m/>
    <m/>
    <s v="CEDEL"/>
    <x v="2"/>
    <n v="1"/>
    <n v="30"/>
    <n v="30"/>
    <m/>
    <x v="1"/>
  </r>
  <r>
    <n v="500"/>
    <x v="27"/>
    <x v="12"/>
    <x v="4"/>
    <s v="9.9197-7955"/>
    <n v="0"/>
    <s v="CEDEL"/>
    <m/>
    <m/>
    <s v="LEOBALDO"/>
    <x v="1"/>
    <n v="2"/>
    <n v="30"/>
    <n v="60"/>
    <m/>
    <x v="1"/>
  </r>
  <r>
    <n v="499"/>
    <x v="27"/>
    <x v="12"/>
    <x v="73"/>
    <s v="9.8876-6001"/>
    <s v="Rua José Lelis França, 1480 Apto 301"/>
    <s v="SANTA MONICA"/>
    <s v="38408-234"/>
    <m/>
    <m/>
    <x v="1"/>
    <n v="1"/>
    <n v="30"/>
    <n v="30"/>
    <n v="30"/>
    <x v="2"/>
  </r>
  <r>
    <n v="498"/>
    <x v="27"/>
    <x v="12"/>
    <x v="75"/>
    <s v="9.9932-1907"/>
    <s v="Rua Francisco Rodrigues Serralha, 350 Condomínio Uchoa Bloco 27 apto 402"/>
    <s v="Chácaras Tubalina"/>
    <s v="38413-297"/>
    <s v="VER ENDEREÇO"/>
    <m/>
    <x v="1"/>
    <n v="1"/>
    <n v="30"/>
    <n v="30"/>
    <m/>
    <x v="1"/>
  </r>
  <r>
    <n v="497"/>
    <x v="27"/>
    <x v="12"/>
    <x v="189"/>
    <s v="34.3219-8921"/>
    <s v="Rua Tuiuti 279, Tel: 99954-1904/ 98852-9621"/>
    <s v="TABAJARAS"/>
    <s v="38400-264"/>
    <m/>
    <m/>
    <x v="1"/>
    <n v="1"/>
    <n v="30"/>
    <n v="30"/>
    <m/>
    <x v="1"/>
  </r>
  <r>
    <n v="496"/>
    <x v="27"/>
    <x v="7"/>
    <x v="10"/>
    <s v="34.3213-2775"/>
    <s v="R. Pedro Quirino da Silva, 341 "/>
    <s v="MARTA HELENA "/>
    <s v="38402-075"/>
    <s v="GABRIEL"/>
    <m/>
    <x v="2"/>
    <n v="2"/>
    <n v="30"/>
    <n v="60"/>
    <n v="60"/>
    <x v="2"/>
  </r>
  <r>
    <n v="495"/>
    <x v="27"/>
    <x v="7"/>
    <x v="40"/>
    <s v="34.98845-0023"/>
    <s v="Rua Prof. Ciro de Castro Almeida, 1576"/>
    <s v="CUSTÓDIO PEREIRA"/>
    <s v="38405-250"/>
    <m/>
    <m/>
    <x v="0"/>
    <n v="1"/>
    <n v="30"/>
    <n v="30"/>
    <n v="30"/>
    <x v="2"/>
  </r>
  <r>
    <n v="495"/>
    <x v="27"/>
    <x v="7"/>
    <x v="40"/>
    <s v="34.98845-0023"/>
    <s v="Rua Prof. Ciro de Castro Almeida, 1576"/>
    <s v="CUSTÓDIO PEREIRA"/>
    <s v="38405-250"/>
    <m/>
    <m/>
    <x v="2"/>
    <n v="1"/>
    <n v="30"/>
    <n v="30"/>
    <n v="30"/>
    <x v="2"/>
  </r>
  <r>
    <n v="494"/>
    <x v="27"/>
    <x v="7"/>
    <x v="39"/>
    <s v="34.98803-5267"/>
    <s v="Rua Campo Rupestre, 193"/>
    <s v=" JD. BOTANICO "/>
    <s v="38410-664"/>
    <m/>
    <m/>
    <x v="1"/>
    <n v="1"/>
    <n v="30"/>
    <n v="30"/>
    <n v="30"/>
    <x v="2"/>
  </r>
  <r>
    <n v="493"/>
    <x v="27"/>
    <x v="7"/>
    <x v="41"/>
    <s v="34.99133-6005"/>
    <s v="Rua Caxambu, 284 - ap 103"/>
    <s v=" OSVALDO RESENDE "/>
    <s v="38400-418"/>
    <m/>
    <m/>
    <x v="0"/>
    <n v="1"/>
    <n v="30"/>
    <n v="30"/>
    <m/>
    <x v="1"/>
  </r>
  <r>
    <n v="492"/>
    <x v="27"/>
    <x v="25"/>
    <x v="278"/>
    <s v="9.9178-6749"/>
    <s v="R. ALFREDO MELO DE ABREU, 119"/>
    <s v="LUIZOTE"/>
    <s v="38414-405"/>
    <m/>
    <m/>
    <x v="0"/>
    <n v="1"/>
    <n v="30"/>
    <n v="30"/>
    <m/>
    <x v="1"/>
  </r>
  <r>
    <n v="491"/>
    <x v="27"/>
    <x v="25"/>
    <x v="279"/>
    <s v="9.8891-6721"/>
    <s v="AV: FLORIANO PEIXOTO, 5299"/>
    <s v="ALTO UMUARAMA"/>
    <s v="38405-373"/>
    <m/>
    <m/>
    <x v="1"/>
    <n v="1"/>
    <n v="30"/>
    <n v="30"/>
    <n v="30"/>
    <x v="2"/>
  </r>
  <r>
    <n v="490"/>
    <x v="27"/>
    <x v="25"/>
    <x v="280"/>
    <s v="34.99666-3335"/>
    <s v="AV Rondom pacheco 5715 ( Corpo de Bombeiros)"/>
    <s v="TIBERY"/>
    <s v="38405-142"/>
    <m/>
    <m/>
    <x v="1"/>
    <n v="1"/>
    <n v="30"/>
    <n v="30"/>
    <m/>
    <x v="1"/>
  </r>
  <r>
    <n v="489"/>
    <x v="27"/>
    <x v="25"/>
    <x v="241"/>
    <s v="34.99913-9667"/>
    <s v="R: FRANCISCA ALVES AZEVEDO, 35 "/>
    <s v="JARDIM IPANEMA I"/>
    <s v="38406-211"/>
    <s v="LIGAR ANTES"/>
    <m/>
    <x v="2"/>
    <n v="1"/>
    <n v="30"/>
    <n v="30"/>
    <m/>
    <x v="1"/>
  </r>
  <r>
    <n v="488"/>
    <x v="27"/>
    <x v="25"/>
    <x v="205"/>
    <s v="34.99196-8079"/>
    <s v="RUA PEDRO JOSE SAMORA, 1468, ANT 17 "/>
    <s v=" SANTA MONICA "/>
    <s v="38408-224"/>
    <m/>
    <m/>
    <x v="0"/>
    <n v="1"/>
    <n v="30"/>
    <n v="30"/>
    <n v="30"/>
    <x v="2"/>
  </r>
  <r>
    <n v="487"/>
    <x v="27"/>
    <x v="21"/>
    <x v="23"/>
    <s v="9.9649-0308"/>
    <s v="R. Simão Pedro, 44"/>
    <s v="PACAEMBU"/>
    <s v="38401-476"/>
    <m/>
    <m/>
    <x v="1"/>
    <n v="1"/>
    <n v="30"/>
    <n v="30"/>
    <m/>
    <x v="1"/>
  </r>
  <r>
    <n v="486"/>
    <x v="27"/>
    <x v="21"/>
    <x v="228"/>
    <s v="9.9232-5605"/>
    <s v="R. Edmundo Munir Arantes, 79"/>
    <s v="PLANALTO"/>
    <s v="38413-276"/>
    <s v="+DOAÇÕES"/>
    <m/>
    <x v="1"/>
    <n v="1"/>
    <n v="30"/>
    <n v="30"/>
    <n v="30"/>
    <x v="2"/>
  </r>
  <r>
    <n v="485"/>
    <x v="27"/>
    <x v="21"/>
    <x v="19"/>
    <s v=" 34.99155-5564 / 34.3215-1758"/>
    <s v="Av. Cesário Crosara, 3525"/>
    <s v=" ROOSEVELT "/>
    <s v="38401-119"/>
    <m/>
    <m/>
    <x v="1"/>
    <n v="1"/>
    <n v="30"/>
    <n v="30"/>
    <m/>
    <x v="1"/>
  </r>
  <r>
    <n v="484"/>
    <x v="27"/>
    <x v="21"/>
    <x v="234"/>
    <s v="9.9670-9884"/>
    <s v="R. Agesilau Paschoal Greco, 318"/>
    <s v="MORADA DA COLINA"/>
    <s v="38411-112"/>
    <m/>
    <s v="MARIA LÚCIA"/>
    <x v="1"/>
    <n v="1"/>
    <n v="30"/>
    <n v="30"/>
    <m/>
    <x v="1"/>
  </r>
  <r>
    <n v="483"/>
    <x v="27"/>
    <x v="21"/>
    <x v="216"/>
    <n v="0"/>
    <n v="0"/>
    <n v="0"/>
    <m/>
    <m/>
    <s v="CEDEL"/>
    <x v="2"/>
    <n v="1"/>
    <n v="30"/>
    <n v="30"/>
    <n v="30"/>
    <x v="2"/>
  </r>
  <r>
    <n v="482"/>
    <x v="27"/>
    <x v="21"/>
    <x v="12"/>
    <s v="9.9670-9884"/>
    <s v="R. Agesilau Paschoal Greco, 318"/>
    <s v="MORADA DA COLINA"/>
    <s v="38411-112"/>
    <m/>
    <s v="MARIA LÚCIA"/>
    <x v="2"/>
    <n v="4"/>
    <n v="30"/>
    <n v="120"/>
    <n v="120"/>
    <x v="2"/>
  </r>
  <r>
    <n v="481"/>
    <x v="27"/>
    <x v="21"/>
    <x v="32"/>
    <s v="9.9171-4462"/>
    <s v="R. Monlevade, 852"/>
    <s v="DANIEL FONSECA"/>
    <s v="38400-320"/>
    <m/>
    <m/>
    <x v="2"/>
    <n v="2"/>
    <n v="30"/>
    <n v="60"/>
    <m/>
    <x v="1"/>
  </r>
  <r>
    <n v="480"/>
    <x v="27"/>
    <x v="21"/>
    <x v="217"/>
    <s v="34.99195-9740"/>
    <s v="Av. Belo Horizonte, 1786 - esquina c/ R. Lambari"/>
    <s v=" OSVALDO RESENDE "/>
    <s v="38400-454"/>
    <m/>
    <m/>
    <x v="0"/>
    <n v="2"/>
    <n v="30"/>
    <n v="60"/>
    <m/>
    <x v="1"/>
  </r>
  <r>
    <n v="479"/>
    <x v="27"/>
    <x v="21"/>
    <x v="173"/>
    <s v="9.9892-3746"/>
    <s v="Alameda Durval Carrijo, 550"/>
    <s v="MORADA DA COLINA"/>
    <s v="38411-138"/>
    <m/>
    <s v="MARIA LÚCIA"/>
    <x v="4"/>
    <n v="1"/>
    <n v="30"/>
    <n v="30"/>
    <m/>
    <x v="1"/>
  </r>
  <r>
    <n v="478"/>
    <x v="27"/>
    <x v="21"/>
    <x v="10"/>
    <s v="34.3213-2775"/>
    <s v="R. Pedro Quirino da Silva, 341 "/>
    <s v="MARTA HELENA "/>
    <s v="38402-075"/>
    <s v="MªLÚCIA"/>
    <m/>
    <x v="1"/>
    <n v="5"/>
    <n v="30"/>
    <n v="150"/>
    <n v="150"/>
    <x v="2"/>
  </r>
  <r>
    <n v="477"/>
    <x v="27"/>
    <x v="21"/>
    <x v="31"/>
    <s v="9.8899-1860"/>
    <s v="R. Engenheiro Hélvio Félici, 250"/>
    <s v="MORADA DA COLINA"/>
    <s v="38411-114"/>
    <m/>
    <s v="MARIA LÚCIA"/>
    <x v="2"/>
    <n v="1"/>
    <n v="30"/>
    <n v="30"/>
    <m/>
    <x v="1"/>
  </r>
  <r>
    <n v="476"/>
    <x v="27"/>
    <x v="21"/>
    <x v="236"/>
    <s v="34.99960-3309"/>
    <s v="R. dos Girassóis, 50"/>
    <s v=" CIDADE JARDIM "/>
    <s v="38412-140"/>
    <m/>
    <m/>
    <x v="2"/>
    <n v="1"/>
    <n v="30"/>
    <n v="30"/>
    <m/>
    <x v="1"/>
  </r>
  <r>
    <n v="475"/>
    <x v="27"/>
    <x v="21"/>
    <x v="116"/>
    <s v="34.99661-5002"/>
    <s v="Av. Paulo Gracindo, 1000 - Cond. Gávea Paradiso - Alameda Gavião Real, 90"/>
    <s v="COND. GÁVEA PARADISO"/>
    <s v="38411-145"/>
    <m/>
    <m/>
    <x v="2"/>
    <n v="1"/>
    <n v="30"/>
    <n v="30"/>
    <m/>
    <x v="1"/>
  </r>
  <r>
    <n v="474"/>
    <x v="27"/>
    <x v="21"/>
    <x v="28"/>
    <s v="9.9694-0869"/>
    <s v="R. Ibiá, 127"/>
    <s v="OSVALDO REZENDE"/>
    <s v="38400-430"/>
    <m/>
    <m/>
    <x v="1"/>
    <n v="1"/>
    <n v="30"/>
    <n v="30"/>
    <m/>
    <x v="1"/>
  </r>
  <r>
    <n v="473"/>
    <x v="27"/>
    <x v="21"/>
    <x v="5"/>
    <s v="9.9120-3519"/>
    <s v="R. José Andraus, 738"/>
    <s v="MARTINS"/>
    <s v="38400-340"/>
    <m/>
    <m/>
    <x v="1"/>
    <n v="1"/>
    <n v="30"/>
    <n v="30"/>
    <m/>
    <x v="1"/>
  </r>
  <r>
    <n v="472"/>
    <x v="27"/>
    <x v="21"/>
    <x v="198"/>
    <n v="0"/>
    <n v="0"/>
    <n v="0"/>
    <m/>
    <m/>
    <s v="MARIA LÚCIA"/>
    <x v="2"/>
    <n v="1"/>
    <n v="30"/>
    <n v="30"/>
    <m/>
    <x v="1"/>
  </r>
  <r>
    <n v="471"/>
    <x v="27"/>
    <x v="21"/>
    <x v="22"/>
    <s v="34.99977-5669"/>
    <s v="R. Waterloo Pereira Alves, 73 "/>
    <s v=" JD. PATRÍCIA "/>
    <s v="38414-172"/>
    <m/>
    <m/>
    <x v="2"/>
    <n v="1"/>
    <n v="30"/>
    <n v="30"/>
    <m/>
    <x v="1"/>
  </r>
  <r>
    <n v="470"/>
    <x v="27"/>
    <x v="21"/>
    <x v="98"/>
    <s v="9.9991-4357"/>
    <s v="R. Michele Virno, 4093"/>
    <s v="CUSTÓDIO PEREIRA"/>
    <s v="38405-190"/>
    <m/>
    <m/>
    <x v="4"/>
    <n v="1"/>
    <n v="30"/>
    <n v="30"/>
    <m/>
    <x v="1"/>
  </r>
  <r>
    <n v="469"/>
    <x v="27"/>
    <x v="21"/>
    <x v="231"/>
    <s v="9.9969-9388"/>
    <s v="Av. Constelação, 791"/>
    <s v=" JD. BRASÍLIA "/>
    <s v="38401-478"/>
    <m/>
    <m/>
    <x v="2"/>
    <n v="1"/>
    <n v="30"/>
    <n v="30"/>
    <n v="30"/>
    <x v="2"/>
  </r>
  <r>
    <n v="468"/>
    <x v="27"/>
    <x v="21"/>
    <x v="171"/>
    <s v="34.99222-7189"/>
    <s v="Av. José Fonseca e Silva, 210"/>
    <s v=" LUIZOTE DE FREITAS "/>
    <s v="38414-348"/>
    <m/>
    <m/>
    <x v="1"/>
    <n v="1"/>
    <n v="30"/>
    <n v="30"/>
    <m/>
    <x v="1"/>
  </r>
  <r>
    <n v="467"/>
    <x v="27"/>
    <x v="21"/>
    <x v="230"/>
    <s v="9.9991-0073"/>
    <s v="Rua Izídio Antônio da Silva, 47"/>
    <s v="ROOSEVELT"/>
    <s v="38401-132"/>
    <s v="+CESTA BÁSICA"/>
    <m/>
    <x v="2"/>
    <n v="1"/>
    <n v="30"/>
    <n v="30"/>
    <n v="30"/>
    <x v="2"/>
  </r>
  <r>
    <n v="466"/>
    <x v="28"/>
    <x v="21"/>
    <x v="263"/>
    <s v=" 3214-4522 / 34.99996-0527"/>
    <s v="R.Cel Antônio Alves Pereira, 1874"/>
    <s v=" SARAIVA "/>
    <s v="38408-370"/>
    <m/>
    <m/>
    <x v="2"/>
    <n v="1"/>
    <n v="30"/>
    <n v="30"/>
    <m/>
    <x v="1"/>
  </r>
  <r>
    <n v="465"/>
    <x v="28"/>
    <x v="21"/>
    <x v="262"/>
    <s v="9.9876-0960"/>
    <s v="R. Fádua Barcha Gustin, 445 BL 01 APTO 302"/>
    <s v="CIDADE JARDIM"/>
    <s v="38412-003"/>
    <m/>
    <m/>
    <x v="1"/>
    <n v="1"/>
    <n v="30"/>
    <n v="30"/>
    <m/>
    <x v="1"/>
  </r>
  <r>
    <n v="464"/>
    <x v="28"/>
    <x v="21"/>
    <x v="150"/>
    <s v="9.8873-8732"/>
    <s v="R. Orozimbo Francisco Fernandes, 155 - Bloco 01 Apto 304"/>
    <s v="ROOSEVELT"/>
    <s v="38401-208"/>
    <m/>
    <m/>
    <x v="2"/>
    <n v="1"/>
    <n v="30"/>
    <n v="30"/>
    <n v="30"/>
    <x v="2"/>
  </r>
  <r>
    <n v="463"/>
    <x v="28"/>
    <x v="21"/>
    <x v="281"/>
    <s v="9.9657-5941"/>
    <s v="R. Alaska, 277"/>
    <s v="TIBERY"/>
    <s v="38405-104"/>
    <m/>
    <m/>
    <x v="2"/>
    <n v="1"/>
    <n v="30"/>
    <n v="30"/>
    <n v="30"/>
    <x v="2"/>
  </r>
  <r>
    <n v="462"/>
    <x v="28"/>
    <x v="21"/>
    <x v="282"/>
    <s v="9.8430-7881"/>
    <s v="R. do Funcionário Público, 594"/>
    <s v="PLANALTO"/>
    <s v="38413-180"/>
    <m/>
    <m/>
    <x v="1"/>
    <n v="1"/>
    <n v="30"/>
    <n v="30"/>
    <n v="30"/>
    <x v="2"/>
  </r>
  <r>
    <n v="461"/>
    <x v="28"/>
    <x v="21"/>
    <x v="151"/>
    <s v="3238-0561"/>
    <s v="Alameda José de Oliveira Guimarães, 307 casa 04"/>
    <s v=" JD HOLANDA "/>
    <s v="38412-324"/>
    <m/>
    <m/>
    <x v="1"/>
    <n v="2"/>
    <n v="30"/>
    <n v="60"/>
    <n v="60"/>
    <x v="2"/>
  </r>
  <r>
    <n v="460"/>
    <x v="28"/>
    <x v="21"/>
    <x v="283"/>
    <s v="9.9663-0071"/>
    <s v="R. João Ângelo Schiavinatto, 1704"/>
    <s v="SANTA MONICA"/>
    <s v="38408-272"/>
    <m/>
    <m/>
    <x v="1"/>
    <n v="1"/>
    <n v="30"/>
    <n v="30"/>
    <n v="30"/>
    <x v="2"/>
  </r>
  <r>
    <n v="459"/>
    <x v="28"/>
    <x v="21"/>
    <x v="229"/>
    <s v="9.9992-1905"/>
    <s v="Rua Patrulheiro Osmar Tavares, 989"/>
    <s v="SANTA MONICA"/>
    <s v="38408-294"/>
    <m/>
    <m/>
    <x v="1"/>
    <n v="1"/>
    <n v="30"/>
    <n v="30"/>
    <m/>
    <x v="1"/>
  </r>
  <r>
    <n v="458"/>
    <x v="28"/>
    <x v="21"/>
    <x v="284"/>
    <s v="9.9657-6258"/>
    <s v="Av. Portugal, 967"/>
    <s v="TIBERY"/>
    <s v="38405-042"/>
    <m/>
    <m/>
    <x v="1"/>
    <n v="1"/>
    <n v="30"/>
    <n v="30"/>
    <m/>
    <x v="1"/>
  </r>
  <r>
    <n v="457"/>
    <x v="28"/>
    <x v="21"/>
    <x v="28"/>
    <s v="9.9694-0869"/>
    <s v="R. Ibiá, 127"/>
    <s v="OSVALDO REZENDE"/>
    <s v="38400-430"/>
    <m/>
    <m/>
    <x v="2"/>
    <n v="1"/>
    <n v="30"/>
    <n v="30"/>
    <m/>
    <x v="1"/>
  </r>
  <r>
    <n v="456"/>
    <x v="28"/>
    <x v="21"/>
    <x v="198"/>
    <n v="0"/>
    <n v="0"/>
    <n v="0"/>
    <m/>
    <m/>
    <s v="MARIA LÚCIA"/>
    <x v="1"/>
    <n v="1"/>
    <n v="30"/>
    <n v="30"/>
    <m/>
    <x v="1"/>
  </r>
  <r>
    <n v="455"/>
    <x v="28"/>
    <x v="21"/>
    <x v="22"/>
    <s v="34.99977-5669"/>
    <s v="R. Waterloo Pereira Alves, 73 "/>
    <s v=" JD. PATRÍCIA "/>
    <s v="38414-172"/>
    <m/>
    <m/>
    <x v="2"/>
    <n v="1"/>
    <n v="30"/>
    <n v="30"/>
    <m/>
    <x v="1"/>
  </r>
  <r>
    <n v="454"/>
    <x v="28"/>
    <x v="21"/>
    <x v="98"/>
    <s v="9.9991-4357"/>
    <s v="R. Michele Virno, 4093"/>
    <s v="CUSTÓDIO PEREIRA"/>
    <s v="38405-190"/>
    <s v="1/2 MUSS /CAL"/>
    <m/>
    <x v="4"/>
    <n v="1"/>
    <n v="30"/>
    <n v="30"/>
    <m/>
    <x v="1"/>
  </r>
  <r>
    <n v="453"/>
    <x v="28"/>
    <x v="21"/>
    <x v="264"/>
    <s v=" 34.3237-4538/ 34.99129-2747"/>
    <s v="R. Sebastião Rangel, 593"/>
    <s v="SANTA MONICA"/>
    <s v="38408-250"/>
    <s v="ANT 31"/>
    <m/>
    <x v="2"/>
    <n v="1"/>
    <n v="30"/>
    <n v="30"/>
    <m/>
    <x v="1"/>
  </r>
  <r>
    <n v="452"/>
    <x v="28"/>
    <x v="21"/>
    <x v="232"/>
    <s v="34.99240-5393"/>
    <s v="R. Rio de Janeiro, 932 apto 101"/>
    <s v=" BRASIL "/>
    <s v="38400-658"/>
    <m/>
    <m/>
    <x v="0"/>
    <n v="1"/>
    <n v="30"/>
    <n v="30"/>
    <m/>
    <x v="1"/>
  </r>
  <r>
    <n v="451"/>
    <x v="28"/>
    <x v="21"/>
    <x v="171"/>
    <s v="34.99222-7189"/>
    <s v="Av. José Fonseca e Silva, 210"/>
    <s v=" LUIZOTE DE FREITAS "/>
    <s v="38414-348"/>
    <s v="RECEBER 3"/>
    <m/>
    <x v="1"/>
    <n v="1"/>
    <n v="30"/>
    <n v="30"/>
    <m/>
    <x v="1"/>
  </r>
  <r>
    <n v="450"/>
    <x v="28"/>
    <x v="21"/>
    <x v="30"/>
    <s v="3213-3201/ 9.9211-0864"/>
    <s v="Av. Clara Camarão, 427"/>
    <s v="N.Sra Graças"/>
    <s v="38402-010"/>
    <m/>
    <m/>
    <x v="1"/>
    <n v="1"/>
    <n v="30"/>
    <n v="30"/>
    <m/>
    <x v="1"/>
  </r>
  <r>
    <n v="450"/>
    <x v="28"/>
    <x v="21"/>
    <x v="30"/>
    <s v="3213-3201/ 9.9211-0864"/>
    <s v="Av. Clara Camarão, 427"/>
    <s v="N.Sra Graças"/>
    <s v="38402-010"/>
    <m/>
    <m/>
    <x v="2"/>
    <n v="1"/>
    <n v="30"/>
    <n v="30"/>
    <m/>
    <x v="1"/>
  </r>
  <r>
    <n v="449"/>
    <x v="28"/>
    <x v="21"/>
    <x v="19"/>
    <s v=" 34.99155-5564 / 34.3215-1758"/>
    <s v="Av. Cesário Crosara, 3525"/>
    <s v=" ROOSEVELT "/>
    <s v="38401-119"/>
    <m/>
    <m/>
    <x v="3"/>
    <n v="1"/>
    <n v="30"/>
    <n v="30"/>
    <m/>
    <x v="1"/>
  </r>
  <r>
    <n v="448"/>
    <x v="28"/>
    <x v="21"/>
    <x v="215"/>
    <s v="34.98861-0155  34.3231-1098"/>
    <s v="Av Alexandre Ribeiro Guimarães, 603"/>
    <s v=" SANTA MARIA "/>
    <s v="38408-050"/>
    <s v="SEM MUSS"/>
    <m/>
    <x v="4"/>
    <n v="1"/>
    <n v="30"/>
    <n v="30"/>
    <m/>
    <x v="1"/>
  </r>
  <r>
    <n v="448"/>
    <x v="28"/>
    <x v="21"/>
    <x v="215"/>
    <s v="34.98861-0155  34.3231-1098"/>
    <s v="Av Alexandre Ribeiro Guimarães, 603"/>
    <s v=" SANTA MARIA "/>
    <s v="38408-050"/>
    <s v="SEM MUSS"/>
    <m/>
    <x v="1"/>
    <n v="1"/>
    <n v="30"/>
    <n v="30"/>
    <m/>
    <x v="1"/>
  </r>
  <r>
    <n v="447"/>
    <x v="28"/>
    <x v="21"/>
    <x v="234"/>
    <s v="9.9670-9884"/>
    <s v="R. Agesilau Paschoal Greco, 318"/>
    <s v="MORADA DA COLINA"/>
    <s v="38411-112"/>
    <m/>
    <s v="MARIA LÚCIA"/>
    <x v="3"/>
    <n v="1"/>
    <n v="30"/>
    <n v="30"/>
    <m/>
    <x v="1"/>
  </r>
  <r>
    <n v="446"/>
    <x v="28"/>
    <x v="21"/>
    <x v="285"/>
    <s v="9.9186-6464"/>
    <s v=" R. Virgílio Melo Franco, 490 apto 601"/>
    <s v="TABAJARAS"/>
    <s v="38400-238"/>
    <s v="LIGAR ANTES"/>
    <m/>
    <x v="1"/>
    <n v="1"/>
    <n v="30"/>
    <n v="30"/>
    <m/>
    <x v="1"/>
  </r>
  <r>
    <n v="445"/>
    <x v="28"/>
    <x v="21"/>
    <x v="216"/>
    <n v="0"/>
    <n v="0"/>
    <n v="0"/>
    <m/>
    <m/>
    <s v="CEDEL"/>
    <x v="2"/>
    <n v="1"/>
    <n v="30"/>
    <n v="30"/>
    <n v="30"/>
    <x v="2"/>
  </r>
  <r>
    <n v="444"/>
    <x v="28"/>
    <x v="21"/>
    <x v="12"/>
    <s v="9.9670-9884"/>
    <s v="R. Agesilau Paschoal Greco, 318"/>
    <s v="MORADA DA COLINA"/>
    <s v="38411-112"/>
    <m/>
    <s v="MARIA LÚCIA"/>
    <x v="2"/>
    <n v="3"/>
    <n v="30"/>
    <n v="90"/>
    <n v="90"/>
    <x v="2"/>
  </r>
  <r>
    <n v="443"/>
    <x v="28"/>
    <x v="21"/>
    <x v="32"/>
    <s v="9.9171-4462"/>
    <s v="R. Monlevade, 852"/>
    <s v="DANIEL FONSECA"/>
    <s v="38400-320"/>
    <m/>
    <m/>
    <x v="2"/>
    <n v="2"/>
    <n v="30"/>
    <n v="60"/>
    <m/>
    <x v="1"/>
  </r>
  <r>
    <n v="442"/>
    <x v="28"/>
    <x v="21"/>
    <x v="235"/>
    <s v="3232-9278"/>
    <s v="R. Feliciano de Moraes, 139"/>
    <s v="APARECIDA"/>
    <s v="38400-684"/>
    <s v="BATER NO PORTÃO"/>
    <m/>
    <x v="1"/>
    <n v="1"/>
    <n v="30"/>
    <n v="30"/>
    <m/>
    <x v="1"/>
  </r>
  <r>
    <n v="441"/>
    <x v="28"/>
    <x v="21"/>
    <x v="100"/>
    <s v="9.8877-4323"/>
    <s v="R.Judite Moreira, 280"/>
    <s v="ROOSEVELT"/>
    <s v="38401-160"/>
    <m/>
    <m/>
    <x v="2"/>
    <n v="1"/>
    <n v="30"/>
    <n v="30"/>
    <m/>
    <x v="1"/>
  </r>
  <r>
    <n v="440"/>
    <x v="28"/>
    <x v="21"/>
    <x v="217"/>
    <s v="34.99195-9740"/>
    <s v="Av. Belo Horizonte, 1786 - esquina c/ R. Lambari"/>
    <s v=" OSVALDO RESENDE "/>
    <s v="38400-454"/>
    <m/>
    <m/>
    <x v="0"/>
    <n v="2"/>
    <n v="30"/>
    <n v="60"/>
    <m/>
    <x v="1"/>
  </r>
  <r>
    <n v="439"/>
    <x v="28"/>
    <x v="21"/>
    <x v="173"/>
    <s v="9.9892-3746"/>
    <s v="Alameda Durval Carrijo, 550"/>
    <s v="MORADA DA COLINA"/>
    <s v="38411-138"/>
    <m/>
    <s v="MARIA LÚCIA"/>
    <x v="2"/>
    <n v="1"/>
    <n v="30"/>
    <n v="30"/>
    <m/>
    <x v="1"/>
  </r>
  <r>
    <n v="438"/>
    <x v="28"/>
    <x v="21"/>
    <x v="10"/>
    <s v="34.3213-2775"/>
    <s v="R. Pedro Quirino da Silva, 341 "/>
    <s v="MARTA HELENA "/>
    <s v="38402-075"/>
    <m/>
    <m/>
    <x v="1"/>
    <n v="5"/>
    <n v="30"/>
    <n v="150"/>
    <n v="150"/>
    <x v="2"/>
  </r>
  <r>
    <n v="437"/>
    <x v="28"/>
    <x v="21"/>
    <x v="31"/>
    <s v="9.8899-1860"/>
    <s v="R. Engenheiro Hélvio Félici, 250"/>
    <s v="MORADA DA COLINA"/>
    <s v="38411-114"/>
    <m/>
    <s v="MARIA LÚCIA"/>
    <x v="2"/>
    <n v="1"/>
    <n v="30"/>
    <n v="30"/>
    <m/>
    <x v="1"/>
  </r>
  <r>
    <n v="436"/>
    <x v="28"/>
    <x v="21"/>
    <x v="76"/>
    <s v="9.8878-1706"/>
    <s v="R. Athos Paranhos Veloso, 1146"/>
    <s v=" TUBALINA "/>
    <s v="38412-076"/>
    <m/>
    <m/>
    <x v="4"/>
    <n v="1"/>
    <n v="30"/>
    <n v="30"/>
    <m/>
    <x v="1"/>
  </r>
  <r>
    <n v="435"/>
    <x v="28"/>
    <x v="21"/>
    <x v="228"/>
    <s v="9.9232-5605"/>
    <s v="R. Edmundo Munir Arantes, 79"/>
    <s v="PLANALTO"/>
    <s v="38413-276"/>
    <s v="+doações"/>
    <m/>
    <x v="1"/>
    <n v="1"/>
    <n v="30"/>
    <n v="30"/>
    <n v="30"/>
    <x v="2"/>
  </r>
  <r>
    <n v="434"/>
    <x v="28"/>
    <x v="21"/>
    <x v="116"/>
    <s v="34.99661-5002"/>
    <s v="Av. Paulo Gracindo, 1000 - Cond. Gávea Paradiso - Alameda Gavião Real, 90"/>
    <s v="COND. GÁVEA PARADISO"/>
    <s v="38411-145"/>
    <m/>
    <m/>
    <x v="2"/>
    <n v="1"/>
    <n v="30"/>
    <n v="30"/>
    <m/>
    <x v="1"/>
  </r>
  <r>
    <n v="433"/>
    <x v="28"/>
    <x v="21"/>
    <x v="230"/>
    <s v="9.9991-0073"/>
    <s v="Rua Izídio Antônio da Silva, 47"/>
    <s v="ROOSEVELT"/>
    <s v="38401-132"/>
    <s v="+CESTA BASICA"/>
    <m/>
    <x v="1"/>
    <n v="1"/>
    <n v="30"/>
    <n v="30"/>
    <n v="30"/>
    <x v="2"/>
  </r>
  <r>
    <n v="432"/>
    <x v="28"/>
    <x v="17"/>
    <x v="86"/>
    <n v="0"/>
    <n v="0"/>
    <s v="CEDEL"/>
    <m/>
    <m/>
    <s v="RODOLFO"/>
    <x v="0"/>
    <n v="1"/>
    <n v="30"/>
    <n v="30"/>
    <n v="30"/>
    <x v="2"/>
  </r>
  <r>
    <n v="432"/>
    <x v="28"/>
    <x v="17"/>
    <x v="86"/>
    <n v="0"/>
    <n v="0"/>
    <s v="CEDEL"/>
    <m/>
    <m/>
    <s v="RODOLFO"/>
    <x v="3"/>
    <n v="1"/>
    <n v="30"/>
    <n v="30"/>
    <n v="30"/>
    <x v="2"/>
  </r>
  <r>
    <n v="431"/>
    <x v="28"/>
    <x v="17"/>
    <x v="275"/>
    <s v="34.99817-1174"/>
    <s v="TRAVESSA ANTONIO FONSECA SILVA, 11"/>
    <s v="APARECIDA"/>
    <s v="38400-676"/>
    <s v="Ligar antes"/>
    <m/>
    <x v="1"/>
    <n v="1"/>
    <n v="30"/>
    <n v="30"/>
    <m/>
    <x v="1"/>
  </r>
  <r>
    <n v="430"/>
    <x v="28"/>
    <x v="17"/>
    <x v="209"/>
    <s v="34.99979-3545"/>
    <s v="AV. BRASIL, 1607"/>
    <s v="BRASIL"/>
    <s v="38400-716"/>
    <m/>
    <m/>
    <x v="3"/>
    <n v="1"/>
    <n v="30"/>
    <n v="30"/>
    <m/>
    <x v="1"/>
  </r>
  <r>
    <n v="429"/>
    <x v="28"/>
    <x v="17"/>
    <x v="269"/>
    <s v="99990-2430"/>
    <s v="R. JOSÉ OLIVEIRA PINTO 34 "/>
    <s v="TUBALINA"/>
    <s v="38412-098"/>
    <s v="ligar antes"/>
    <m/>
    <x v="1"/>
    <n v="2"/>
    <n v="30"/>
    <n v="60"/>
    <m/>
    <x v="1"/>
  </r>
  <r>
    <n v="428"/>
    <x v="28"/>
    <x v="17"/>
    <x v="208"/>
    <s v="34.99979-5832"/>
    <n v="0"/>
    <n v="0"/>
    <m/>
    <m/>
    <s v="CEDEL"/>
    <x v="0"/>
    <n v="1"/>
    <n v="30"/>
    <n v="30"/>
    <m/>
    <x v="1"/>
  </r>
  <r>
    <n v="428"/>
    <x v="28"/>
    <x v="17"/>
    <x v="208"/>
    <s v="34.99979-5832"/>
    <n v="0"/>
    <n v="0"/>
    <m/>
    <m/>
    <s v="CEDEL"/>
    <x v="2"/>
    <n v="1"/>
    <n v="30"/>
    <n v="30"/>
    <m/>
    <x v="1"/>
  </r>
  <r>
    <n v="427"/>
    <x v="28"/>
    <x v="17"/>
    <x v="286"/>
    <s v="34.99286-0302"/>
    <s v="Rua Luiz Dela Pena,382 "/>
    <s v="MARTINS"/>
    <s v="38400-398"/>
    <s v="talvez busque cedel"/>
    <m/>
    <x v="1"/>
    <n v="1"/>
    <n v="30"/>
    <n v="30"/>
    <m/>
    <x v="1"/>
  </r>
  <r>
    <n v="426"/>
    <x v="28"/>
    <x v="17"/>
    <x v="276"/>
    <s v="34.99145-7868"/>
    <s v="R. ARNALDO TUCCI 1289 ANT34 "/>
    <s v="SANTA MONICA"/>
    <s v="38408-256"/>
    <m/>
    <m/>
    <x v="2"/>
    <n v="1"/>
    <n v="30"/>
    <n v="30"/>
    <m/>
    <x v="1"/>
  </r>
  <r>
    <n v="425"/>
    <x v="28"/>
    <x v="17"/>
    <x v="59"/>
    <n v="0"/>
    <n v="0"/>
    <n v="0"/>
    <m/>
    <m/>
    <s v="CEDEL"/>
    <x v="1"/>
    <n v="2"/>
    <n v="30"/>
    <n v="60"/>
    <m/>
    <x v="1"/>
  </r>
  <r>
    <n v="424"/>
    <x v="28"/>
    <x v="17"/>
    <x v="207"/>
    <s v="34.99147-8758"/>
    <n v="0"/>
    <n v="0"/>
    <m/>
    <m/>
    <s v="CEDEL"/>
    <x v="0"/>
    <n v="2"/>
    <n v="30"/>
    <n v="60"/>
    <m/>
    <x v="1"/>
  </r>
  <r>
    <n v="423"/>
    <x v="28"/>
    <x v="17"/>
    <x v="62"/>
    <s v="34.99676-2593 "/>
    <s v="R. ANITA 125 PASSARELA AV. LIBERDADE ALTAMIRA"/>
    <s v="MORADA DA COLINA"/>
    <s v="38411-014"/>
    <m/>
    <s v="MILVAR"/>
    <x v="2"/>
    <n v="1"/>
    <n v="30"/>
    <n v="30"/>
    <m/>
    <x v="1"/>
  </r>
  <r>
    <n v="423"/>
    <x v="28"/>
    <x v="17"/>
    <x v="62"/>
    <s v="34.99676-2593 "/>
    <s v="R. ANITA 125 PASSARELA AV. LIBERDADE ALTAMIRA"/>
    <s v="MORADA DA COLINA"/>
    <s v="38411-014"/>
    <m/>
    <s v="MILVAR"/>
    <x v="3"/>
    <n v="1"/>
    <n v="30"/>
    <n v="30"/>
    <m/>
    <x v="1"/>
  </r>
  <r>
    <n v="422"/>
    <x v="28"/>
    <x v="7"/>
    <x v="210"/>
    <s v="34.99167-3677"/>
    <s v="Av Dr Laerte viera Gonçalves, 2415 - ap 102"/>
    <s v="SANTA MONICA"/>
    <s v="38408-176"/>
    <m/>
    <m/>
    <x v="2"/>
    <n v="1"/>
    <n v="30"/>
    <n v="30"/>
    <n v="30"/>
    <x v="2"/>
  </r>
  <r>
    <n v="422"/>
    <x v="28"/>
    <x v="7"/>
    <x v="210"/>
    <s v="34.99167-3677"/>
    <s v="Av Dr Laerte viera Gonçalves, 2415 - ap 102"/>
    <s v="SANTA MONICA"/>
    <s v="38408-176"/>
    <m/>
    <m/>
    <x v="3"/>
    <n v="1"/>
    <n v="30"/>
    <n v="30"/>
    <n v="30"/>
    <x v="2"/>
  </r>
  <r>
    <n v="421"/>
    <x v="28"/>
    <x v="7"/>
    <x v="40"/>
    <s v="34.98845-0023"/>
    <s v="Rua Prof. Ciro de Castro Almeida, 1576"/>
    <s v="CUSTÓDIO PEREIRA"/>
    <s v="38405-250"/>
    <m/>
    <s v="GABRIEL"/>
    <x v="0"/>
    <n v="1"/>
    <n v="30"/>
    <n v="30"/>
    <n v="30"/>
    <x v="2"/>
  </r>
  <r>
    <n v="421"/>
    <x v="28"/>
    <x v="7"/>
    <x v="40"/>
    <s v="34.98845-0023"/>
    <s v="Rua Prof. Ciro de Castro Almeida, 1576"/>
    <s v="CUSTÓDIO PEREIRA"/>
    <s v="38405-250"/>
    <m/>
    <s v="GABRIEL"/>
    <x v="1"/>
    <n v="1"/>
    <n v="30"/>
    <n v="30"/>
    <n v="30"/>
    <x v="2"/>
  </r>
  <r>
    <n v="421"/>
    <x v="28"/>
    <x v="7"/>
    <x v="40"/>
    <s v="34.98845-0023"/>
    <s v="Rua Prof. Ciro de Castro Almeida, 1576"/>
    <s v="CUSTÓDIO PEREIRA"/>
    <s v="38405-250"/>
    <m/>
    <s v="GABRIEL"/>
    <x v="2"/>
    <n v="1"/>
    <n v="30"/>
    <n v="30"/>
    <n v="30"/>
    <x v="2"/>
  </r>
  <r>
    <n v="420"/>
    <x v="28"/>
    <x v="7"/>
    <x v="39"/>
    <s v="34.98803-5267"/>
    <s v="Rua Campo Rupestre, 193"/>
    <s v=" JD. BOTANICO "/>
    <s v="38410-664"/>
    <m/>
    <m/>
    <x v="1"/>
    <n v="1"/>
    <n v="30"/>
    <n v="30"/>
    <n v="30"/>
    <x v="2"/>
  </r>
  <r>
    <n v="419"/>
    <x v="28"/>
    <x v="7"/>
    <x v="41"/>
    <s v="34.99133-6005"/>
    <s v="Rua Caxambu, 284 - ap 103"/>
    <s v=" OSVALDO RESENDE "/>
    <s v="38400-418"/>
    <m/>
    <m/>
    <x v="0"/>
    <n v="1"/>
    <n v="30"/>
    <n v="30"/>
    <m/>
    <x v="1"/>
  </r>
  <r>
    <n v="418"/>
    <x v="28"/>
    <x v="19"/>
    <x v="165"/>
    <s v="9.9971-1866"/>
    <s v="Rua África 1013"/>
    <s v="MANSÕES AEROPORTO"/>
    <s v="38406-407"/>
    <m/>
    <m/>
    <x v="1"/>
    <n v="1"/>
    <n v="30"/>
    <n v="30"/>
    <m/>
    <x v="1"/>
  </r>
  <r>
    <n v="418"/>
    <x v="28"/>
    <x v="19"/>
    <x v="165"/>
    <s v="9.9971-1866"/>
    <s v="Rua África 1013"/>
    <s v="MANSÕES AEROPORTO"/>
    <s v="38406-407"/>
    <m/>
    <m/>
    <x v="3"/>
    <n v="1"/>
    <n v="30"/>
    <n v="30"/>
    <m/>
    <x v="1"/>
  </r>
  <r>
    <n v="417"/>
    <x v="28"/>
    <x v="19"/>
    <x v="33"/>
    <s v="34.99942-3020"/>
    <s v="Rua Cipriano Del Favero 659 Aptº 1200  "/>
    <s v=" CENTRO "/>
    <s v="38400-106"/>
    <s v="ENTREGAR SEGUNDA"/>
    <m/>
    <x v="2"/>
    <n v="1"/>
    <n v="30"/>
    <n v="30"/>
    <m/>
    <x v="1"/>
  </r>
  <r>
    <n v="417"/>
    <x v="28"/>
    <x v="19"/>
    <x v="33"/>
    <s v="34.99942-3020"/>
    <s v="Rua Cipriano Del Favero 659 Aptº 1200  "/>
    <s v=" CENTRO "/>
    <s v="38400-106"/>
    <s v="ENTREGAR SEGUNDA"/>
    <m/>
    <x v="3"/>
    <n v="1"/>
    <n v="30"/>
    <n v="30"/>
    <m/>
    <x v="1"/>
  </r>
  <r>
    <n v="416"/>
    <x v="28"/>
    <x v="19"/>
    <x v="277"/>
    <s v="34.99690-8656"/>
    <s v="Rua João Severiano Rodrigesda Cunha 879 casa 10 "/>
    <s v="ITAPEMA SUL"/>
    <s v="38411-356"/>
    <m/>
    <s v="PATRICIA MILAZZO"/>
    <x v="2"/>
    <n v="1"/>
    <n v="30"/>
    <n v="30"/>
    <m/>
    <x v="1"/>
  </r>
  <r>
    <n v="415"/>
    <x v="28"/>
    <x v="19"/>
    <x v="245"/>
    <n v="0"/>
    <n v="0"/>
    <n v="0"/>
    <m/>
    <m/>
    <s v="JOSÉ LUIZ"/>
    <x v="2"/>
    <n v="1"/>
    <n v="30"/>
    <n v="30"/>
    <m/>
    <x v="1"/>
  </r>
  <r>
    <n v="414"/>
    <x v="28"/>
    <x v="19"/>
    <x v="246"/>
    <s v="9.9766-0500"/>
    <n v="0"/>
    <s v="CEDEL"/>
    <m/>
    <s v="1/2 SEM MUSS"/>
    <s v="RODRIGO"/>
    <x v="4"/>
    <n v="1"/>
    <n v="30"/>
    <n v="30"/>
    <m/>
    <x v="1"/>
  </r>
  <r>
    <n v="413"/>
    <x v="28"/>
    <x v="19"/>
    <x v="10"/>
    <s v="34.3213-2775"/>
    <s v="R. Pedro Quirino da Silva, 341 "/>
    <s v="MARTA HELENA "/>
    <s v="38402-075"/>
    <s v="VALERIA"/>
    <m/>
    <x v="1"/>
    <n v="1"/>
    <n v="30"/>
    <n v="30"/>
    <m/>
    <x v="1"/>
  </r>
  <r>
    <n v="412"/>
    <x v="28"/>
    <x v="19"/>
    <x v="10"/>
    <s v="34.3213-2775"/>
    <s v="R. Pedro Quirino da Silva, 341 "/>
    <s v="MARTA HELENA "/>
    <s v="38402-075"/>
    <s v="RODRIGO"/>
    <m/>
    <x v="1"/>
    <n v="1"/>
    <n v="30"/>
    <n v="30"/>
    <m/>
    <x v="1"/>
  </r>
  <r>
    <n v="411"/>
    <x v="28"/>
    <x v="12"/>
    <x v="220"/>
    <n v="0"/>
    <n v="0"/>
    <s v="CEDEL"/>
    <m/>
    <m/>
    <s v="CEDEL"/>
    <x v="1"/>
    <n v="1"/>
    <n v="30"/>
    <n v="30"/>
    <m/>
    <x v="1"/>
  </r>
  <r>
    <n v="410"/>
    <x v="28"/>
    <x v="12"/>
    <x v="90"/>
    <n v="0"/>
    <n v="0"/>
    <n v="0"/>
    <m/>
    <m/>
    <s v="XANDE/ELIS"/>
    <x v="2"/>
    <n v="1"/>
    <n v="30"/>
    <n v="30"/>
    <n v="30"/>
    <x v="2"/>
  </r>
  <r>
    <n v="409"/>
    <x v="28"/>
    <x v="12"/>
    <x v="92"/>
    <s v=" 34.9973-9967"/>
    <n v="0"/>
    <n v="0"/>
    <m/>
    <m/>
    <s v="XANDE/ELIS"/>
    <x v="1"/>
    <n v="1"/>
    <n v="30"/>
    <n v="30"/>
    <n v="30"/>
    <x v="2"/>
  </r>
  <r>
    <n v="409"/>
    <x v="28"/>
    <x v="12"/>
    <x v="92"/>
    <s v=" 34.9973-9967"/>
    <n v="0"/>
    <n v="0"/>
    <m/>
    <m/>
    <s v="XANDE/ELIS"/>
    <x v="3"/>
    <n v="1"/>
    <n v="30"/>
    <n v="30"/>
    <n v="30"/>
    <x v="2"/>
  </r>
  <r>
    <n v="408"/>
    <x v="28"/>
    <x v="12"/>
    <x v="238"/>
    <n v="0"/>
    <n v="0"/>
    <n v="0"/>
    <m/>
    <m/>
    <s v="ZILMA"/>
    <x v="1"/>
    <n v="1"/>
    <n v="30"/>
    <n v="30"/>
    <m/>
    <x v="1"/>
  </r>
  <r>
    <n v="407"/>
    <x v="28"/>
    <x v="12"/>
    <x v="219"/>
    <n v="0"/>
    <n v="0"/>
    <s v="CEDEL"/>
    <m/>
    <m/>
    <s v="CEDEL"/>
    <x v="1"/>
    <n v="2"/>
    <n v="30"/>
    <n v="60"/>
    <m/>
    <x v="1"/>
  </r>
  <r>
    <n v="406"/>
    <x v="28"/>
    <x v="12"/>
    <x v="185"/>
    <n v="0"/>
    <s v="Alameda pauso cesar santana , 885 -bloco 7 , apto 406"/>
    <s v=" JD HOLANDA "/>
    <s v="38412-326"/>
    <m/>
    <s v="MANUEL"/>
    <x v="1"/>
    <n v="1"/>
    <n v="30"/>
    <n v="30"/>
    <m/>
    <x v="1"/>
  </r>
  <r>
    <n v="406"/>
    <x v="28"/>
    <x v="12"/>
    <x v="185"/>
    <n v="0"/>
    <s v="Alameda pauso cesar santana , 885 -bloco 7 , apto 406"/>
    <s v=" JD HOLANDA "/>
    <s v="38412-326"/>
    <m/>
    <s v="MANUEL"/>
    <x v="3"/>
    <n v="1"/>
    <n v="30"/>
    <n v="30"/>
    <m/>
    <x v="1"/>
  </r>
  <r>
    <n v="405"/>
    <x v="28"/>
    <x v="12"/>
    <x v="91"/>
    <n v="0"/>
    <n v="0"/>
    <s v="CEDEL"/>
    <m/>
    <m/>
    <s v="CEDEL"/>
    <x v="0"/>
    <n v="2"/>
    <n v="30"/>
    <n v="60"/>
    <m/>
    <x v="1"/>
  </r>
  <r>
    <n v="405"/>
    <x v="28"/>
    <x v="12"/>
    <x v="91"/>
    <n v="0"/>
    <n v="0"/>
    <s v="CEDEL"/>
    <m/>
    <m/>
    <s v="CEDEL"/>
    <x v="1"/>
    <n v="1"/>
    <n v="30"/>
    <n v="30"/>
    <m/>
    <x v="1"/>
  </r>
  <r>
    <n v="404"/>
    <x v="28"/>
    <x v="12"/>
    <x v="254"/>
    <s v="9.9157-9400"/>
    <n v="0"/>
    <s v="CEDEL"/>
    <m/>
    <m/>
    <s v="CEDEL"/>
    <x v="2"/>
    <n v="1"/>
    <n v="30"/>
    <n v="30"/>
    <m/>
    <x v="1"/>
  </r>
  <r>
    <n v="403"/>
    <x v="28"/>
    <x v="12"/>
    <x v="4"/>
    <s v="9.9197-7955"/>
    <n v="0"/>
    <s v="CEDEL"/>
    <m/>
    <m/>
    <s v="LEOBALDO"/>
    <x v="1"/>
    <n v="2"/>
    <n v="30"/>
    <n v="60"/>
    <m/>
    <x v="1"/>
  </r>
  <r>
    <n v="402"/>
    <x v="28"/>
    <x v="12"/>
    <x v="73"/>
    <s v="9.8876-6001"/>
    <s v="Rua José Lelis França, 1480 Apto 301"/>
    <s v="SANTA MONICA"/>
    <s v="38408-234"/>
    <m/>
    <m/>
    <x v="1"/>
    <n v="1"/>
    <n v="30"/>
    <n v="30"/>
    <n v="30"/>
    <x v="2"/>
  </r>
  <r>
    <n v="401"/>
    <x v="28"/>
    <x v="12"/>
    <x v="75"/>
    <s v="9.9932-1907"/>
    <s v="Rua Francisco Rodrigues Serralha, 350 Condomínio Uchoa Bloco 27 apto 402"/>
    <s v="Chácaras Tubalina"/>
    <s v="38413-297"/>
    <s v="CONFERIR IMPR"/>
    <m/>
    <x v="1"/>
    <n v="1"/>
    <n v="30"/>
    <n v="30"/>
    <m/>
    <x v="1"/>
  </r>
  <r>
    <n v="400"/>
    <x v="28"/>
    <x v="12"/>
    <x v="189"/>
    <s v="34.3219-8921"/>
    <s v="Rua Tuiuti 279, Tel: 99954-1904/ 98852-9621"/>
    <s v="TABAJARAS"/>
    <s v="38400-264"/>
    <m/>
    <m/>
    <x v="1"/>
    <n v="1"/>
    <n v="30"/>
    <n v="30"/>
    <m/>
    <x v="1"/>
  </r>
  <r>
    <n v="399"/>
    <x v="28"/>
    <x v="18"/>
    <x v="270"/>
    <s v="9.9673-3900"/>
    <s v="R. Pirapuã, 275"/>
    <s v="JD KARÍBA"/>
    <s v="38411-364"/>
    <m/>
    <m/>
    <x v="1"/>
    <n v="1"/>
    <n v="30"/>
    <n v="30"/>
    <m/>
    <x v="1"/>
  </r>
  <r>
    <n v="399"/>
    <x v="28"/>
    <x v="18"/>
    <x v="270"/>
    <s v="9.9673-3900"/>
    <s v="R. Pirapuã, 275"/>
    <s v="JD KARÍBA"/>
    <s v="38411-364"/>
    <m/>
    <m/>
    <x v="3"/>
    <n v="1"/>
    <n v="30"/>
    <n v="30"/>
    <m/>
    <x v="1"/>
  </r>
  <r>
    <n v="398"/>
    <x v="28"/>
    <x v="18"/>
    <x v="94"/>
    <s v="9.9976-8255"/>
    <s v="R. Irene Rosa, 54"/>
    <s v="OSVALDO REZENDE"/>
    <s v="38400-480"/>
    <m/>
    <m/>
    <x v="1"/>
    <n v="1"/>
    <n v="30"/>
    <n v="30"/>
    <m/>
    <x v="1"/>
  </r>
  <r>
    <n v="397"/>
    <x v="28"/>
    <x v="18"/>
    <x v="200"/>
    <s v="9.9684-7889"/>
    <s v="AV. IMBAÚBA 2200 BL03 AP404"/>
    <s v="JARAGUÁ"/>
    <s v="38413-108"/>
    <m/>
    <m/>
    <x v="1"/>
    <n v="1"/>
    <n v="30"/>
    <n v="30"/>
    <m/>
    <x v="1"/>
  </r>
  <r>
    <n v="396"/>
    <x v="28"/>
    <x v="18"/>
    <x v="184"/>
    <s v="9.8852-3585"/>
    <s v="R. João Ângelo Schiavinatto, 2220, apto 302 "/>
    <s v="SANTA MONICA"/>
    <s v="38408-272"/>
    <m/>
    <s v="MI/LEANDRO"/>
    <x v="1"/>
    <n v="1"/>
    <n v="30"/>
    <n v="30"/>
    <n v="30"/>
    <x v="2"/>
  </r>
  <r>
    <n v="395"/>
    <x v="28"/>
    <x v="18"/>
    <x v="287"/>
    <s v="9.9679-6465"/>
    <s v="AL. JOÃO PEREIRA DE CARVALHO 315"/>
    <s v="JD. DAS PALMEIRAS"/>
    <s v="38412-864"/>
    <m/>
    <m/>
    <x v="1"/>
    <n v="1"/>
    <n v="30"/>
    <n v="30"/>
    <m/>
    <x v="1"/>
  </r>
  <r>
    <n v="395"/>
    <x v="28"/>
    <x v="18"/>
    <x v="287"/>
    <s v="9.9679-6465"/>
    <s v="AL. JOÃO PEREIRA DE CARVALHO 315"/>
    <s v="JD. DAS PALMEIRAS"/>
    <s v="38412-864"/>
    <m/>
    <m/>
    <x v="2"/>
    <n v="1"/>
    <n v="30"/>
    <n v="30"/>
    <m/>
    <x v="1"/>
  </r>
  <r>
    <n v="394"/>
    <x v="28"/>
    <x v="18"/>
    <x v="49"/>
    <n v="0"/>
    <s v="Rua José Pires Defensor, 600, Casa 28"/>
    <n v="0"/>
    <m/>
    <m/>
    <s v="MI/LEANDRO"/>
    <x v="1"/>
    <n v="2"/>
    <n v="30"/>
    <n v="60"/>
    <m/>
    <x v="1"/>
  </r>
  <r>
    <n v="393"/>
    <x v="28"/>
    <x v="28"/>
    <x v="255"/>
    <s v="34.99128-4121"/>
    <s v="R. RAUL PETRONILHO DE PÁDUA 187"/>
    <s v="GRANADA"/>
    <s v="38410-020"/>
    <m/>
    <m/>
    <x v="0"/>
    <n v="1"/>
    <n v="30"/>
    <n v="30"/>
    <m/>
    <x v="1"/>
  </r>
  <r>
    <n v="392"/>
    <x v="28"/>
    <x v="27"/>
    <x v="239"/>
    <s v="9.9164-5332"/>
    <s v="Alameda Vila Rica 520"/>
    <s v="CITY UBERLANDIA"/>
    <s v="38411-314"/>
    <m/>
    <m/>
    <x v="2"/>
    <n v="2"/>
    <n v="30"/>
    <n v="60"/>
    <m/>
    <x v="1"/>
  </r>
  <r>
    <n v="391"/>
    <x v="28"/>
    <x v="10"/>
    <x v="10"/>
    <s v="34.3213-2775"/>
    <s v="R. Pedro Quirino da Silva, 341 "/>
    <s v="MARTA HELENA "/>
    <s v="38402-075"/>
    <s v="RODOLFO"/>
    <m/>
    <x v="1"/>
    <n v="1"/>
    <n v="30"/>
    <n v="30"/>
    <m/>
    <x v="1"/>
  </r>
  <r>
    <n v="390"/>
    <x v="28"/>
    <x v="10"/>
    <x v="60"/>
    <n v="0"/>
    <n v="0"/>
    <n v="0"/>
    <m/>
    <m/>
    <m/>
    <x v="1"/>
    <n v="2"/>
    <n v="30"/>
    <n v="60"/>
    <m/>
    <x v="1"/>
  </r>
  <r>
    <n v="389"/>
    <x v="28"/>
    <x v="2"/>
    <x v="61"/>
    <s v="34.9948-0722"/>
    <s v="R. Orozimbo José Ferreira"/>
    <s v="APARECIDA"/>
    <s v="38400-774"/>
    <m/>
    <s v="CEDEL"/>
    <x v="0"/>
    <n v="2"/>
    <n v="30"/>
    <n v="60"/>
    <m/>
    <x v="1"/>
  </r>
  <r>
    <n v="388"/>
    <x v="28"/>
    <x v="2"/>
    <x v="258"/>
    <s v="9.9941-1412"/>
    <s v="Av. Cleanto Vieira Gonçalves, 1.227"/>
    <s v="PACAEMBU"/>
    <s v="38401-545 "/>
    <m/>
    <m/>
    <x v="0"/>
    <n v="1"/>
    <n v="30"/>
    <n v="30"/>
    <m/>
    <x v="1"/>
  </r>
  <r>
    <n v="387"/>
    <x v="28"/>
    <x v="2"/>
    <x v="10"/>
    <s v="34.3213-2775"/>
    <s v="R. Pedro Quirino da Silva, 341 "/>
    <s v="MARTA HELENA "/>
    <s v="38402-075"/>
    <s v="CLOVIS"/>
    <m/>
    <x v="1"/>
    <n v="1"/>
    <n v="30"/>
    <n v="30"/>
    <m/>
    <x v="1"/>
  </r>
  <r>
    <n v="386"/>
    <x v="28"/>
    <x v="22"/>
    <x v="168"/>
    <s v="9.9141-7904"/>
    <n v="0"/>
    <n v="0"/>
    <m/>
    <m/>
    <s v="CEDEL"/>
    <x v="0"/>
    <n v="2"/>
    <n v="30"/>
    <n v="60"/>
    <m/>
    <x v="1"/>
  </r>
  <r>
    <n v="386"/>
    <x v="28"/>
    <x v="22"/>
    <x v="168"/>
    <s v="9.9141-7904"/>
    <n v="0"/>
    <n v="0"/>
    <m/>
    <m/>
    <s v="CEDEL"/>
    <x v="1"/>
    <n v="1"/>
    <n v="30"/>
    <n v="30"/>
    <m/>
    <x v="1"/>
  </r>
  <r>
    <n v="385"/>
    <x v="28"/>
    <x v="8"/>
    <x v="222"/>
    <n v="0"/>
    <n v="0"/>
    <n v="0"/>
    <m/>
    <m/>
    <s v="CEDEL"/>
    <x v="0"/>
    <n v="3"/>
    <n v="30"/>
    <n v="90"/>
    <m/>
    <x v="1"/>
  </r>
  <r>
    <n v="385"/>
    <x v="28"/>
    <x v="8"/>
    <x v="222"/>
    <n v="0"/>
    <n v="0"/>
    <n v="0"/>
    <m/>
    <m/>
    <s v="CEDEL"/>
    <x v="1"/>
    <n v="3"/>
    <n v="30"/>
    <n v="90"/>
    <m/>
    <x v="1"/>
  </r>
  <r>
    <n v="385"/>
    <x v="28"/>
    <x v="8"/>
    <x v="222"/>
    <n v="0"/>
    <n v="0"/>
    <n v="0"/>
    <m/>
    <m/>
    <s v="CEDEL"/>
    <x v="2"/>
    <n v="7"/>
    <n v="30"/>
    <n v="210"/>
    <m/>
    <x v="1"/>
  </r>
  <r>
    <n v="384"/>
    <x v="28"/>
    <x v="26"/>
    <x v="252"/>
    <s v="9.9205-9575"/>
    <n v="0"/>
    <n v="0"/>
    <m/>
    <m/>
    <s v="CEDEL"/>
    <x v="1"/>
    <n v="4"/>
    <n v="30"/>
    <n v="120"/>
    <m/>
    <x v="1"/>
  </r>
  <r>
    <n v="384"/>
    <x v="28"/>
    <x v="26"/>
    <x v="252"/>
    <s v="9.9205-9575"/>
    <n v="0"/>
    <n v="0"/>
    <m/>
    <m/>
    <s v="CEDEL"/>
    <x v="2"/>
    <n v="1"/>
    <n v="30"/>
    <n v="30"/>
    <m/>
    <x v="1"/>
  </r>
  <r>
    <n v="383"/>
    <x v="28"/>
    <x v="11"/>
    <x v="84"/>
    <s v="9.9992-0097"/>
    <s v="R. Horácio Rezende, 241"/>
    <s v="OSVALDO REZENDE"/>
    <s v="38400-302"/>
    <m/>
    <m/>
    <x v="2"/>
    <n v="1"/>
    <n v="30"/>
    <n v="30"/>
    <m/>
    <x v="1"/>
  </r>
  <r>
    <n v="382"/>
    <x v="28"/>
    <x v="11"/>
    <x v="63"/>
    <s v="9.8863-1720"/>
    <n v="0"/>
    <s v="CEDEL"/>
    <m/>
    <m/>
    <s v="CEDEL"/>
    <x v="2"/>
    <n v="1"/>
    <n v="30"/>
    <n v="30"/>
    <m/>
    <x v="1"/>
  </r>
  <r>
    <n v="381"/>
    <x v="29"/>
    <x v="12"/>
    <x v="288"/>
    <n v="0"/>
    <n v="0"/>
    <s v="CEDEL"/>
    <m/>
    <m/>
    <s v="CEDEL"/>
    <x v="2"/>
    <n v="1"/>
    <n v="30"/>
    <n v="30"/>
    <m/>
    <x v="1"/>
  </r>
  <r>
    <n v="381"/>
    <x v="29"/>
    <x v="12"/>
    <x v="288"/>
    <n v="0"/>
    <n v="0"/>
    <s v="CEDEL"/>
    <m/>
    <m/>
    <s v="CEDEL"/>
    <x v="3"/>
    <n v="1"/>
    <n v="30"/>
    <n v="30"/>
    <m/>
    <x v="1"/>
  </r>
  <r>
    <n v="380"/>
    <x v="29"/>
    <x v="16"/>
    <x v="289"/>
    <s v="9.9161-1233"/>
    <s v="Rua José Quércia, 170"/>
    <s v="LUIZOTE"/>
    <s v="38414-299"/>
    <m/>
    <m/>
    <x v="1"/>
    <n v="1"/>
    <n v="30"/>
    <n v="30"/>
    <n v="30"/>
    <x v="2"/>
  </r>
  <r>
    <n v="379"/>
    <x v="29"/>
    <x v="16"/>
    <x v="290"/>
    <s v="9.8803-9111"/>
    <s v="Rua Armando Tucci, 1482, Apto 202 B"/>
    <s v="SANTA MONICA"/>
    <s v="38408-256"/>
    <m/>
    <m/>
    <x v="2"/>
    <n v="1"/>
    <n v="30"/>
    <n v="30"/>
    <n v="30"/>
    <x v="2"/>
  </r>
  <r>
    <n v="378"/>
    <x v="29"/>
    <x v="16"/>
    <x v="291"/>
    <s v="9.9192-2529"/>
    <s v="Rua Sebastião Alves Nunes, 767 "/>
    <s v="SANTA MONICA"/>
    <s v="38408-318"/>
    <m/>
    <m/>
    <x v="1"/>
    <n v="1"/>
    <n v="30"/>
    <n v="30"/>
    <m/>
    <x v="1"/>
  </r>
  <r>
    <n v="378"/>
    <x v="29"/>
    <x v="16"/>
    <x v="291"/>
    <s v="9.9192-2529"/>
    <s v="Rua Sebastião Alves Nunes, 767 "/>
    <s v="SANTA MONICA"/>
    <s v="38408-318"/>
    <m/>
    <m/>
    <x v="3"/>
    <n v="1"/>
    <n v="30"/>
    <n v="30"/>
    <m/>
    <x v="1"/>
  </r>
  <r>
    <n v="377"/>
    <x v="29"/>
    <x v="27"/>
    <x v="239"/>
    <n v="0"/>
    <s v="Alameda Vila Rica 520"/>
    <s v="CITY UBERLANDIA"/>
    <s v="38411-314"/>
    <m/>
    <m/>
    <x v="2"/>
    <n v="1"/>
    <n v="30"/>
    <n v="30"/>
    <m/>
    <x v="1"/>
  </r>
  <r>
    <n v="376"/>
    <x v="29"/>
    <x v="16"/>
    <x v="141"/>
    <n v="0"/>
    <s v="Entrega Levy"/>
    <n v="0"/>
    <m/>
    <m/>
    <s v="LEVY"/>
    <x v="0"/>
    <n v="1"/>
    <n v="30"/>
    <n v="30"/>
    <m/>
    <x v="1"/>
  </r>
  <r>
    <n v="376"/>
    <x v="29"/>
    <x v="16"/>
    <x v="141"/>
    <n v="0"/>
    <s v="Entrega Levy"/>
    <n v="0"/>
    <m/>
    <m/>
    <s v="LEVY"/>
    <x v="1"/>
    <n v="1"/>
    <n v="30"/>
    <n v="30"/>
    <m/>
    <x v="1"/>
  </r>
  <r>
    <n v="376"/>
    <x v="29"/>
    <x v="16"/>
    <x v="141"/>
    <n v="0"/>
    <s v="Entrega Levy"/>
    <n v="0"/>
    <m/>
    <m/>
    <s v="LEVY"/>
    <x v="2"/>
    <n v="1"/>
    <n v="30"/>
    <n v="30"/>
    <m/>
    <x v="1"/>
  </r>
  <r>
    <n v="375"/>
    <x v="29"/>
    <x v="16"/>
    <x v="292"/>
    <s v="9.9139-0396"/>
    <s v="Rua Santiago, 231"/>
    <s v="TIBERY"/>
    <s v="38405-148"/>
    <m/>
    <m/>
    <x v="2"/>
    <n v="1"/>
    <n v="30"/>
    <n v="30"/>
    <n v="30"/>
    <x v="2"/>
  </r>
  <r>
    <n v="374"/>
    <x v="29"/>
    <x v="16"/>
    <x v="293"/>
    <s v="9.9168-9131"/>
    <s v="Av José Paes de Almeida, 463, apto 404"/>
    <s v="SANTA MONICA"/>
    <s v="38408-140"/>
    <m/>
    <m/>
    <x v="0"/>
    <n v="1"/>
    <n v="30"/>
    <n v="30"/>
    <n v="30"/>
    <x v="2"/>
  </r>
  <r>
    <n v="373"/>
    <x v="29"/>
    <x v="17"/>
    <x v="294"/>
    <n v="0"/>
    <n v="0"/>
    <s v="CEDEL"/>
    <m/>
    <s v="CASA EM FRENTE AO CEDEL"/>
    <s v="CEDEL"/>
    <x v="1"/>
    <n v="1"/>
    <n v="30"/>
    <n v="30"/>
    <m/>
    <x v="1"/>
  </r>
  <r>
    <n v="372"/>
    <x v="29"/>
    <x v="17"/>
    <x v="208"/>
    <s v="34.99979-5832"/>
    <n v="0"/>
    <n v="0"/>
    <m/>
    <m/>
    <s v="CEDEL"/>
    <x v="0"/>
    <n v="1"/>
    <n v="30"/>
    <n v="30"/>
    <m/>
    <x v="1"/>
  </r>
  <r>
    <n v="372"/>
    <x v="29"/>
    <x v="17"/>
    <x v="208"/>
    <s v="34.99979-5832"/>
    <n v="0"/>
    <n v="0"/>
    <m/>
    <m/>
    <s v="CEDEL"/>
    <x v="2"/>
    <n v="1"/>
    <n v="30"/>
    <n v="30"/>
    <m/>
    <x v="1"/>
  </r>
  <r>
    <n v="371"/>
    <x v="29"/>
    <x v="17"/>
    <x v="190"/>
    <s v="34.99286-0302"/>
    <s v="R. DO PROFESSOR 320"/>
    <s v="PLANALTO"/>
    <s v="38412-296"/>
    <m/>
    <m/>
    <x v="1"/>
    <n v="1"/>
    <n v="30"/>
    <n v="30"/>
    <m/>
    <x v="1"/>
  </r>
  <r>
    <n v="370"/>
    <x v="29"/>
    <x v="17"/>
    <x v="295"/>
    <s v="9.9978-0317"/>
    <s v="AV. CESARIO CROSARA 2507 "/>
    <s v="ROOSEVELT"/>
    <s v="38401-119"/>
    <s v="RECEBER 4 PIZZAS"/>
    <m/>
    <x v="0"/>
    <n v="1"/>
    <n v="30"/>
    <n v="30"/>
    <m/>
    <x v="1"/>
  </r>
  <r>
    <n v="370"/>
    <x v="29"/>
    <x v="17"/>
    <x v="295"/>
    <s v="9.9978-0317"/>
    <s v="AV. CESARIO CROSARA 2507 "/>
    <s v="ROOSEVELT"/>
    <s v="38401-119"/>
    <s v="RECEBER 4 PIZZAS"/>
    <m/>
    <x v="3"/>
    <n v="1"/>
    <n v="30"/>
    <n v="30"/>
    <m/>
    <x v="1"/>
  </r>
  <r>
    <n v="369"/>
    <x v="29"/>
    <x v="17"/>
    <x v="276"/>
    <s v="34.99145-7868"/>
    <s v="R. ARNALDO TUCCI 1289 ANT34 "/>
    <s v="SANTA MONICA"/>
    <s v="38408-256"/>
    <m/>
    <m/>
    <x v="2"/>
    <n v="1"/>
    <n v="30"/>
    <n v="30"/>
    <m/>
    <x v="1"/>
  </r>
  <r>
    <n v="368"/>
    <x v="29"/>
    <x v="17"/>
    <x v="161"/>
    <s v="34.99669-6170"/>
    <s v="Rua Prof. Ciro de Castro Almeida, 1576"/>
    <s v="CUSTÓDIO PEREIRA"/>
    <s v="38405-250"/>
    <s v="JUNTO COM A REGINA"/>
    <m/>
    <x v="2"/>
    <n v="4"/>
    <n v="30"/>
    <n v="120"/>
    <n v="120"/>
    <x v="2"/>
  </r>
  <r>
    <n v="367"/>
    <x v="29"/>
    <x v="17"/>
    <x v="59"/>
    <n v="0"/>
    <n v="0"/>
    <n v="0"/>
    <m/>
    <m/>
    <m/>
    <x v="1"/>
    <n v="2"/>
    <n v="30"/>
    <n v="60"/>
    <m/>
    <x v="1"/>
  </r>
  <r>
    <n v="366"/>
    <x v="29"/>
    <x v="17"/>
    <x v="207"/>
    <s v="34.99147-8758"/>
    <n v="0"/>
    <n v="0"/>
    <m/>
    <m/>
    <s v="CEDEL"/>
    <x v="0"/>
    <n v="2"/>
    <n v="30"/>
    <n v="60"/>
    <m/>
    <x v="1"/>
  </r>
  <r>
    <n v="365"/>
    <x v="29"/>
    <x v="17"/>
    <x v="62"/>
    <s v="34.99676-2593 "/>
    <s v="R. ANITA 125 PASSARELA AV. LIBERDADE ALTAMIRA"/>
    <s v="MORADA DA COLINA"/>
    <s v="38411-014"/>
    <m/>
    <m/>
    <x v="2"/>
    <n v="1"/>
    <n v="30"/>
    <n v="30"/>
    <m/>
    <x v="1"/>
  </r>
  <r>
    <n v="365"/>
    <x v="29"/>
    <x v="17"/>
    <x v="62"/>
    <s v="34.99676-2593 "/>
    <s v="R. ANITA 125 PASSARELA AV. LIBERDADE ALTAMIRA"/>
    <s v="MORADA DA COLINA"/>
    <s v="38411-014"/>
    <m/>
    <m/>
    <x v="3"/>
    <n v="1"/>
    <n v="30"/>
    <n v="30"/>
    <m/>
    <x v="1"/>
  </r>
  <r>
    <n v="364"/>
    <x v="29"/>
    <x v="12"/>
    <x v="90"/>
    <n v="0"/>
    <n v="0"/>
    <n v="0"/>
    <m/>
    <m/>
    <m/>
    <x v="2"/>
    <n v="1"/>
    <n v="30"/>
    <n v="30"/>
    <n v="30"/>
    <x v="2"/>
  </r>
  <r>
    <n v="363"/>
    <x v="29"/>
    <x v="12"/>
    <x v="92"/>
    <s v=" 34.9973-9967"/>
    <n v="0"/>
    <n v="0"/>
    <m/>
    <m/>
    <s v="XANDE/ELIS"/>
    <x v="1"/>
    <n v="1"/>
    <n v="30"/>
    <n v="30"/>
    <n v="30"/>
    <x v="2"/>
  </r>
  <r>
    <n v="363"/>
    <x v="29"/>
    <x v="12"/>
    <x v="92"/>
    <s v=" 34.9973-9967"/>
    <n v="0"/>
    <n v="0"/>
    <m/>
    <m/>
    <s v="XANDE/ELIS"/>
    <x v="3"/>
    <n v="1"/>
    <n v="30"/>
    <n v="30"/>
    <n v="30"/>
    <x v="2"/>
  </r>
  <r>
    <n v="362"/>
    <x v="29"/>
    <x v="12"/>
    <x v="219"/>
    <n v="0"/>
    <n v="0"/>
    <s v="CEDEL"/>
    <m/>
    <m/>
    <s v="PATRICIA"/>
    <x v="1"/>
    <n v="2"/>
    <n v="30"/>
    <n v="60"/>
    <m/>
    <x v="1"/>
  </r>
  <r>
    <n v="362"/>
    <x v="29"/>
    <x v="12"/>
    <x v="219"/>
    <n v="0"/>
    <n v="0"/>
    <s v="CEDEL"/>
    <m/>
    <m/>
    <s v="PATRICIA"/>
    <x v="2"/>
    <n v="1"/>
    <n v="30"/>
    <n v="30"/>
    <m/>
    <x v="1"/>
  </r>
  <r>
    <n v="361"/>
    <x v="29"/>
    <x v="12"/>
    <x v="185"/>
    <n v="0"/>
    <s v="Alameda pauso cesar santana , 885 -bloco 7 , apto 406"/>
    <s v=" JD HOLANDA "/>
    <s v="38412-326"/>
    <m/>
    <s v="CEDEL"/>
    <x v="1"/>
    <n v="1"/>
    <n v="30"/>
    <n v="30"/>
    <m/>
    <x v="1"/>
  </r>
  <r>
    <n v="361"/>
    <x v="29"/>
    <x v="12"/>
    <x v="185"/>
    <n v="0"/>
    <s v="Alameda pauso cesar santana , 885 -bloco 7 , apto 406"/>
    <s v=" JD HOLANDA "/>
    <s v="38412-326"/>
    <m/>
    <s v="CEDEL"/>
    <x v="3"/>
    <n v="1"/>
    <n v="30"/>
    <n v="30"/>
    <m/>
    <x v="1"/>
  </r>
  <r>
    <n v="360"/>
    <x v="29"/>
    <x v="12"/>
    <x v="91"/>
    <n v="0"/>
    <n v="0"/>
    <s v="CEDEL"/>
    <m/>
    <m/>
    <m/>
    <x v="0"/>
    <n v="3"/>
    <n v="30"/>
    <n v="90"/>
    <m/>
    <x v="1"/>
  </r>
  <r>
    <n v="360"/>
    <x v="29"/>
    <x v="12"/>
    <x v="91"/>
    <n v="0"/>
    <n v="0"/>
    <s v="CEDEL"/>
    <m/>
    <m/>
    <m/>
    <x v="1"/>
    <n v="2"/>
    <n v="30"/>
    <n v="60"/>
    <m/>
    <x v="1"/>
  </r>
  <r>
    <n v="360"/>
    <x v="29"/>
    <x v="12"/>
    <x v="91"/>
    <n v="0"/>
    <n v="0"/>
    <s v="CEDEL"/>
    <m/>
    <m/>
    <m/>
    <x v="2"/>
    <n v="1"/>
    <n v="30"/>
    <n v="30"/>
    <m/>
    <x v="1"/>
  </r>
  <r>
    <n v="359"/>
    <x v="29"/>
    <x v="12"/>
    <x v="254"/>
    <s v="9.9157-9400"/>
    <n v="0"/>
    <s v="CEDEL"/>
    <m/>
    <m/>
    <m/>
    <x v="2"/>
    <n v="1"/>
    <n v="30"/>
    <n v="30"/>
    <m/>
    <x v="1"/>
  </r>
  <r>
    <n v="358"/>
    <x v="29"/>
    <x v="12"/>
    <x v="4"/>
    <s v="9.9197-7955"/>
    <n v="0"/>
    <s v="CEDEL"/>
    <m/>
    <m/>
    <s v="LEOBALDO"/>
    <x v="1"/>
    <n v="2"/>
    <n v="30"/>
    <n v="60"/>
    <m/>
    <x v="1"/>
  </r>
  <r>
    <n v="357"/>
    <x v="29"/>
    <x v="12"/>
    <x v="73"/>
    <s v="9.8876-6001"/>
    <s v="Rua José Lelis França, 1480 Apto 301"/>
    <s v="SANTA MONICA"/>
    <s v="38408-234"/>
    <m/>
    <m/>
    <x v="1"/>
    <n v="1"/>
    <n v="30"/>
    <n v="30"/>
    <n v="30"/>
    <x v="2"/>
  </r>
  <r>
    <n v="356"/>
    <x v="29"/>
    <x v="12"/>
    <x v="75"/>
    <s v="9.9932-1907"/>
    <s v="Rua Francisco Rodrigues Serralha, 350 Condomínio Uchoa Bloco 27 apto 402"/>
    <s v="Chácaras Tubalina"/>
    <s v="38413-297"/>
    <m/>
    <m/>
    <x v="1"/>
    <n v="1"/>
    <n v="30"/>
    <n v="30"/>
    <m/>
    <x v="1"/>
  </r>
  <r>
    <n v="355"/>
    <x v="29"/>
    <x v="12"/>
    <x v="189"/>
    <s v="34.3219-8921"/>
    <s v="Rua Tuiuti 279, Tel: 99954-1904/ 98852-9621"/>
    <s v="TABAJARAS"/>
    <s v="38400-264"/>
    <m/>
    <m/>
    <x v="1"/>
    <n v="1"/>
    <n v="30"/>
    <n v="30"/>
    <m/>
    <x v="1"/>
  </r>
  <r>
    <n v="354"/>
    <x v="29"/>
    <x v="11"/>
    <x v="63"/>
    <s v="9.8863-1720"/>
    <n v="0"/>
    <s v="CEDEL"/>
    <m/>
    <m/>
    <m/>
    <x v="2"/>
    <n v="1"/>
    <n v="30"/>
    <n v="30"/>
    <m/>
    <x v="1"/>
  </r>
  <r>
    <n v="353"/>
    <x v="29"/>
    <x v="19"/>
    <x v="33"/>
    <s v="34.99942-3020"/>
    <s v="Rua Cipriano Del Favero 659 Aptº 1200  "/>
    <s v=" CENTRO "/>
    <s v="38400-106"/>
    <m/>
    <m/>
    <x v="2"/>
    <n v="1"/>
    <n v="30"/>
    <n v="30"/>
    <m/>
    <x v="1"/>
  </r>
  <r>
    <n v="353"/>
    <x v="29"/>
    <x v="19"/>
    <x v="33"/>
    <s v="34.99942-3020"/>
    <s v="Rua Cipriano Del Favero 659 Aptº 1200  "/>
    <s v=" CENTRO "/>
    <s v="38400-106"/>
    <m/>
    <m/>
    <x v="3"/>
    <n v="1"/>
    <n v="30"/>
    <n v="30"/>
    <m/>
    <x v="1"/>
  </r>
  <r>
    <n v="352"/>
    <x v="29"/>
    <x v="19"/>
    <x v="277"/>
    <s v="34.99690-8656"/>
    <s v="Rua João Severiano Rodrigesda Cunha 879 casa 10 "/>
    <s v="ITAPEMA SUL"/>
    <s v="38411-356"/>
    <m/>
    <s v="JOSÉ LUIZ"/>
    <x v="2"/>
    <n v="1"/>
    <n v="30"/>
    <n v="30"/>
    <m/>
    <x v="1"/>
  </r>
  <r>
    <n v="351"/>
    <x v="29"/>
    <x v="19"/>
    <x v="10"/>
    <s v="34.3213-2775"/>
    <s v="R. Pedro Quirino da Silva, 341 "/>
    <s v="MARTA HELENA "/>
    <s v="38402-075"/>
    <s v="VALÉRIA DE CARVALHO"/>
    <m/>
    <x v="1"/>
    <n v="1"/>
    <n v="30"/>
    <n v="30"/>
    <m/>
    <x v="1"/>
  </r>
  <r>
    <n v="350"/>
    <x v="29"/>
    <x v="19"/>
    <x v="245"/>
    <n v="0"/>
    <n v="0"/>
    <n v="0"/>
    <m/>
    <m/>
    <m/>
    <x v="2"/>
    <n v="1"/>
    <n v="30"/>
    <n v="30"/>
    <m/>
    <x v="1"/>
  </r>
  <r>
    <n v="349"/>
    <x v="29"/>
    <x v="19"/>
    <x v="243"/>
    <s v="9.998-8810"/>
    <n v="0"/>
    <s v="ZÉ LUIZ"/>
    <m/>
    <m/>
    <s v="JOSÉ LUIZ"/>
    <x v="2"/>
    <n v="1"/>
    <n v="30"/>
    <n v="30"/>
    <m/>
    <x v="1"/>
  </r>
  <r>
    <n v="348"/>
    <x v="29"/>
    <x v="19"/>
    <x v="10"/>
    <s v="34.3213-2775"/>
    <s v="R. Pedro Quirino da Silva, 341 "/>
    <s v="MARTA HELENA "/>
    <s v="38402-075"/>
    <s v="RODRIGO"/>
    <m/>
    <x v="1"/>
    <n v="1"/>
    <n v="30"/>
    <n v="30"/>
    <m/>
    <x v="1"/>
  </r>
  <r>
    <n v="347"/>
    <x v="29"/>
    <x v="19"/>
    <x v="246"/>
    <s v="9.9766-0500"/>
    <n v="0"/>
    <s v="CEDEL"/>
    <m/>
    <s v="CALABRESA METADE SEM MUSSARELA"/>
    <m/>
    <x v="4"/>
    <n v="1"/>
    <n v="30"/>
    <n v="30"/>
    <m/>
    <x v="1"/>
  </r>
  <r>
    <n v="346"/>
    <x v="29"/>
    <x v="7"/>
    <x v="210"/>
    <s v="34.99167-3677"/>
    <s v="Av Dr Laerte viera Gonçalves, 2415 - ap 102"/>
    <s v="SANTA MONICA"/>
    <s v="38408-176"/>
    <m/>
    <m/>
    <x v="2"/>
    <n v="1"/>
    <n v="30"/>
    <n v="30"/>
    <n v="30"/>
    <x v="2"/>
  </r>
  <r>
    <n v="346"/>
    <x v="29"/>
    <x v="7"/>
    <x v="210"/>
    <s v="34.99167-3677"/>
    <s v="Av Dr Laerte viera Gonçalves, 2415 - ap 102"/>
    <s v="SANTA MONICA"/>
    <s v="38408-176"/>
    <m/>
    <m/>
    <x v="3"/>
    <n v="1"/>
    <n v="30"/>
    <n v="30"/>
    <n v="30"/>
    <x v="2"/>
  </r>
  <r>
    <n v="345"/>
    <x v="29"/>
    <x v="7"/>
    <x v="40"/>
    <s v="34.98845-0023"/>
    <s v="Rua Prof. Ciro de Castro Almeida, 1576"/>
    <s v="CUSTÓDIO PEREIRA"/>
    <s v=" 38405-250"/>
    <m/>
    <m/>
    <x v="0"/>
    <n v="1"/>
    <n v="30"/>
    <n v="30"/>
    <n v="30"/>
    <x v="2"/>
  </r>
  <r>
    <n v="345"/>
    <x v="29"/>
    <x v="7"/>
    <x v="40"/>
    <s v="34.98845-0023"/>
    <s v="Rua Prof. Ciro de Castro Almeida, 1576"/>
    <s v="CUSTÓDIO PEREIRA"/>
    <s v=" 38405-250"/>
    <m/>
    <m/>
    <x v="2"/>
    <n v="1"/>
    <n v="30"/>
    <n v="30"/>
    <n v="30"/>
    <x v="2"/>
  </r>
  <r>
    <n v="344"/>
    <x v="29"/>
    <x v="7"/>
    <x v="249"/>
    <s v="9.9797-7352"/>
    <s v="Rua Guerra Junqueira, 430, bl 4 - ap 413"/>
    <s v="TUBALINA"/>
    <s v="38412-004"/>
    <m/>
    <m/>
    <x v="2"/>
    <n v="1"/>
    <n v="30"/>
    <n v="30"/>
    <m/>
    <x v="1"/>
  </r>
  <r>
    <n v="343"/>
    <x v="29"/>
    <x v="7"/>
    <x v="39"/>
    <s v="34.98803-5267"/>
    <s v="Rua Campo Rupestre, 193"/>
    <s v=" JD. BOTANICO "/>
    <s v="38410-664"/>
    <m/>
    <m/>
    <x v="1"/>
    <n v="1"/>
    <n v="30"/>
    <n v="30"/>
    <n v="30"/>
    <x v="2"/>
  </r>
  <r>
    <n v="342"/>
    <x v="29"/>
    <x v="7"/>
    <x v="41"/>
    <s v="34.99133-6005"/>
    <s v="Rua Caxambu, 284 - ap 103"/>
    <s v=" OSVALDO RESENDE "/>
    <s v="38400-418"/>
    <s v="ENTREGAR DOMINgo à noite"/>
    <m/>
    <x v="0"/>
    <n v="1"/>
    <n v="30"/>
    <n v="30"/>
    <m/>
    <x v="1"/>
  </r>
  <r>
    <n v="341"/>
    <x v="29"/>
    <x v="25"/>
    <x v="240"/>
    <s v="9.9215-5938"/>
    <s v="R. Joao Rodrigues Castro, 400"/>
    <s v="JARDIM PATRÍCIA"/>
    <s v="38414-122"/>
    <m/>
    <m/>
    <x v="0"/>
    <n v="1"/>
    <n v="30"/>
    <n v="30"/>
    <m/>
    <x v="1"/>
  </r>
  <r>
    <n v="340"/>
    <x v="29"/>
    <x v="25"/>
    <x v="296"/>
    <s v="34.99262-7350"/>
    <s v="R: Alberto Martins Ribeiro,232"/>
    <s v=" JD. PATRÍCIA "/>
    <s v="38414-162"/>
    <m/>
    <m/>
    <x v="1"/>
    <n v="1"/>
    <n v="30"/>
    <n v="30"/>
    <m/>
    <x v="1"/>
  </r>
  <r>
    <n v="339"/>
    <x v="29"/>
    <x v="25"/>
    <x v="267"/>
    <s v="9.8822-2019"/>
    <s v="R: DO AMENDOIN, 3100, CASA 08"/>
    <s v="MINAS GERAIS"/>
    <s v="38402-206"/>
    <m/>
    <m/>
    <x v="1"/>
    <n v="1"/>
    <n v="30"/>
    <n v="30"/>
    <m/>
    <x v="1"/>
  </r>
  <r>
    <n v="338"/>
    <x v="29"/>
    <x v="25"/>
    <x v="297"/>
    <s v="9.9147-7656"/>
    <s v="Av. dos Ferreiras, 475 casa 321- Condomínio Terra Nova 1"/>
    <s v="JD CALIFÓRNIA"/>
    <s v="38406-136"/>
    <m/>
    <m/>
    <x v="1"/>
    <n v="1"/>
    <n v="30"/>
    <n v="30"/>
    <n v="30"/>
    <x v="2"/>
  </r>
  <r>
    <n v="337"/>
    <x v="29"/>
    <x v="25"/>
    <x v="298"/>
    <s v="9.9643-9349 "/>
    <s v="R: CONEGO PEDRO PEZZUTI, 29"/>
    <s v="CUSTÓDIO PEREIRA"/>
    <s v="38405-258"/>
    <m/>
    <m/>
    <x v="2"/>
    <n v="1"/>
    <n v="30"/>
    <n v="30"/>
    <n v="30"/>
    <x v="2"/>
  </r>
  <r>
    <n v="336"/>
    <x v="29"/>
    <x v="25"/>
    <x v="205"/>
    <s v="34.99196-8079"/>
    <s v="RUA PEDRO JOSE SAMORA, 1468, ANT 17 "/>
    <s v=" SANTA MONICA "/>
    <s v="38408-224"/>
    <m/>
    <m/>
    <x v="0"/>
    <n v="2"/>
    <n v="30"/>
    <n v="60"/>
    <n v="60"/>
    <x v="2"/>
  </r>
  <r>
    <n v="335"/>
    <x v="29"/>
    <x v="25"/>
    <x v="204"/>
    <s v="34.99166-0731"/>
    <s v="RUA MARQUES POVOA, 456"/>
    <s v=" OSVALDO RESENDE "/>
    <s v="38400-438"/>
    <m/>
    <m/>
    <x v="1"/>
    <n v="1"/>
    <n v="30"/>
    <n v="30"/>
    <n v="30"/>
    <x v="2"/>
  </r>
  <r>
    <n v="334"/>
    <x v="29"/>
    <x v="29"/>
    <x v="299"/>
    <s v="3215-5995"/>
    <s v="Av ipê 198 b sol Iracema"/>
    <s v="Morada do Sol "/>
    <s v="38415-516"/>
    <m/>
    <m/>
    <x v="1"/>
    <n v="1"/>
    <n v="30"/>
    <n v="30"/>
    <m/>
    <x v="1"/>
  </r>
  <r>
    <n v="333"/>
    <x v="29"/>
    <x v="29"/>
    <x v="140"/>
    <s v="9.9811-4187"/>
    <s v="Rua Tupaciguara 400 ap 701  - Entrega até 13h"/>
    <s v="APARECIDA"/>
    <s v="38400-618"/>
    <m/>
    <m/>
    <x v="0"/>
    <n v="1"/>
    <n v="30"/>
    <n v="30"/>
    <m/>
    <x v="1"/>
  </r>
  <r>
    <n v="332"/>
    <x v="30"/>
    <x v="28"/>
    <x v="255"/>
    <s v="34.99128-4121"/>
    <s v="R. RAUL PETRONILHO DE PÁDUA 187"/>
    <s v="GRANADA"/>
    <s v="38410-020"/>
    <m/>
    <m/>
    <x v="0"/>
    <n v="1"/>
    <n v="30"/>
    <n v="30"/>
    <m/>
    <x v="1"/>
  </r>
  <r>
    <n v="331"/>
    <x v="30"/>
    <x v="10"/>
    <x v="10"/>
    <s v="34.3213-2775"/>
    <s v="R. Pedro Quirino da Silva, 341 "/>
    <s v="MARTA HELENA "/>
    <s v="38402-075"/>
    <m/>
    <m/>
    <x v="1"/>
    <n v="1"/>
    <n v="30"/>
    <n v="30"/>
    <m/>
    <x v="1"/>
  </r>
  <r>
    <n v="330"/>
    <x v="30"/>
    <x v="10"/>
    <x v="60"/>
    <n v="0"/>
    <n v="0"/>
    <n v="0"/>
    <m/>
    <m/>
    <s v="RODOLFO"/>
    <x v="1"/>
    <n v="5"/>
    <n v="30"/>
    <n v="150"/>
    <m/>
    <x v="1"/>
  </r>
  <r>
    <n v="329"/>
    <x v="30"/>
    <x v="8"/>
    <x v="222"/>
    <n v="0"/>
    <n v="0"/>
    <n v="0"/>
    <m/>
    <m/>
    <s v="LEONIDAS"/>
    <x v="0"/>
    <n v="2"/>
    <n v="30"/>
    <n v="60"/>
    <m/>
    <x v="1"/>
  </r>
  <r>
    <n v="329"/>
    <x v="30"/>
    <x v="8"/>
    <x v="222"/>
    <n v="0"/>
    <n v="0"/>
    <n v="0"/>
    <m/>
    <m/>
    <s v="LEONIDAS"/>
    <x v="1"/>
    <n v="6"/>
    <n v="30"/>
    <n v="180"/>
    <m/>
    <x v="1"/>
  </r>
  <r>
    <n v="329"/>
    <x v="30"/>
    <x v="8"/>
    <x v="222"/>
    <n v="0"/>
    <n v="0"/>
    <n v="0"/>
    <m/>
    <m/>
    <s v="LEONIDAS"/>
    <x v="2"/>
    <n v="4"/>
    <n v="30"/>
    <n v="120"/>
    <m/>
    <x v="1"/>
  </r>
  <r>
    <n v="329"/>
    <x v="30"/>
    <x v="8"/>
    <x v="222"/>
    <n v="0"/>
    <n v="0"/>
    <n v="0"/>
    <m/>
    <m/>
    <s v="LEONIDAS"/>
    <x v="3"/>
    <n v="1"/>
    <n v="30"/>
    <n v="30"/>
    <m/>
    <x v="1"/>
  </r>
  <r>
    <n v="328"/>
    <x v="30"/>
    <x v="20"/>
    <x v="8"/>
    <s v="9.9149-1390"/>
    <n v="0"/>
    <s v="CEDEL"/>
    <m/>
    <m/>
    <s v="FÁBIO MATOS"/>
    <x v="2"/>
    <n v="2"/>
    <n v="30"/>
    <n v="60"/>
    <m/>
    <x v="1"/>
  </r>
  <r>
    <n v="328"/>
    <x v="30"/>
    <x v="20"/>
    <x v="8"/>
    <s v="9.9149-1390"/>
    <n v="0"/>
    <s v="CEDEL"/>
    <m/>
    <m/>
    <s v="FÁBIO MATOS"/>
    <x v="3"/>
    <n v="1"/>
    <n v="30"/>
    <n v="30"/>
    <m/>
    <x v="1"/>
  </r>
  <r>
    <n v="327"/>
    <x v="30"/>
    <x v="22"/>
    <x v="168"/>
    <s v="9.9141-7904"/>
    <n v="0"/>
    <n v="0"/>
    <m/>
    <m/>
    <m/>
    <x v="1"/>
    <n v="1"/>
    <n v="30"/>
    <n v="30"/>
    <m/>
    <x v="1"/>
  </r>
  <r>
    <n v="326"/>
    <x v="30"/>
    <x v="21"/>
    <x v="300"/>
    <s v="9.9293-4397"/>
    <s v="R. Joana Costa Ferreira, 253"/>
    <s v="NOVA UBERLÂNDIA"/>
    <s v="38412-757"/>
    <s v="LIGAR ANTES"/>
    <m/>
    <x v="1"/>
    <n v="1"/>
    <n v="30"/>
    <n v="30"/>
    <n v="30"/>
    <x v="2"/>
  </r>
  <r>
    <n v="325"/>
    <x v="30"/>
    <x v="21"/>
    <x v="301"/>
    <s v="9.9168-8081"/>
    <s v="Av João Pinheiro, 4670 Apto 103 D"/>
    <s v="UMUARAMA"/>
    <s v="38405-307"/>
    <s v="ENTREGAR 2ª FEIRA"/>
    <m/>
    <x v="1"/>
    <n v="1"/>
    <n v="30"/>
    <n v="30"/>
    <m/>
    <x v="1"/>
  </r>
  <r>
    <n v="324"/>
    <x v="30"/>
    <x v="21"/>
    <x v="302"/>
    <s v="9.8873-8732"/>
    <s v="R. Orozimbo Francisco Fernandes, 155 - Bloco 01 Apto 304"/>
    <s v="ROOSEVELT"/>
    <s v="38401-208"/>
    <m/>
    <m/>
    <x v="2"/>
    <n v="1"/>
    <n v="30"/>
    <n v="30"/>
    <m/>
    <x v="1"/>
  </r>
  <r>
    <n v="323"/>
    <x v="30"/>
    <x v="21"/>
    <x v="28"/>
    <s v="9.9694-0869"/>
    <s v="R. Ibiá, 127"/>
    <s v="OSVALDO REZENDE"/>
    <s v="38400-430"/>
    <m/>
    <m/>
    <x v="1"/>
    <n v="1"/>
    <n v="30"/>
    <n v="30"/>
    <m/>
    <x v="1"/>
  </r>
  <r>
    <n v="322"/>
    <x v="30"/>
    <x v="21"/>
    <x v="5"/>
    <s v="9.9120-3519"/>
    <s v="R. José Andraus, 738"/>
    <s v="MARTINS"/>
    <s v="38400-340"/>
    <m/>
    <m/>
    <x v="1"/>
    <n v="1"/>
    <n v="30"/>
    <n v="30"/>
    <m/>
    <x v="1"/>
  </r>
  <r>
    <n v="321"/>
    <x v="30"/>
    <x v="21"/>
    <x v="82"/>
    <s v="9.9665-5619"/>
    <s v="R. Ismael Gomes de Oliveira, 72"/>
    <s v="ALTO UMUARAMA"/>
    <s v="38405-380"/>
    <m/>
    <m/>
    <x v="0"/>
    <n v="1"/>
    <n v="30"/>
    <n v="30"/>
    <m/>
    <x v="1"/>
  </r>
  <r>
    <n v="320"/>
    <x v="30"/>
    <x v="21"/>
    <x v="230"/>
    <s v="9.9991-0073"/>
    <s v="Rua Izídio Antônio da Silva, 47"/>
    <s v="ROOSEVELT"/>
    <s v="38401-132"/>
    <s v="LEVAR CESTA BÁSICA"/>
    <m/>
    <x v="1"/>
    <n v="1"/>
    <n v="30"/>
    <n v="30"/>
    <n v="30"/>
    <x v="2"/>
  </r>
  <r>
    <n v="319"/>
    <x v="30"/>
    <x v="21"/>
    <x v="229"/>
    <s v="9.9992-1905"/>
    <s v="Rua Patrulheiro Osmar Tavares, 989"/>
    <s v="SANTA MONICA"/>
    <s v="38408-294"/>
    <s v="LIGAR ANTES"/>
    <m/>
    <x v="1"/>
    <n v="2"/>
    <n v="30"/>
    <n v="60"/>
    <m/>
    <x v="1"/>
  </r>
  <r>
    <n v="318"/>
    <x v="30"/>
    <x v="21"/>
    <x v="197"/>
    <s v=" 9.9244-8198"/>
    <s v="R. dos Pandeiros, 101"/>
    <s v="TAIAMAN"/>
    <s v="38415-084"/>
    <m/>
    <m/>
    <x v="0"/>
    <n v="1"/>
    <n v="30"/>
    <n v="30"/>
    <m/>
    <x v="1"/>
  </r>
  <r>
    <n v="317"/>
    <x v="30"/>
    <x v="21"/>
    <x v="22"/>
    <s v="34.99977-5669"/>
    <s v="R. Waterloo Pereira Alves, 73 "/>
    <s v=" JD. PATRÍCIA "/>
    <s v="38414-172"/>
    <s v="LIGAR ANTES"/>
    <m/>
    <x v="2"/>
    <n v="1"/>
    <n v="30"/>
    <n v="30"/>
    <m/>
    <x v="1"/>
  </r>
  <r>
    <n v="316"/>
    <x v="30"/>
    <x v="21"/>
    <x v="98"/>
    <s v="9.9991-4357"/>
    <s v="R. Michele Virno, 4093"/>
    <s v="CUSTÓDIO PEREIRA"/>
    <s v="38405-190"/>
    <s v="1/2 MUSS // 1/2 CALABRESA"/>
    <m/>
    <x v="4"/>
    <n v="1"/>
    <n v="30"/>
    <n v="30"/>
    <m/>
    <x v="1"/>
  </r>
  <r>
    <n v="315"/>
    <x v="30"/>
    <x v="21"/>
    <x v="263"/>
    <s v=" 3214-4522 / 34.99996-0527"/>
    <s v="R.Cel Antônio Alves Pereira, 1874"/>
    <s v=" SARAIVA "/>
    <s v="38408-370"/>
    <m/>
    <m/>
    <x v="2"/>
    <n v="1"/>
    <n v="30"/>
    <n v="30"/>
    <m/>
    <x v="1"/>
  </r>
  <r>
    <n v="314"/>
    <x v="30"/>
    <x v="21"/>
    <x v="231"/>
    <s v="9.9969-9388"/>
    <s v="Av. Constelação, 791"/>
    <s v=" JD. BRASÍLIA "/>
    <s v="38401-478"/>
    <s v="LIGAR, NÃO TEM CAMPAINHA"/>
    <m/>
    <x v="1"/>
    <n v="2"/>
    <n v="30"/>
    <n v="60"/>
    <n v="60"/>
    <x v="2"/>
  </r>
  <r>
    <n v="314"/>
    <x v="30"/>
    <x v="21"/>
    <x v="231"/>
    <s v="9.9969-9388"/>
    <s v="Av. Constelação, 791"/>
    <s v=" JD. BRASÍLIA "/>
    <s v="38401-478"/>
    <s v="LIGAR, NÃO TEM CAMPAINHA"/>
    <m/>
    <x v="3"/>
    <n v="1"/>
    <n v="30"/>
    <n v="30"/>
    <n v="30"/>
    <x v="2"/>
  </r>
  <r>
    <n v="313"/>
    <x v="30"/>
    <x v="21"/>
    <x v="264"/>
    <s v=" 34.3237-4538/ 34.99129-2747"/>
    <s v="R. Sebastião Rangel, 593"/>
    <s v="SANTA MONICA"/>
    <s v="38408-250"/>
    <m/>
    <m/>
    <x v="2"/>
    <n v="1"/>
    <n v="30"/>
    <n v="30"/>
    <m/>
    <x v="1"/>
  </r>
  <r>
    <n v="312"/>
    <x v="30"/>
    <x v="21"/>
    <x v="232"/>
    <s v="34.99240-5393"/>
    <s v="R. Rio de Janeiro, 932 apto 101"/>
    <s v=" BRASIL "/>
    <s v="38400-658"/>
    <m/>
    <m/>
    <x v="0"/>
    <n v="1"/>
    <n v="30"/>
    <n v="30"/>
    <m/>
    <x v="1"/>
  </r>
  <r>
    <n v="311"/>
    <x v="30"/>
    <x v="21"/>
    <x v="171"/>
    <s v="34.99222-7189"/>
    <s v="Av. José Fonseca e Silva, 210"/>
    <s v=" LUIZOTE DE FREITAS "/>
    <s v="38414-348"/>
    <m/>
    <m/>
    <x v="1"/>
    <n v="1"/>
    <n v="30"/>
    <n v="30"/>
    <m/>
    <x v="1"/>
  </r>
  <r>
    <n v="310"/>
    <x v="30"/>
    <x v="21"/>
    <x v="30"/>
    <s v="3213-3201/ 9.9211-0864"/>
    <s v="Av. Clara Camarão, 427"/>
    <s v="N.Sra Graças"/>
    <s v="38402-010"/>
    <m/>
    <m/>
    <x v="1"/>
    <n v="1"/>
    <n v="30"/>
    <n v="30"/>
    <m/>
    <x v="1"/>
  </r>
  <r>
    <n v="310"/>
    <x v="30"/>
    <x v="21"/>
    <x v="30"/>
    <s v="3213-3201/ 9.9211-0864"/>
    <s v="Av. Clara Camarão, 427"/>
    <s v="N.Sra Graças"/>
    <s v="38402-010"/>
    <m/>
    <m/>
    <x v="2"/>
    <n v="1"/>
    <n v="30"/>
    <n v="30"/>
    <m/>
    <x v="1"/>
  </r>
  <r>
    <n v="309"/>
    <x v="30"/>
    <x v="21"/>
    <x v="19"/>
    <s v=" 34.99155-5564 / 34.3215-1758"/>
    <s v="Av. Cesário Crosara, 3525"/>
    <s v=" ROOSEVELT "/>
    <s v="38401-119"/>
    <m/>
    <m/>
    <x v="3"/>
    <n v="1"/>
    <n v="30"/>
    <n v="30"/>
    <m/>
    <x v="1"/>
  </r>
  <r>
    <n v="308"/>
    <x v="30"/>
    <x v="21"/>
    <x v="215"/>
    <s v="34.98861-0155  34.3231-1098"/>
    <s v="Av Alexandre Ribeiro Guimarães, 603"/>
    <s v=" SANTA MARIA "/>
    <s v="38408-050"/>
    <m/>
    <m/>
    <x v="1"/>
    <n v="1"/>
    <n v="30"/>
    <n v="30"/>
    <m/>
    <x v="1"/>
  </r>
  <r>
    <n v="307"/>
    <x v="30"/>
    <x v="21"/>
    <x v="216"/>
    <n v="0"/>
    <n v="0"/>
    <n v="0"/>
    <m/>
    <m/>
    <s v="CEDEL"/>
    <x v="2"/>
    <n v="1"/>
    <n v="30"/>
    <n v="30"/>
    <n v="30"/>
    <x v="2"/>
  </r>
  <r>
    <n v="306"/>
    <x v="30"/>
    <x v="21"/>
    <x v="234"/>
    <s v="9.9670-9884"/>
    <s v="R. Agesilau Paschoal Greco, 318"/>
    <s v="MORADA DA COLINA"/>
    <s v="38411-112"/>
    <m/>
    <m/>
    <x v="3"/>
    <n v="1"/>
    <n v="30"/>
    <n v="30"/>
    <n v="30"/>
    <x v="2"/>
  </r>
  <r>
    <n v="305"/>
    <x v="30"/>
    <x v="21"/>
    <x v="12"/>
    <s v="9.9670-9884"/>
    <s v="R. Agesilau Paschoal Greco, 318"/>
    <s v="MORADA DA COLINA"/>
    <s v="38411-112"/>
    <m/>
    <m/>
    <x v="2"/>
    <n v="3"/>
    <n v="30"/>
    <n v="90"/>
    <n v="90"/>
    <x v="2"/>
  </r>
  <r>
    <n v="304"/>
    <x v="30"/>
    <x v="21"/>
    <x v="32"/>
    <s v="9.9171-4462"/>
    <s v="R. Monlevade, 852"/>
    <s v="DANIEL FONSECA"/>
    <s v="38400-320"/>
    <s v="Entregar domingo à noite ou 2ª"/>
    <m/>
    <x v="2"/>
    <n v="2"/>
    <n v="30"/>
    <n v="60"/>
    <m/>
    <x v="1"/>
  </r>
  <r>
    <n v="303"/>
    <x v="30"/>
    <x v="21"/>
    <x v="266"/>
    <s v="34.99148-4283"/>
    <s v="R. Jade, 45 "/>
    <s v="JD. BOTÂNICO"/>
    <s v="38411-634"/>
    <m/>
    <m/>
    <x v="2"/>
    <n v="1"/>
    <n v="30"/>
    <n v="30"/>
    <m/>
    <x v="1"/>
  </r>
  <r>
    <n v="302"/>
    <x v="30"/>
    <x v="21"/>
    <x v="217"/>
    <s v="34.99195-9740"/>
    <s v="Av. Belo Horizonte, 1786 - esquina c/ R. Lambari"/>
    <s v=" OSVALDO RESENDE "/>
    <s v="38400-454"/>
    <m/>
    <m/>
    <x v="0"/>
    <n v="2"/>
    <n v="30"/>
    <n v="60"/>
    <m/>
    <x v="1"/>
  </r>
  <r>
    <n v="301"/>
    <x v="30"/>
    <x v="21"/>
    <x v="173"/>
    <s v="9.9892-3746"/>
    <s v="Alameda Durval Carrijo, 550"/>
    <s v="MORADA DA COLINA"/>
    <s v="38411-138"/>
    <s v="1/2 muss // 1/2 calabresa"/>
    <m/>
    <x v="4"/>
    <n v="1"/>
    <n v="30"/>
    <n v="30"/>
    <m/>
    <x v="1"/>
  </r>
  <r>
    <n v="300"/>
    <x v="30"/>
    <x v="21"/>
    <x v="10"/>
    <s v="34.3213-2775"/>
    <s v="R. Pedro Quirino da Silva, 341 "/>
    <s v="MARTA HELENA "/>
    <s v="38402-075"/>
    <m/>
    <m/>
    <x v="1"/>
    <n v="5"/>
    <n v="30"/>
    <n v="150"/>
    <n v="150"/>
    <x v="2"/>
  </r>
  <r>
    <n v="299"/>
    <x v="30"/>
    <x v="21"/>
    <x v="31"/>
    <s v="9.8899-1860"/>
    <s v="R. Engenheiro Hélvio Félici, 250"/>
    <s v="MORADA DA COLINA"/>
    <s v="38411-114"/>
    <m/>
    <m/>
    <x v="2"/>
    <n v="1"/>
    <n v="30"/>
    <n v="30"/>
    <m/>
    <x v="1"/>
  </r>
  <r>
    <n v="298"/>
    <x v="30"/>
    <x v="21"/>
    <x v="76"/>
    <s v="34.98878-1706"/>
    <s v="R. Athos Paranhos Veloso, 1706"/>
    <s v=" TUBALINA "/>
    <s v="38412-076"/>
    <m/>
    <m/>
    <x v="1"/>
    <n v="1"/>
    <n v="30"/>
    <n v="30"/>
    <m/>
    <x v="1"/>
  </r>
  <r>
    <n v="297"/>
    <x v="30"/>
    <x v="18"/>
    <x v="287"/>
    <s v="9.9679-6465"/>
    <s v="AL. JOÃO PEREIRA DE CARVALHO 315"/>
    <s v="JD. DAS PALMEIRAS"/>
    <s v="38412-864"/>
    <m/>
    <m/>
    <x v="1"/>
    <n v="1"/>
    <n v="30"/>
    <n v="30"/>
    <m/>
    <x v="1"/>
  </r>
  <r>
    <n v="296"/>
    <x v="30"/>
    <x v="18"/>
    <x v="49"/>
    <n v="0"/>
    <s v="Rua José Pires Defensor, 600, Casa 28"/>
    <n v="0"/>
    <m/>
    <m/>
    <s v="MI/LEANDRO"/>
    <x v="1"/>
    <n v="2"/>
    <n v="30"/>
    <n v="60"/>
    <m/>
    <x v="1"/>
  </r>
  <r>
    <n v="295"/>
    <x v="30"/>
    <x v="2"/>
    <x v="61"/>
    <s v="34.9948-0722"/>
    <s v="R. Orozimbo José Ferreira"/>
    <s v="APARECIDA"/>
    <s v="38400-774"/>
    <m/>
    <s v="PRISCILLA"/>
    <x v="0"/>
    <n v="1"/>
    <n v="30"/>
    <n v="30"/>
    <m/>
    <x v="1"/>
  </r>
  <r>
    <n v="295"/>
    <x v="30"/>
    <x v="2"/>
    <x v="61"/>
    <s v="34.9948-0722"/>
    <s v="R. Orozimbo José Ferreira"/>
    <s v="APARECIDA"/>
    <s v="38400-774"/>
    <m/>
    <s v="PRISCILLA"/>
    <x v="1"/>
    <n v="3"/>
    <n v="30"/>
    <n v="90"/>
    <m/>
    <x v="1"/>
  </r>
  <r>
    <n v="294"/>
    <x v="31"/>
    <x v="21"/>
    <x v="235"/>
    <s v="3232-9278"/>
    <s v="R. Feliciano de Moraes, 139"/>
    <s v="APARECIDA"/>
    <s v="38400-684"/>
    <m/>
    <m/>
    <x v="1"/>
    <n v="1"/>
    <n v="30"/>
    <n v="30"/>
    <m/>
    <x v="1"/>
  </r>
  <r>
    <n v="293"/>
    <x v="31"/>
    <x v="21"/>
    <x v="300"/>
    <s v="9.9293-4397"/>
    <s v="R. Joana Costa Ferreira, 253"/>
    <s v="NOVA UBERLÂNDIA"/>
    <s v="38412-757"/>
    <m/>
    <m/>
    <x v="1"/>
    <n v="1"/>
    <n v="30"/>
    <n v="30"/>
    <n v="30"/>
    <x v="2"/>
  </r>
  <r>
    <m/>
    <x v="31"/>
    <x v="21"/>
    <x v="303"/>
    <s v="9.9662-0380"/>
    <s v="Rua Cristovão Marra, 810"/>
    <s v="TIBERY"/>
    <s v="38405-106"/>
    <m/>
    <m/>
    <x v="1"/>
    <n v="1"/>
    <n v="30"/>
    <n v="30"/>
    <n v="30"/>
    <x v="2"/>
  </r>
  <r>
    <m/>
    <x v="31"/>
    <x v="21"/>
    <x v="304"/>
    <s v="9.9182-4610"/>
    <s v="Rua do Feirante, 80 Fundos"/>
    <s v="PLANALTO"/>
    <s v="38413-153"/>
    <m/>
    <m/>
    <x v="1"/>
    <n v="1"/>
    <n v="30"/>
    <n v="30"/>
    <n v="30"/>
    <x v="2"/>
  </r>
  <r>
    <m/>
    <x v="31"/>
    <x v="21"/>
    <x v="305"/>
    <s v="9.9239-4287"/>
    <s v="R. Tunísia, 114 casa 1"/>
    <s v="TIBERY"/>
    <s v="38405-068"/>
    <s v="+ LEITE/FRALDA"/>
    <m/>
    <x v="1"/>
    <n v="1"/>
    <n v="30"/>
    <n v="30"/>
    <n v="30"/>
    <x v="2"/>
  </r>
  <r>
    <m/>
    <x v="31"/>
    <x v="21"/>
    <x v="229"/>
    <s v="9.9992-1905"/>
    <s v="Rua Patrulheiro Osmar Tavares, 989"/>
    <s v="SANTA MONICA"/>
    <s v="38408-294"/>
    <m/>
    <m/>
    <x v="3"/>
    <n v="1"/>
    <n v="30"/>
    <n v="30"/>
    <m/>
    <x v="1"/>
  </r>
  <r>
    <m/>
    <x v="31"/>
    <x v="21"/>
    <x v="159"/>
    <s v="9.9991-0073"/>
    <s v="Rua Izídio Antônio da Silva, 47"/>
    <s v="ROOSEVELT"/>
    <s v="38401-132"/>
    <s v="+ CESTA BÁSICA"/>
    <m/>
    <x v="1"/>
    <n v="1"/>
    <n v="30"/>
    <n v="30"/>
    <n v="30"/>
    <x v="2"/>
  </r>
  <r>
    <m/>
    <x v="31"/>
    <x v="21"/>
    <x v="159"/>
    <s v="9.9683-8488"/>
    <s v="Rua Piauí, 2866"/>
    <s v="CUSTÓDIO PEREIRA"/>
    <s v="38405-244"/>
    <m/>
    <m/>
    <x v="2"/>
    <n v="1"/>
    <n v="30"/>
    <n v="30"/>
    <n v="30"/>
    <x v="2"/>
  </r>
  <r>
    <m/>
    <x v="31"/>
    <x v="21"/>
    <x v="159"/>
    <s v="9.9830-2766"/>
    <n v="0"/>
    <n v="0"/>
    <m/>
    <m/>
    <s v="CEDEL"/>
    <x v="1"/>
    <n v="1"/>
    <n v="30"/>
    <n v="30"/>
    <m/>
    <x v="1"/>
  </r>
  <r>
    <m/>
    <x v="31"/>
    <x v="21"/>
    <x v="159"/>
    <s v="9.9991-4357"/>
    <s v="R. Michele Virno, 4093"/>
    <s v="CUSTÓDIO PEREIRA"/>
    <s v="38405-190"/>
    <m/>
    <m/>
    <x v="4"/>
    <n v="1"/>
    <n v="30"/>
    <n v="30"/>
    <m/>
    <x v="1"/>
  </r>
  <r>
    <m/>
    <x v="31"/>
    <x v="21"/>
    <x v="159"/>
    <s v="9.9969-9388"/>
    <s v="Av. Constelação, 791"/>
    <s v=" JD. BRASÍLIA "/>
    <s v="38401-478"/>
    <m/>
    <m/>
    <x v="1"/>
    <n v="1"/>
    <n v="30"/>
    <n v="30"/>
    <m/>
    <x v="1"/>
  </r>
  <r>
    <m/>
    <x v="31"/>
    <x v="21"/>
    <x v="159"/>
    <s v="9.9969-9388"/>
    <s v="Av. Constelação, 791"/>
    <s v=" JD. BRASÍLIA "/>
    <s v="38401-478"/>
    <m/>
    <m/>
    <x v="2"/>
    <n v="1"/>
    <n v="30"/>
    <n v="30"/>
    <m/>
    <x v="1"/>
  </r>
  <r>
    <m/>
    <x v="31"/>
    <x v="21"/>
    <x v="159"/>
    <s v=" 34.3237-4538/ 34.99129-2747"/>
    <s v="R. Sebastião Rangel, 593"/>
    <s v="SANTA MONICA"/>
    <s v="38408-250"/>
    <m/>
    <m/>
    <x v="2"/>
    <n v="1"/>
    <n v="30"/>
    <n v="30"/>
    <m/>
    <x v="1"/>
  </r>
  <r>
    <m/>
    <x v="31"/>
    <x v="21"/>
    <x v="159"/>
    <s v="34.99240-5393"/>
    <s v="R. Rio de Janeiro, 932 apto 101"/>
    <s v=" BRASIL "/>
    <s v="38400-658"/>
    <m/>
    <m/>
    <x v="0"/>
    <n v="1"/>
    <n v="30"/>
    <n v="30"/>
    <m/>
    <x v="1"/>
  </r>
  <r>
    <m/>
    <x v="31"/>
    <x v="21"/>
    <x v="159"/>
    <s v="34.99222-7189"/>
    <s v="Av. José Fonseca e Silva, 210"/>
    <s v=" LUIZOTE DE FREITAS "/>
    <s v="38414-348"/>
    <m/>
    <m/>
    <x v="1"/>
    <n v="1"/>
    <n v="30"/>
    <n v="30"/>
    <m/>
    <x v="1"/>
  </r>
  <r>
    <m/>
    <x v="31"/>
    <x v="21"/>
    <x v="159"/>
    <s v="3213-3201/ 9.9211-0864"/>
    <s v="Av. Clara Camarão, 427"/>
    <s v="N.Sra Graças"/>
    <s v="38402-010"/>
    <m/>
    <m/>
    <x v="1"/>
    <n v="1"/>
    <n v="30"/>
    <n v="30"/>
    <m/>
    <x v="1"/>
  </r>
  <r>
    <m/>
    <x v="31"/>
    <x v="21"/>
    <x v="159"/>
    <s v="3213-3201/ 9.9211-0864"/>
    <s v="Av. Clara Camarão, 427"/>
    <s v="N.Sra Graças"/>
    <s v="38402-010"/>
    <m/>
    <m/>
    <x v="2"/>
    <n v="1"/>
    <n v="30"/>
    <n v="30"/>
    <m/>
    <x v="1"/>
  </r>
  <r>
    <n v="279"/>
    <x v="31"/>
    <x v="21"/>
    <x v="11"/>
    <s v="9.9132-9676"/>
    <s v="R. Melo Viana, 233 esq. R. Eduardo Marquês"/>
    <s v="MARTINS"/>
    <s v="38400-376"/>
    <m/>
    <m/>
    <x v="1"/>
    <n v="1"/>
    <n v="30"/>
    <n v="30"/>
    <m/>
    <x v="1"/>
  </r>
  <r>
    <n v="278"/>
    <x v="31"/>
    <x v="21"/>
    <x v="19"/>
    <s v=" 34.99155-5564 / 34.3215-1758"/>
    <s v="Av. Cesário Crosara, 3525"/>
    <s v=" ROOSEVELT "/>
    <s v="38401-119"/>
    <m/>
    <m/>
    <x v="3"/>
    <n v="1"/>
    <n v="30"/>
    <n v="30"/>
    <m/>
    <x v="1"/>
  </r>
  <r>
    <n v="277"/>
    <x v="31"/>
    <x v="21"/>
    <x v="215"/>
    <s v="34.98861-0155  34.3231-1098"/>
    <s v="Av Alexandre Ribeiro Guimarães, 603"/>
    <s v=" SANTA MARIA "/>
    <s v="38408-050"/>
    <m/>
    <m/>
    <x v="1"/>
    <n v="1"/>
    <n v="30"/>
    <n v="30"/>
    <m/>
    <x v="1"/>
  </r>
  <r>
    <n v="276"/>
    <x v="31"/>
    <x v="21"/>
    <x v="216"/>
    <n v="0"/>
    <n v="0"/>
    <n v="0"/>
    <m/>
    <m/>
    <s v="CEDEL"/>
    <x v="2"/>
    <n v="1"/>
    <n v="30"/>
    <n v="30"/>
    <m/>
    <x v="1"/>
  </r>
  <r>
    <n v="275"/>
    <x v="31"/>
    <x v="21"/>
    <x v="12"/>
    <n v="0"/>
    <n v="0"/>
    <n v="0"/>
    <m/>
    <m/>
    <s v="MARIA LÚCIA"/>
    <x v="2"/>
    <n v="5"/>
    <n v="30"/>
    <n v="150"/>
    <m/>
    <x v="1"/>
  </r>
  <r>
    <n v="274"/>
    <x v="31"/>
    <x v="21"/>
    <x v="32"/>
    <s v="9.9171-4462"/>
    <s v="R. Monlevade, 852"/>
    <s v="DANIEL FONSECA"/>
    <s v="38400-320"/>
    <m/>
    <m/>
    <x v="2"/>
    <n v="1"/>
    <n v="30"/>
    <n v="30"/>
    <m/>
    <x v="1"/>
  </r>
  <r>
    <n v="273"/>
    <x v="31"/>
    <x v="21"/>
    <x v="306"/>
    <n v="0"/>
    <n v="0"/>
    <n v="0"/>
    <m/>
    <m/>
    <m/>
    <x v="4"/>
    <n v="1"/>
    <n v="30"/>
    <n v="30"/>
    <m/>
    <x v="1"/>
  </r>
  <r>
    <n v="272"/>
    <x v="31"/>
    <x v="21"/>
    <x v="10"/>
    <s v="34.3213-2775"/>
    <s v="R. Pedro Quirino da Silva, 341 "/>
    <s v="MARTA HELENA "/>
    <s v="38402-075"/>
    <m/>
    <m/>
    <x v="1"/>
    <n v="5"/>
    <n v="30"/>
    <n v="150"/>
    <n v="150"/>
    <x v="2"/>
  </r>
  <r>
    <n v="271"/>
    <x v="31"/>
    <x v="21"/>
    <x v="115"/>
    <s v="9.9149-9388"/>
    <s v="Av. Araguari, 255 apto 101 Bloco 3"/>
    <s v="MARTINS"/>
    <s v="38400-464"/>
    <m/>
    <m/>
    <x v="1"/>
    <n v="1"/>
    <n v="30"/>
    <n v="30"/>
    <m/>
    <x v="1"/>
  </r>
  <r>
    <n v="270"/>
    <x v="31"/>
    <x v="21"/>
    <x v="31"/>
    <s v="9.8899-1860"/>
    <n v="0"/>
    <n v="0"/>
    <m/>
    <m/>
    <s v="MARIA LÚCIA"/>
    <x v="2"/>
    <n v="1"/>
    <n v="30"/>
    <n v="30"/>
    <m/>
    <x v="1"/>
  </r>
  <r>
    <n v="269"/>
    <x v="31"/>
    <x v="21"/>
    <x v="236"/>
    <s v="34.99960-3309"/>
    <s v="R. dos Girassóis, 50"/>
    <s v=" CIDADE JARDIM "/>
    <s v="38412-140"/>
    <m/>
    <m/>
    <x v="1"/>
    <n v="1"/>
    <n v="30"/>
    <n v="30"/>
    <m/>
    <x v="1"/>
  </r>
  <r>
    <n v="268"/>
    <x v="32"/>
    <x v="18"/>
    <x v="134"/>
    <s v="9.9634-0246"/>
    <s v="Rua José Miguel Saramago, 63, Casa 02"/>
    <s v="SANTA MÔNICA"/>
    <s v="38408-222"/>
    <m/>
    <m/>
    <x v="1"/>
    <n v="1"/>
    <n v="30"/>
    <n v="30"/>
    <m/>
    <x v="1"/>
  </r>
  <r>
    <n v="267"/>
    <x v="32"/>
    <x v="18"/>
    <x v="287"/>
    <s v="9.9679-6465"/>
    <s v="AL. JOÃO PEREIRA DE CARVALHO 315"/>
    <s v="JD. DAS PALMEIRAS"/>
    <s v="38412-864"/>
    <m/>
    <s v="MI/LEANDRO"/>
    <x v="1"/>
    <n v="2"/>
    <n v="30"/>
    <n v="60"/>
    <m/>
    <x v="1"/>
  </r>
  <r>
    <n v="266"/>
    <x v="32"/>
    <x v="18"/>
    <x v="49"/>
    <n v="0"/>
    <s v="Rua José Pires Defensor, 600, Casa 28"/>
    <n v="0"/>
    <m/>
    <m/>
    <s v="MI/LEANDRO"/>
    <x v="1"/>
    <n v="1"/>
    <n v="30"/>
    <n v="30"/>
    <m/>
    <x v="1"/>
  </r>
  <r>
    <n v="265"/>
    <x v="32"/>
    <x v="18"/>
    <x v="307"/>
    <s v="9.9971-2237"/>
    <s v="R. ONOFRE GONÇALVES BATISTA 260"/>
    <s v="SANTA ROSA"/>
    <s v="38401-257"/>
    <m/>
    <s v="MI/LEANDRO"/>
    <x v="1"/>
    <n v="1"/>
    <n v="30"/>
    <n v="30"/>
    <m/>
    <x v="1"/>
  </r>
  <r>
    <n v="264"/>
    <x v="32"/>
    <x v="18"/>
    <x v="200"/>
    <s v="9.9684-7889"/>
    <s v="AV. IMBAÚBA 2200 BL03 AP404"/>
    <s v="JARAGUÁ"/>
    <s v="38413-108"/>
    <m/>
    <s v="MI/LEANDRO"/>
    <x v="1"/>
    <n v="1"/>
    <n v="30"/>
    <n v="30"/>
    <m/>
    <x v="1"/>
  </r>
  <r>
    <n v="263"/>
    <x v="32"/>
    <x v="18"/>
    <x v="308"/>
    <s v="9.9976-8255"/>
    <s v="R. do Borracheiro, 221"/>
    <s v="PLANALTO"/>
    <s v="38413-222"/>
    <m/>
    <s v="MI/LEANDRO"/>
    <x v="1"/>
    <n v="1"/>
    <n v="30"/>
    <n v="30"/>
    <m/>
    <x v="1"/>
  </r>
  <r>
    <n v="262"/>
    <x v="32"/>
    <x v="22"/>
    <x v="168"/>
    <s v="9.9141-7904"/>
    <n v="0"/>
    <n v="0"/>
    <m/>
    <m/>
    <s v="MARIA ADRIANA VIDIGAL "/>
    <x v="0"/>
    <n v="2"/>
    <n v="30"/>
    <n v="60"/>
    <m/>
    <x v="1"/>
  </r>
  <r>
    <n v="261"/>
    <x v="32"/>
    <x v="26"/>
    <x v="252"/>
    <s v="9.9205-9575"/>
    <n v="0"/>
    <n v="0"/>
    <m/>
    <m/>
    <s v="FERNANDA SPOSITO"/>
    <x v="1"/>
    <n v="6"/>
    <n v="30"/>
    <n v="180"/>
    <m/>
    <x v="1"/>
  </r>
  <r>
    <n v="261"/>
    <x v="32"/>
    <x v="26"/>
    <x v="252"/>
    <s v="9.9205-9575"/>
    <n v="0"/>
    <n v="0"/>
    <m/>
    <m/>
    <s v="FERNANDA SPOSITO"/>
    <x v="2"/>
    <n v="2"/>
    <n v="30"/>
    <n v="60"/>
    <m/>
    <x v="1"/>
  </r>
  <r>
    <n v="261"/>
    <x v="32"/>
    <x v="26"/>
    <x v="252"/>
    <s v="9.9205-9575"/>
    <n v="0"/>
    <n v="0"/>
    <m/>
    <m/>
    <s v="FERNANDA SPOSITO"/>
    <x v="3"/>
    <n v="1"/>
    <n v="30"/>
    <n v="30"/>
    <m/>
    <x v="1"/>
  </r>
  <r>
    <n v="260"/>
    <x v="32"/>
    <x v="8"/>
    <x v="222"/>
    <n v="0"/>
    <n v="0"/>
    <n v="0"/>
    <m/>
    <m/>
    <s v="LEONIDAS"/>
    <x v="0"/>
    <n v="3"/>
    <n v="30"/>
    <n v="90"/>
    <m/>
    <x v="1"/>
  </r>
  <r>
    <n v="260"/>
    <x v="32"/>
    <x v="8"/>
    <x v="222"/>
    <n v="0"/>
    <n v="0"/>
    <n v="0"/>
    <m/>
    <m/>
    <s v="LEONIDAS"/>
    <x v="1"/>
    <n v="3"/>
    <n v="30"/>
    <n v="90"/>
    <m/>
    <x v="1"/>
  </r>
  <r>
    <n v="260"/>
    <x v="32"/>
    <x v="8"/>
    <x v="222"/>
    <n v="0"/>
    <n v="0"/>
    <n v="0"/>
    <m/>
    <m/>
    <s v="LEONIDAS"/>
    <x v="2"/>
    <n v="4"/>
    <n v="30"/>
    <n v="120"/>
    <m/>
    <x v="1"/>
  </r>
  <r>
    <n v="259"/>
    <x v="32"/>
    <x v="10"/>
    <x v="10"/>
    <s v="34.3213-2775"/>
    <s v="R. Pedro Quirino da Silva, 341 "/>
    <s v="MARTA HELENA "/>
    <s v="38402-075"/>
    <m/>
    <m/>
    <x v="1"/>
    <n v="1"/>
    <n v="30"/>
    <n v="30"/>
    <m/>
    <x v="1"/>
  </r>
  <r>
    <n v="185"/>
    <x v="33"/>
    <x v="17"/>
    <x v="190"/>
    <s v="34.99286-0302"/>
    <s v="Rua Luiz Dela Pena, 382"/>
    <s v="MARTINS"/>
    <m/>
    <m/>
    <m/>
    <x v="1"/>
    <n v="1"/>
    <n v="30"/>
    <n v="30"/>
    <m/>
    <x v="1"/>
  </r>
  <r>
    <n v="182"/>
    <x v="33"/>
    <x v="17"/>
    <x v="59"/>
    <n v="0"/>
    <n v="0"/>
    <n v="0"/>
    <m/>
    <m/>
    <s v="CEDEL"/>
    <x v="1"/>
    <n v="2"/>
    <n v="30"/>
    <n v="60"/>
    <m/>
    <x v="1"/>
  </r>
  <r>
    <n v="181"/>
    <x v="33"/>
    <x v="17"/>
    <x v="207"/>
    <s v="34.99147-8758"/>
    <n v="0"/>
    <n v="0"/>
    <m/>
    <m/>
    <s v="CEDEL"/>
    <x v="0"/>
    <n v="2"/>
    <n v="30"/>
    <n v="60"/>
    <m/>
    <x v="1"/>
  </r>
  <r>
    <n v="179"/>
    <x v="33"/>
    <x v="17"/>
    <x v="269"/>
    <s v="99990-2430"/>
    <s v="R. JOSÉ OLIVEIRA PINTO 34 "/>
    <s v="TUBALINA"/>
    <m/>
    <m/>
    <m/>
    <x v="1"/>
    <n v="1"/>
    <n v="30"/>
    <n v="30"/>
    <m/>
    <x v="1"/>
  </r>
  <r>
    <n v="178"/>
    <x v="33"/>
    <x v="17"/>
    <x v="309"/>
    <n v="0"/>
    <s v="AV. CESARIO CROSARA 2507 "/>
    <s v="ROOSEVELT"/>
    <m/>
    <s v="MESMO END VALÉRIA"/>
    <m/>
    <x v="1"/>
    <n v="1"/>
    <n v="30"/>
    <n v="30"/>
    <m/>
    <x v="1"/>
  </r>
  <r>
    <n v="177"/>
    <x v="33"/>
    <x v="17"/>
    <x v="295"/>
    <s v="9.9978-0317"/>
    <s v="AV. CESARIO CROSARA 2507 "/>
    <s v="ROOSEVELT"/>
    <m/>
    <m/>
    <m/>
    <x v="0"/>
    <n v="1"/>
    <n v="30"/>
    <n v="30"/>
    <m/>
    <x v="1"/>
  </r>
  <r>
    <n v="177"/>
    <x v="33"/>
    <x v="17"/>
    <x v="295"/>
    <s v="9.9978-0317"/>
    <s v="AV. CESARIO CROSARA 2507 "/>
    <s v="ROOSEVELT"/>
    <m/>
    <m/>
    <m/>
    <x v="3"/>
    <n v="1"/>
    <n v="30"/>
    <n v="30"/>
    <m/>
    <x v="1"/>
  </r>
  <r>
    <n v="176"/>
    <x v="33"/>
    <x v="17"/>
    <x v="161"/>
    <s v="34.99669-6170"/>
    <n v="0"/>
    <n v="0"/>
    <m/>
    <s v="BUSCARÁ NA CASA DA REGINA MÃE GABRIEL"/>
    <s v="GABRIEL"/>
    <x v="2"/>
    <n v="4"/>
    <n v="30"/>
    <n v="120"/>
    <n v="120"/>
    <x v="2"/>
  </r>
  <r>
    <n v="174"/>
    <x v="33"/>
    <x v="30"/>
    <x v="94"/>
    <s v="9.9976-8255"/>
    <s v="R. Irene Rosa, 54"/>
    <s v="OSVALDO REZENDE"/>
    <m/>
    <m/>
    <m/>
    <x v="1"/>
    <n v="1"/>
    <n v="30"/>
    <n v="30"/>
    <m/>
    <x v="1"/>
  </r>
  <r>
    <n v="173"/>
    <x v="33"/>
    <x v="30"/>
    <x v="270"/>
    <s v="9.9673-3900"/>
    <s v="R. Pirapuã, 275"/>
    <s v="JD KARÍBA"/>
    <m/>
    <m/>
    <m/>
    <x v="0"/>
    <n v="1"/>
    <n v="30"/>
    <n v="30"/>
    <m/>
    <x v="1"/>
  </r>
  <r>
    <n v="172"/>
    <x v="33"/>
    <x v="30"/>
    <x v="200"/>
    <s v="9.9684-7889"/>
    <s v="AV. IMBAÚBA 2200 BL03 AP404"/>
    <s v="JARAGUÁ"/>
    <m/>
    <m/>
    <m/>
    <x v="1"/>
    <n v="1"/>
    <n v="30"/>
    <n v="30"/>
    <m/>
    <x v="1"/>
  </r>
  <r>
    <n v="171"/>
    <x v="33"/>
    <x v="30"/>
    <x v="49"/>
    <n v="0"/>
    <n v="0"/>
    <n v="0"/>
    <m/>
    <m/>
    <s v="MICHELE"/>
    <x v="1"/>
    <n v="1"/>
    <n v="30"/>
    <n v="30"/>
    <m/>
    <x v="1"/>
  </r>
  <r>
    <n v="169"/>
    <x v="33"/>
    <x v="30"/>
    <x v="184"/>
    <s v="9.8852-3585"/>
    <s v="R. João Ângelo Schiavinatto, 2220, apto 302 "/>
    <s v="SANTA MONICA"/>
    <m/>
    <m/>
    <m/>
    <x v="2"/>
    <n v="1"/>
    <n v="30"/>
    <n v="30"/>
    <m/>
    <x v="1"/>
  </r>
  <r>
    <n v="168"/>
    <x v="33"/>
    <x v="30"/>
    <x v="310"/>
    <s v="9.8421-2745"/>
    <s v="R. LUIZ ROBERTO ALCANTARA 1310 "/>
    <s v="ALTO UMUARAMA"/>
    <m/>
    <m/>
    <m/>
    <x v="1"/>
    <n v="1"/>
    <n v="30"/>
    <n v="30"/>
    <m/>
    <x v="1"/>
  </r>
  <r>
    <n v="166"/>
    <x v="33"/>
    <x v="7"/>
    <x v="40"/>
    <s v="34.98845-0023"/>
    <s v="Rua Prof. Ciro de Castro Almeida, 1576"/>
    <s v="CUSTÓDIO PEREIRA"/>
    <m/>
    <m/>
    <s v="GABRIEL"/>
    <x v="0"/>
    <n v="1"/>
    <n v="30"/>
    <n v="30"/>
    <n v="30"/>
    <x v="2"/>
  </r>
  <r>
    <n v="166"/>
    <x v="33"/>
    <x v="7"/>
    <x v="40"/>
    <s v="34.98845-0023"/>
    <s v="Rua Prof. Ciro de Castro Almeida, 1576"/>
    <s v="CUSTÓDIO PEREIRA"/>
    <m/>
    <m/>
    <s v="GABRIEL"/>
    <x v="1"/>
    <n v="1"/>
    <n v="30"/>
    <n v="30"/>
    <n v="30"/>
    <x v="2"/>
  </r>
  <r>
    <n v="166"/>
    <x v="33"/>
    <x v="7"/>
    <x v="40"/>
    <s v="34.98845-0023"/>
    <s v="Rua Prof. Ciro de Castro Almeida, 1576"/>
    <s v="CUSTÓDIO PEREIRA"/>
    <m/>
    <m/>
    <s v="GABRIEL"/>
    <x v="2"/>
    <n v="1"/>
    <n v="30"/>
    <n v="30"/>
    <n v="30"/>
    <x v="2"/>
  </r>
  <r>
    <n v="163"/>
    <x v="33"/>
    <x v="25"/>
    <x v="240"/>
    <s v="9.9215-5938"/>
    <s v="R. Joao Rodrigues Castro, 400"/>
    <s v="JARDIM PATRÍCIA"/>
    <m/>
    <m/>
    <m/>
    <x v="0"/>
    <n v="1"/>
    <n v="30"/>
    <n v="30"/>
    <m/>
    <x v="1"/>
  </r>
  <r>
    <n v="158"/>
    <x v="33"/>
    <x v="31"/>
    <x v="311"/>
    <s v="9.9241-0181"/>
    <s v="R. JOSÉ EURÍPEDES DUARTE 547"/>
    <s v="SEG PEREIRA"/>
    <m/>
    <m/>
    <m/>
    <x v="0"/>
    <n v="1"/>
    <n v="30"/>
    <n v="30"/>
    <m/>
    <x v="1"/>
  </r>
  <r>
    <n v="157"/>
    <x v="33"/>
    <x v="19"/>
    <x v="33"/>
    <s v="34.99942-3020"/>
    <s v="Rua Cipriano Del Favero 659 Aptº 1200  "/>
    <s v=" CENTRO "/>
    <m/>
    <m/>
    <m/>
    <x v="2"/>
    <n v="1"/>
    <n v="30"/>
    <n v="30"/>
    <m/>
    <x v="1"/>
  </r>
  <r>
    <n v="157"/>
    <x v="33"/>
    <x v="19"/>
    <x v="33"/>
    <s v="34.99942-3020"/>
    <s v="Rua Cipriano Del Favero 659 Aptº 1200  "/>
    <s v=" CENTRO "/>
    <m/>
    <m/>
    <m/>
    <x v="3"/>
    <n v="1"/>
    <n v="30"/>
    <n v="30"/>
    <m/>
    <x v="1"/>
  </r>
  <r>
    <n v="156"/>
    <x v="33"/>
    <x v="19"/>
    <x v="245"/>
    <n v="0"/>
    <n v="0"/>
    <n v="0"/>
    <m/>
    <m/>
    <s v="JOSÉ LUIZ"/>
    <x v="2"/>
    <n v="1"/>
    <n v="30"/>
    <n v="30"/>
    <m/>
    <x v="1"/>
  </r>
  <r>
    <n v="153"/>
    <x v="33"/>
    <x v="10"/>
    <x v="60"/>
    <n v="0"/>
    <n v="0"/>
    <n v="0"/>
    <m/>
    <m/>
    <s v="CEDEL"/>
    <x v="2"/>
    <n v="1"/>
    <n v="30"/>
    <n v="30"/>
    <m/>
    <x v="1"/>
  </r>
  <r>
    <n v="152"/>
    <x v="33"/>
    <x v="10"/>
    <x v="60"/>
    <n v="0"/>
    <n v="0"/>
    <n v="0"/>
    <m/>
    <m/>
    <s v="CEDEL"/>
    <x v="1"/>
    <n v="2"/>
    <n v="30"/>
    <n v="60"/>
    <m/>
    <x v="1"/>
  </r>
  <r>
    <n v="150"/>
    <x v="33"/>
    <x v="10"/>
    <x v="312"/>
    <n v="0"/>
    <n v="0"/>
    <n v="0"/>
    <m/>
    <s v="VER ENDEREÇO"/>
    <m/>
    <x v="1"/>
    <n v="1"/>
    <n v="30"/>
    <n v="30"/>
    <m/>
    <x v="1"/>
  </r>
  <r>
    <n v="150"/>
    <x v="33"/>
    <x v="10"/>
    <x v="312"/>
    <n v="0"/>
    <n v="0"/>
    <n v="0"/>
    <m/>
    <s v="VER ENDEREÇO"/>
    <m/>
    <x v="2"/>
    <n v="1"/>
    <n v="30"/>
    <n v="30"/>
    <m/>
    <x v="1"/>
  </r>
  <r>
    <n v="149"/>
    <x v="33"/>
    <x v="12"/>
    <x v="75"/>
    <n v="0"/>
    <n v="0"/>
    <s v="CEDEL"/>
    <m/>
    <m/>
    <s v="CEDEL"/>
    <x v="1"/>
    <n v="1"/>
    <n v="30"/>
    <n v="30"/>
    <m/>
    <x v="1"/>
  </r>
  <r>
    <n v="147"/>
    <x v="33"/>
    <x v="12"/>
    <x v="219"/>
    <n v="0"/>
    <n v="0"/>
    <s v="CEDEL"/>
    <m/>
    <m/>
    <s v="CEDEL"/>
    <x v="1"/>
    <n v="1"/>
    <n v="30"/>
    <n v="30"/>
    <m/>
    <x v="1"/>
  </r>
  <r>
    <n v="147"/>
    <x v="33"/>
    <x v="12"/>
    <x v="219"/>
    <n v="0"/>
    <n v="0"/>
    <s v="CEDEL"/>
    <m/>
    <m/>
    <s v="CEDEL"/>
    <x v="3"/>
    <n v="1"/>
    <n v="30"/>
    <n v="30"/>
    <m/>
    <x v="1"/>
  </r>
  <r>
    <n v="146"/>
    <x v="33"/>
    <x v="12"/>
    <x v="91"/>
    <n v="0"/>
    <n v="0"/>
    <s v="CEDEL"/>
    <m/>
    <m/>
    <s v="CEDEL"/>
    <x v="0"/>
    <n v="2"/>
    <n v="30"/>
    <n v="60"/>
    <m/>
    <x v="1"/>
  </r>
  <r>
    <n v="146"/>
    <x v="33"/>
    <x v="12"/>
    <x v="91"/>
    <n v="0"/>
    <n v="0"/>
    <s v="CEDEL"/>
    <m/>
    <m/>
    <s v="CEDEL"/>
    <x v="2"/>
    <n v="2"/>
    <n v="30"/>
    <n v="60"/>
    <m/>
    <x v="1"/>
  </r>
  <r>
    <n v="145"/>
    <x v="33"/>
    <x v="12"/>
    <x v="73"/>
    <n v="0"/>
    <s v="Rua José Lelis França, 1480 Apto 301"/>
    <s v="SANTA MONICA"/>
    <m/>
    <m/>
    <m/>
    <x v="1"/>
    <n v="1"/>
    <n v="30"/>
    <n v="30"/>
    <m/>
    <x v="1"/>
  </r>
  <r>
    <n v="144"/>
    <x v="33"/>
    <x v="12"/>
    <x v="4"/>
    <n v="0"/>
    <n v="0"/>
    <s v="CEDEL"/>
    <m/>
    <m/>
    <s v="LEOBALDO"/>
    <x v="1"/>
    <n v="2"/>
    <n v="30"/>
    <n v="60"/>
    <m/>
    <x v="1"/>
  </r>
  <r>
    <n v="143"/>
    <x v="33"/>
    <x v="12"/>
    <x v="189"/>
    <s v="34.3219-8921"/>
    <s v="Rua Tuiuti 279, Tel: 99954-1904/ 98852-9621"/>
    <s v="TABAJARAS"/>
    <m/>
    <m/>
    <m/>
    <x v="1"/>
    <n v="1"/>
    <n v="30"/>
    <n v="30"/>
    <m/>
    <x v="1"/>
  </r>
  <r>
    <n v="140"/>
    <x v="33"/>
    <x v="23"/>
    <x v="208"/>
    <s v="34.99979-5832"/>
    <n v="0"/>
    <n v="0"/>
    <m/>
    <m/>
    <s v="SÍLVIA - EVANGELIZADORA "/>
    <x v="0"/>
    <n v="1"/>
    <n v="30"/>
    <n v="30"/>
    <m/>
    <x v="1"/>
  </r>
  <r>
    <n v="140"/>
    <x v="33"/>
    <x v="23"/>
    <x v="208"/>
    <s v="34.99979-5832"/>
    <n v="0"/>
    <n v="0"/>
    <m/>
    <m/>
    <s v="SÍLVIA - EVANGELIZADORA "/>
    <x v="1"/>
    <n v="2"/>
    <n v="30"/>
    <n v="60"/>
    <m/>
    <x v="1"/>
  </r>
  <r>
    <n v="140"/>
    <x v="33"/>
    <x v="23"/>
    <x v="208"/>
    <s v="34.99979-5832"/>
    <n v="0"/>
    <n v="0"/>
    <m/>
    <m/>
    <s v="SÍLVIA - EVANGELIZADORA "/>
    <x v="2"/>
    <n v="2"/>
    <n v="30"/>
    <n v="60"/>
    <m/>
    <x v="1"/>
  </r>
  <r>
    <n v="137"/>
    <x v="33"/>
    <x v="32"/>
    <x v="258"/>
    <s v="9.9941-1412"/>
    <s v="Av. Cleanto Vieira Gonçalves, 1.227"/>
    <s v="PACAEMBU"/>
    <m/>
    <m/>
    <m/>
    <x v="0"/>
    <n v="1"/>
    <n v="30"/>
    <n v="30"/>
    <n v="30"/>
    <x v="2"/>
  </r>
  <r>
    <n v="136"/>
    <x v="33"/>
    <x v="32"/>
    <x v="20"/>
    <s v="9.9647-8862"/>
    <s v="R. ROMA, 546 - CASA 2"/>
    <s v="TIBERY"/>
    <m/>
    <m/>
    <m/>
    <x v="0"/>
    <n v="1"/>
    <n v="30"/>
    <n v="30"/>
    <m/>
    <x v="1"/>
  </r>
  <r>
    <n v="135"/>
    <x v="33"/>
    <x v="8"/>
    <x v="222"/>
    <n v="0"/>
    <n v="0"/>
    <n v="0"/>
    <m/>
    <m/>
    <s v="LEONIDAS"/>
    <x v="0"/>
    <n v="3"/>
    <n v="30"/>
    <n v="90"/>
    <m/>
    <x v="1"/>
  </r>
  <r>
    <n v="135"/>
    <x v="33"/>
    <x v="8"/>
    <x v="222"/>
    <n v="0"/>
    <n v="0"/>
    <n v="0"/>
    <m/>
    <m/>
    <s v="LEONIDAS"/>
    <x v="1"/>
    <n v="3"/>
    <n v="30"/>
    <n v="90"/>
    <m/>
    <x v="1"/>
  </r>
  <r>
    <n v="135"/>
    <x v="33"/>
    <x v="8"/>
    <x v="222"/>
    <n v="0"/>
    <n v="0"/>
    <n v="0"/>
    <m/>
    <m/>
    <s v="LEONIDAS"/>
    <x v="2"/>
    <n v="6"/>
    <n v="30"/>
    <n v="180"/>
    <m/>
    <x v="1"/>
  </r>
  <r>
    <n v="134"/>
    <x v="33"/>
    <x v="16"/>
    <x v="141"/>
    <n v="0"/>
    <n v="0"/>
    <n v="0"/>
    <m/>
    <m/>
    <s v="LEVY"/>
    <x v="0"/>
    <n v="1"/>
    <n v="30"/>
    <n v="30"/>
    <m/>
    <x v="1"/>
  </r>
  <r>
    <n v="134"/>
    <x v="33"/>
    <x v="16"/>
    <x v="141"/>
    <n v="0"/>
    <n v="0"/>
    <n v="0"/>
    <m/>
    <m/>
    <s v="LEVY"/>
    <x v="2"/>
    <n v="1"/>
    <n v="30"/>
    <n v="30"/>
    <m/>
    <x v="1"/>
  </r>
  <r>
    <n v="133"/>
    <x v="33"/>
    <x v="26"/>
    <x v="252"/>
    <s v="9.9205-9575"/>
    <n v="0"/>
    <n v="0"/>
    <m/>
    <m/>
    <s v="FERNANDA SPOSITO"/>
    <x v="1"/>
    <n v="1"/>
    <n v="30"/>
    <n v="30"/>
    <m/>
    <x v="1"/>
  </r>
  <r>
    <n v="133"/>
    <x v="33"/>
    <x v="26"/>
    <x v="252"/>
    <s v="9.9205-9575"/>
    <n v="0"/>
    <n v="0"/>
    <m/>
    <m/>
    <s v="FERNANDA SPOSITO"/>
    <x v="2"/>
    <n v="2"/>
    <n v="30"/>
    <n v="60"/>
    <m/>
    <x v="1"/>
  </r>
  <r>
    <n v="132"/>
    <x v="33"/>
    <x v="24"/>
    <x v="203"/>
    <s v="34.99979-3354"/>
    <n v="0"/>
    <n v="0"/>
    <m/>
    <m/>
    <m/>
    <x v="2"/>
    <n v="1"/>
    <n v="30"/>
    <n v="30"/>
    <m/>
    <x v="1"/>
  </r>
  <r>
    <n v="131"/>
    <x v="33"/>
    <x v="17"/>
    <x v="138"/>
    <s v="9.8845-9424"/>
    <s v="R. Carvalho de Mendonça, 1361"/>
    <s v="PAMPULHA"/>
    <m/>
    <m/>
    <m/>
    <x v="2"/>
    <n v="1"/>
    <n v="30"/>
    <n v="30"/>
    <m/>
    <x v="1"/>
  </r>
  <r>
    <n v="130"/>
    <x v="33"/>
    <x v="29"/>
    <x v="313"/>
    <s v="9.9996-3211"/>
    <s v="R. Nova Ponte, 873"/>
    <s v="JD. BOTÂNICO"/>
    <m/>
    <m/>
    <m/>
    <x v="1"/>
    <n v="1"/>
    <n v="30"/>
    <n v="30"/>
    <m/>
    <x v="1"/>
  </r>
  <r>
    <n v="129"/>
    <x v="33"/>
    <x v="29"/>
    <x v="314"/>
    <s v="9.8864-5369"/>
    <s v="R. Suécia, 207"/>
    <s v="TIBERY"/>
    <m/>
    <m/>
    <m/>
    <x v="0"/>
    <n v="1"/>
    <n v="30"/>
    <n v="30"/>
    <m/>
    <x v="1"/>
  </r>
  <r>
    <n v="128"/>
    <x v="33"/>
    <x v="29"/>
    <x v="315"/>
    <s v="9.9660-9979"/>
    <s v="R. Luiz Vieira Tavares, 85"/>
    <s v="CUSTÓDIO PEREIRA"/>
    <m/>
    <m/>
    <m/>
    <x v="0"/>
    <n v="1"/>
    <n v="30"/>
    <n v="30"/>
    <m/>
    <x v="1"/>
  </r>
  <r>
    <n v="128"/>
    <x v="33"/>
    <x v="29"/>
    <x v="315"/>
    <s v="9.9660-9979"/>
    <s v="R. Luiz Vieira Tavares, 85"/>
    <s v="CUSTÓDIO PEREIRA"/>
    <m/>
    <m/>
    <m/>
    <x v="2"/>
    <n v="1"/>
    <n v="30"/>
    <n v="30"/>
    <m/>
    <x v="1"/>
  </r>
  <r>
    <n v="127"/>
    <x v="33"/>
    <x v="29"/>
    <x v="316"/>
    <n v="0"/>
    <s v="Av. França, 885"/>
    <s v="TIBERY"/>
    <m/>
    <m/>
    <m/>
    <x v="2"/>
    <n v="1"/>
    <n v="30"/>
    <n v="30"/>
    <m/>
    <x v="1"/>
  </r>
  <r>
    <n v="126"/>
    <x v="33"/>
    <x v="29"/>
    <x v="317"/>
    <s v="99780-2006"/>
    <s v="Rua Perdizes,"/>
    <s v="CIDADE JARDIM"/>
    <m/>
    <m/>
    <m/>
    <x v="0"/>
    <n v="1"/>
    <n v="30"/>
    <n v="30"/>
    <m/>
    <x v="1"/>
  </r>
  <r>
    <n v="125"/>
    <x v="34"/>
    <x v="21"/>
    <x v="305"/>
    <s v="9.9239-4287"/>
    <s v="R. Salvador, 1541"/>
    <s v="TIBERY"/>
    <m/>
    <m/>
    <m/>
    <x v="1"/>
    <n v="1"/>
    <n v="30"/>
    <n v="30"/>
    <n v="30"/>
    <x v="2"/>
  </r>
  <r>
    <n v="124"/>
    <x v="34"/>
    <x v="21"/>
    <x v="318"/>
    <s v="9.8819-6028"/>
    <s v="R. Jerônimo Reis Silva, 492"/>
    <s v="PATRIMÔNIO"/>
    <m/>
    <m/>
    <m/>
    <x v="1"/>
    <n v="1"/>
    <n v="30"/>
    <n v="30"/>
    <n v="30"/>
    <x v="2"/>
  </r>
  <r>
    <n v="123"/>
    <x v="34"/>
    <x v="21"/>
    <x v="266"/>
    <s v="34.99148-4283"/>
    <s v="R. Jade, 45 "/>
    <s v="JD. BOTÂNICO"/>
    <m/>
    <m/>
    <m/>
    <x v="1"/>
    <n v="1"/>
    <n v="30"/>
    <n v="30"/>
    <m/>
    <x v="1"/>
  </r>
  <r>
    <n v="122"/>
    <x v="34"/>
    <x v="21"/>
    <x v="198"/>
    <n v="0"/>
    <n v="0"/>
    <n v="0"/>
    <m/>
    <s v="ENTREGAR 1/RECEBER 2"/>
    <s v="MARIA LÚCIA"/>
    <x v="1"/>
    <n v="1"/>
    <n v="30"/>
    <n v="30"/>
    <m/>
    <x v="1"/>
  </r>
  <r>
    <n v="121"/>
    <x v="34"/>
    <x v="21"/>
    <x v="18"/>
    <s v="9.9656-9764"/>
    <s v="R. Tiradentes, 300"/>
    <s v="FUNDINHO"/>
    <m/>
    <s v="1 - HIELEN / 1 JEAN / 1 LUCAS"/>
    <m/>
    <x v="1"/>
    <n v="3"/>
    <n v="30"/>
    <n v="90"/>
    <m/>
    <x v="1"/>
  </r>
  <r>
    <n v="119"/>
    <x v="34"/>
    <x v="21"/>
    <x v="319"/>
    <s v="9.9991-4357"/>
    <s v="R. Michele Virno, 4093"/>
    <s v="CUSTÓDIO PEREIRA"/>
    <m/>
    <m/>
    <m/>
    <x v="4"/>
    <n v="1"/>
    <n v="30"/>
    <n v="30"/>
    <m/>
    <x v="1"/>
  </r>
  <r>
    <n v="116"/>
    <x v="34"/>
    <x v="21"/>
    <x v="320"/>
    <s v="3235-8012/9.9195-5802"/>
    <s v="R. Padre Pio, 224"/>
    <s v="OSVALDO REZENDE"/>
    <m/>
    <m/>
    <m/>
    <x v="1"/>
    <n v="1"/>
    <n v="30"/>
    <n v="30"/>
    <m/>
    <x v="1"/>
  </r>
  <r>
    <n v="113"/>
    <x v="34"/>
    <x v="21"/>
    <x v="30"/>
    <s v="3213-3201/ 9.9211-0864"/>
    <s v="Av. Clara Camarão, 427"/>
    <s v="N.Sra Graças"/>
    <m/>
    <m/>
    <m/>
    <x v="1"/>
    <n v="1"/>
    <n v="30"/>
    <n v="30"/>
    <m/>
    <x v="1"/>
  </r>
  <r>
    <n v="113"/>
    <x v="34"/>
    <x v="21"/>
    <x v="30"/>
    <s v="3213-3201/ 9.9211-0864"/>
    <s v="Av. Clara Camarão, 427"/>
    <s v="N.Sra Graças"/>
    <m/>
    <m/>
    <m/>
    <x v="2"/>
    <n v="1"/>
    <n v="30"/>
    <n v="30"/>
    <m/>
    <x v="1"/>
  </r>
  <r>
    <n v="112"/>
    <x v="34"/>
    <x v="21"/>
    <x v="19"/>
    <s v=" 34.99155-5564 / 34.3215-1758"/>
    <s v="Av. Cesário Crosara, 3525"/>
    <s v=" ROOSEVELT "/>
    <m/>
    <m/>
    <m/>
    <x v="3"/>
    <n v="1"/>
    <n v="30"/>
    <n v="30"/>
    <m/>
    <x v="1"/>
  </r>
  <r>
    <n v="111"/>
    <x v="34"/>
    <x v="21"/>
    <x v="234"/>
    <n v="0"/>
    <n v="0"/>
    <n v="0"/>
    <m/>
    <m/>
    <s v="MARIA LÚCIA"/>
    <x v="3"/>
    <n v="1"/>
    <n v="30"/>
    <n v="30"/>
    <m/>
    <x v="1"/>
  </r>
  <r>
    <n v="110"/>
    <x v="34"/>
    <x v="21"/>
    <x v="285"/>
    <s v="9.9186-6464"/>
    <s v=" R. Virgílio Melo Franco, 490 apto 601"/>
    <s v="TABAJARAS"/>
    <m/>
    <m/>
    <m/>
    <x v="1"/>
    <n v="1"/>
    <n v="30"/>
    <n v="30"/>
    <m/>
    <x v="1"/>
  </r>
  <r>
    <n v="109"/>
    <x v="34"/>
    <x v="21"/>
    <x v="216"/>
    <n v="0"/>
    <n v="0"/>
    <n v="0"/>
    <m/>
    <m/>
    <s v="CEDEL"/>
    <x v="2"/>
    <n v="1"/>
    <n v="30"/>
    <n v="30"/>
    <m/>
    <x v="1"/>
  </r>
  <r>
    <n v="108"/>
    <x v="34"/>
    <x v="21"/>
    <x v="12"/>
    <n v="0"/>
    <n v="0"/>
    <n v="0"/>
    <m/>
    <m/>
    <s v="MARIA LÚCIA"/>
    <x v="2"/>
    <n v="2"/>
    <n v="30"/>
    <n v="60"/>
    <m/>
    <x v="1"/>
  </r>
  <r>
    <n v="107"/>
    <x v="34"/>
    <x v="21"/>
    <x v="32"/>
    <s v="9.9171-4462"/>
    <s v="R. Monlevade, 852"/>
    <s v="DANIEL FONSECA"/>
    <m/>
    <m/>
    <m/>
    <x v="2"/>
    <n v="1"/>
    <n v="30"/>
    <n v="30"/>
    <m/>
    <x v="1"/>
  </r>
  <r>
    <n v="104"/>
    <x v="34"/>
    <x v="21"/>
    <x v="100"/>
    <s v="9.8877-4323"/>
    <s v="R.Judite Moreira, 280"/>
    <s v="ROOSEVELT"/>
    <m/>
    <m/>
    <m/>
    <x v="2"/>
    <n v="1"/>
    <n v="30"/>
    <n v="30"/>
    <m/>
    <x v="1"/>
  </r>
  <r>
    <n v="102"/>
    <x v="34"/>
    <x v="21"/>
    <x v="306"/>
    <n v="0"/>
    <n v="0"/>
    <n v="0"/>
    <m/>
    <m/>
    <s v="MARIA LÚCIA"/>
    <x v="4"/>
    <n v="1"/>
    <n v="30"/>
    <n v="30"/>
    <m/>
    <x v="1"/>
  </r>
  <r>
    <n v="101"/>
    <x v="34"/>
    <x v="21"/>
    <x v="31"/>
    <n v="0"/>
    <n v="0"/>
    <n v="0"/>
    <m/>
    <s v="Mª LÚCIA ENTREGA"/>
    <s v="MARIA LÚCIA"/>
    <x v="2"/>
    <n v="1"/>
    <n v="30"/>
    <n v="30"/>
    <m/>
    <x v="1"/>
  </r>
  <r>
    <n v="60"/>
    <x v="35"/>
    <x v="21"/>
    <x v="19"/>
    <s v=" 34.99155-5564 / 34.3215-1758"/>
    <s v="Av. Cesário Crosara, 3525"/>
    <s v=" ROOSEVELT "/>
    <m/>
    <m/>
    <m/>
    <x v="3"/>
    <n v="1"/>
    <n v="30"/>
    <n v="30"/>
    <m/>
    <x v="1"/>
  </r>
  <r>
    <n v="58"/>
    <x v="35"/>
    <x v="21"/>
    <x v="31"/>
    <n v="0"/>
    <n v="0"/>
    <n v="0"/>
    <m/>
    <m/>
    <s v="MARIA LÚCIA"/>
    <x v="1"/>
    <n v="1"/>
    <n v="30"/>
    <n v="30"/>
    <m/>
    <x v="1"/>
  </r>
  <r>
    <n v="57"/>
    <x v="35"/>
    <x v="21"/>
    <x v="234"/>
    <n v="0"/>
    <n v="0"/>
    <n v="0"/>
    <m/>
    <m/>
    <s v="MARIA LÚCIA"/>
    <x v="3"/>
    <n v="1"/>
    <n v="30"/>
    <n v="30"/>
    <m/>
    <x v="1"/>
  </r>
  <r>
    <n v="54"/>
    <x v="35"/>
    <x v="21"/>
    <x v="306"/>
    <n v="0"/>
    <n v="0"/>
    <n v="0"/>
    <m/>
    <m/>
    <s v="MARIA LÚCIA"/>
    <x v="1"/>
    <n v="1"/>
    <n v="30"/>
    <n v="30"/>
    <m/>
    <x v="1"/>
  </r>
  <r>
    <n v="52"/>
    <x v="35"/>
    <x v="21"/>
    <x v="321"/>
    <s v="34.99121-3187"/>
    <n v="0"/>
    <n v="0"/>
    <m/>
    <s v="BUSCAR NO CENTRO"/>
    <m/>
    <x v="1"/>
    <n v="1"/>
    <n v="30"/>
    <n v="30"/>
    <n v="30"/>
    <x v="2"/>
  </r>
  <r>
    <n v="47"/>
    <x v="35"/>
    <x v="16"/>
    <x v="141"/>
    <n v="0"/>
    <n v="0"/>
    <n v="0"/>
    <m/>
    <s v="VAI BUSCAR"/>
    <s v="LEVY"/>
    <x v="2"/>
    <n v="1"/>
    <n v="30"/>
    <n v="30"/>
    <m/>
    <x v="1"/>
  </r>
  <r>
    <n v="47"/>
    <x v="35"/>
    <x v="16"/>
    <x v="141"/>
    <n v="0"/>
    <n v="0"/>
    <n v="0"/>
    <m/>
    <s v="VAI BUSCAR"/>
    <s v="LEVY"/>
    <x v="3"/>
    <n v="1"/>
    <n v="30"/>
    <n v="30"/>
    <m/>
    <x v="1"/>
  </r>
  <r>
    <n v="47"/>
    <x v="35"/>
    <x v="16"/>
    <x v="141"/>
    <n v="0"/>
    <n v="0"/>
    <n v="0"/>
    <m/>
    <s v="VAI BUSCAR"/>
    <s v="LEVY"/>
    <x v="1"/>
    <n v="1"/>
    <n v="30"/>
    <n v="30"/>
    <m/>
    <x v="1"/>
  </r>
  <r>
    <n v="47"/>
    <x v="35"/>
    <x v="16"/>
    <x v="141"/>
    <n v="0"/>
    <n v="0"/>
    <n v="0"/>
    <m/>
    <s v="VAI BUSCAR"/>
    <s v="LEVY"/>
    <x v="0"/>
    <n v="1"/>
    <n v="30"/>
    <n v="30"/>
    <m/>
    <x v="1"/>
  </r>
  <r>
    <n v="39"/>
    <x v="35"/>
    <x v="17"/>
    <x v="322"/>
    <s v="34.99681-7418"/>
    <n v="0"/>
    <n v="0"/>
    <m/>
    <s v="VAI BUSCAR"/>
    <m/>
    <x v="1"/>
    <n v="3"/>
    <n v="30"/>
    <n v="90"/>
    <m/>
    <x v="1"/>
  </r>
  <r>
    <n v="36"/>
    <x v="35"/>
    <x v="17"/>
    <x v="208"/>
    <s v="34.99979-5832"/>
    <n v="0"/>
    <n v="0"/>
    <m/>
    <s v="IRÁ BUSCAR"/>
    <m/>
    <x v="2"/>
    <n v="1"/>
    <n v="30"/>
    <n v="30"/>
    <m/>
    <x v="1"/>
  </r>
  <r>
    <n v="33"/>
    <x v="35"/>
    <x v="17"/>
    <x v="323"/>
    <s v="34.99669-6170"/>
    <n v="0"/>
    <n v="0"/>
    <m/>
    <s v="VAI BUSCAR"/>
    <s v="CEDEL"/>
    <x v="2"/>
    <n v="4"/>
    <n v="30"/>
    <n v="120"/>
    <n v="120"/>
    <x v="2"/>
  </r>
  <r>
    <n v="32"/>
    <x v="35"/>
    <x v="17"/>
    <x v="59"/>
    <n v="0"/>
    <n v="0"/>
    <n v="0"/>
    <m/>
    <s v="VAI BUSCAR"/>
    <s v="CEDEL"/>
    <x v="1"/>
    <n v="2"/>
    <n v="30"/>
    <n v="60"/>
    <m/>
    <x v="1"/>
  </r>
  <r>
    <n v="31"/>
    <x v="35"/>
    <x v="17"/>
    <x v="207"/>
    <s v="34.99147-8758"/>
    <n v="0"/>
    <n v="0"/>
    <m/>
    <s v="VAI BUSCAR"/>
    <s v="CEDEL"/>
    <x v="0"/>
    <n v="2"/>
    <n v="30"/>
    <n v="60"/>
    <m/>
    <x v="1"/>
  </r>
  <r>
    <n v="27"/>
    <x v="35"/>
    <x v="12"/>
    <x v="75"/>
    <n v="0"/>
    <n v="0"/>
    <n v="0"/>
    <m/>
    <m/>
    <s v="XANDE/ELIS"/>
    <x v="1"/>
    <n v="1"/>
    <n v="30"/>
    <n v="30"/>
    <n v="30"/>
    <x v="2"/>
  </r>
  <r>
    <n v="26"/>
    <x v="35"/>
    <x v="12"/>
    <x v="238"/>
    <n v="0"/>
    <n v="0"/>
    <n v="0"/>
    <m/>
    <s v="BUSCAR NO CENTRO"/>
    <m/>
    <x v="1"/>
    <n v="1"/>
    <n v="30"/>
    <n v="30"/>
    <m/>
    <x v="1"/>
  </r>
  <r>
    <n v="25"/>
    <x v="35"/>
    <x v="12"/>
    <x v="219"/>
    <n v="0"/>
    <n v="0"/>
    <n v="0"/>
    <m/>
    <m/>
    <s v="XANDE/ELIS"/>
    <x v="0"/>
    <n v="1"/>
    <n v="30"/>
    <n v="30"/>
    <m/>
    <x v="1"/>
  </r>
  <r>
    <n v="25"/>
    <x v="35"/>
    <x v="12"/>
    <x v="219"/>
    <n v="0"/>
    <n v="0"/>
    <n v="0"/>
    <m/>
    <m/>
    <s v="XANDE/ELIS"/>
    <x v="1"/>
    <n v="1"/>
    <n v="30"/>
    <n v="30"/>
    <m/>
    <x v="1"/>
  </r>
  <r>
    <n v="24"/>
    <x v="35"/>
    <x v="12"/>
    <x v="91"/>
    <n v="0"/>
    <n v="0"/>
    <n v="0"/>
    <m/>
    <s v="BUSCAR NO CENTRO"/>
    <m/>
    <x v="2"/>
    <n v="2"/>
    <n v="30"/>
    <n v="60"/>
    <m/>
    <x v="1"/>
  </r>
  <r>
    <n v="24"/>
    <x v="35"/>
    <x v="12"/>
    <x v="91"/>
    <n v="0"/>
    <n v="0"/>
    <n v="0"/>
    <m/>
    <s v="BUSCAR NO CENTRO"/>
    <m/>
    <x v="0"/>
    <n v="2"/>
    <n v="30"/>
    <n v="60"/>
    <m/>
    <x v="1"/>
  </r>
  <r>
    <n v="23"/>
    <x v="35"/>
    <x v="12"/>
    <x v="92"/>
    <s v=" 34.9973-9967"/>
    <n v="0"/>
    <n v="0"/>
    <m/>
    <m/>
    <s v="XANDE/ELIS"/>
    <x v="2"/>
    <n v="1"/>
    <n v="30"/>
    <n v="30"/>
    <n v="30"/>
    <x v="2"/>
  </r>
  <r>
    <n v="23"/>
    <x v="35"/>
    <x v="12"/>
    <x v="92"/>
    <s v=" 34.9973-9967"/>
    <n v="0"/>
    <n v="0"/>
    <m/>
    <m/>
    <s v="XANDE/ELIS"/>
    <x v="3"/>
    <n v="1"/>
    <n v="30"/>
    <n v="30"/>
    <n v="30"/>
    <x v="2"/>
  </r>
  <r>
    <n v="22"/>
    <x v="35"/>
    <x v="12"/>
    <x v="90"/>
    <n v="0"/>
    <n v="0"/>
    <n v="0"/>
    <m/>
    <m/>
    <s v="XANDE/ELIS"/>
    <x v="2"/>
    <n v="1"/>
    <n v="30"/>
    <n v="30"/>
    <n v="30"/>
    <x v="2"/>
  </r>
  <r>
    <n v="21"/>
    <x v="35"/>
    <x v="12"/>
    <x v="4"/>
    <n v="0"/>
    <n v="0"/>
    <n v="0"/>
    <m/>
    <s v="BUSCAR NO CENTRO"/>
    <m/>
    <x v="1"/>
    <n v="2"/>
    <n v="30"/>
    <n v="60"/>
    <m/>
    <x v="1"/>
  </r>
  <r>
    <n v="20"/>
    <x v="35"/>
    <x v="12"/>
    <x v="324"/>
    <n v="0"/>
    <n v="0"/>
    <n v="0"/>
    <m/>
    <m/>
    <s v="XANDE/ELIS"/>
    <x v="1"/>
    <n v="1"/>
    <n v="30"/>
    <n v="30"/>
    <n v="30"/>
    <x v="2"/>
  </r>
  <r>
    <n v="19"/>
    <x v="35"/>
    <x v="12"/>
    <x v="189"/>
    <s v="34.3219-8921"/>
    <n v="0"/>
    <n v="0"/>
    <m/>
    <m/>
    <s v="XANDE/ELIS"/>
    <x v="1"/>
    <n v="1"/>
    <n v="30"/>
    <n v="30"/>
    <n v="30"/>
    <x v="2"/>
  </r>
  <r>
    <n v="18"/>
    <x v="35"/>
    <x v="19"/>
    <x v="33"/>
    <s v="34.99942-3020"/>
    <s v="Rua Cipriano Del Favero 659 Aptº 1200  "/>
    <s v=" CENTRO "/>
    <m/>
    <m/>
    <s v="JOSÉ LUIZ"/>
    <x v="2"/>
    <n v="1"/>
    <n v="30"/>
    <n v="30"/>
    <m/>
    <x v="1"/>
  </r>
  <r>
    <n v="18"/>
    <x v="35"/>
    <x v="19"/>
    <x v="33"/>
    <s v="34.99942-3020"/>
    <s v="Rua Cipriano Del Favero 659 Aptº 1200  "/>
    <s v=" CENTRO "/>
    <m/>
    <m/>
    <s v="JOSÉ LUIZ"/>
    <x v="3"/>
    <n v="1"/>
    <n v="30"/>
    <n v="30"/>
    <m/>
    <x v="1"/>
  </r>
  <r>
    <n v="15"/>
    <x v="35"/>
    <x v="19"/>
    <x v="245"/>
    <n v="0"/>
    <n v="0"/>
    <n v="0"/>
    <m/>
    <m/>
    <s v="PRISCILLA"/>
    <x v="2"/>
    <n v="1"/>
    <n v="30"/>
    <n v="30"/>
    <m/>
    <x v="1"/>
  </r>
  <r>
    <n v="13"/>
    <x v="35"/>
    <x v="11"/>
    <x v="325"/>
    <s v="34.99149-6210"/>
    <n v="0"/>
    <n v="0"/>
    <m/>
    <s v="IRÁ BUSCAR"/>
    <s v="CRIS"/>
    <x v="1"/>
    <n v="1"/>
    <n v="30"/>
    <n v="30"/>
    <m/>
    <x v="1"/>
  </r>
  <r>
    <n v="12"/>
    <x v="35"/>
    <x v="8"/>
    <x v="222"/>
    <n v="0"/>
    <n v="0"/>
    <n v="0"/>
    <m/>
    <s v="IRÁ BUSCAR"/>
    <s v="LEONIDAS"/>
    <x v="2"/>
    <n v="3"/>
    <n v="30"/>
    <n v="90"/>
    <m/>
    <x v="1"/>
  </r>
  <r>
    <n v="12"/>
    <x v="35"/>
    <x v="8"/>
    <x v="222"/>
    <n v="0"/>
    <n v="0"/>
    <n v="0"/>
    <m/>
    <s v="IRÁ BUSCAR"/>
    <s v="LEONIDAS"/>
    <x v="1"/>
    <n v="2"/>
    <n v="30"/>
    <n v="60"/>
    <m/>
    <x v="1"/>
  </r>
  <r>
    <n v="12"/>
    <x v="35"/>
    <x v="8"/>
    <x v="222"/>
    <n v="0"/>
    <n v="0"/>
    <n v="0"/>
    <m/>
    <s v="IRÁ BUSCAR"/>
    <s v="LEONIDAS"/>
    <x v="0"/>
    <n v="2"/>
    <n v="30"/>
    <n v="60"/>
    <m/>
    <x v="1"/>
  </r>
  <r>
    <n v="9"/>
    <x v="35"/>
    <x v="10"/>
    <x v="60"/>
    <n v="0"/>
    <n v="0"/>
    <n v="0"/>
    <m/>
    <s v="IRÁ BUSCAR"/>
    <s v="RODOLFO"/>
    <x v="1"/>
    <n v="2"/>
    <n v="30"/>
    <n v="60"/>
    <m/>
    <x v="1"/>
  </r>
  <r>
    <n v="7"/>
    <x v="35"/>
    <x v="33"/>
    <x v="307"/>
    <n v="0"/>
    <n v="0"/>
    <n v="0"/>
    <m/>
    <m/>
    <s v="MICHELE/LEANDRO"/>
    <x v="1"/>
    <n v="2"/>
    <n v="30"/>
    <n v="60"/>
    <m/>
    <x v="1"/>
  </r>
  <r>
    <n v="6"/>
    <x v="35"/>
    <x v="33"/>
    <x v="49"/>
    <n v="0"/>
    <n v="0"/>
    <n v="0"/>
    <m/>
    <s v="IRÁ BUSCAR"/>
    <s v="MICHELE/LEANDRO"/>
    <x v="1"/>
    <n v="2"/>
    <n v="30"/>
    <n v="60"/>
    <m/>
    <x v="1"/>
  </r>
  <r>
    <n v="5"/>
    <x v="35"/>
    <x v="7"/>
    <x v="326"/>
    <s v="34.99167-3677"/>
    <s v="Av Dr Laerte viera Gonçalves, 2415 - ap 102"/>
    <s v="SANTA MONICA"/>
    <m/>
    <m/>
    <s v="GABRIEL"/>
    <x v="2"/>
    <n v="1"/>
    <n v="30"/>
    <n v="30"/>
    <m/>
    <x v="1"/>
  </r>
  <r>
    <n v="5"/>
    <x v="35"/>
    <x v="7"/>
    <x v="326"/>
    <s v="34.99167-3677"/>
    <s v="Av Dr Laerte viera Gonçalves, 2415 - ap 102"/>
    <s v="SANTA MONICA"/>
    <m/>
    <m/>
    <s v="GABRIEL"/>
    <x v="3"/>
    <n v="1"/>
    <n v="30"/>
    <n v="30"/>
    <m/>
    <x v="1"/>
  </r>
  <r>
    <n v="4"/>
    <x v="35"/>
    <x v="7"/>
    <x v="327"/>
    <s v="34.98845-0023"/>
    <n v="0"/>
    <n v="0"/>
    <m/>
    <s v="ENTREGA POR GABRIEL"/>
    <s v="GABRIEL"/>
    <x v="2"/>
    <n v="1"/>
    <n v="30"/>
    <n v="30"/>
    <m/>
    <x v="1"/>
  </r>
  <r>
    <n v="4"/>
    <x v="35"/>
    <x v="7"/>
    <x v="327"/>
    <s v="34.98845-0023"/>
    <n v="0"/>
    <n v="0"/>
    <m/>
    <s v="ENTREGA POR GABRIEL"/>
    <s v="GABRIEL"/>
    <x v="1"/>
    <n v="1"/>
    <n v="30"/>
    <n v="30"/>
    <m/>
    <x v="1"/>
  </r>
  <r>
    <n v="4"/>
    <x v="35"/>
    <x v="7"/>
    <x v="327"/>
    <s v="34.98845-0023"/>
    <n v="0"/>
    <n v="0"/>
    <m/>
    <s v="ENTREGA POR GABRIEL"/>
    <s v="GABRIEL"/>
    <x v="0"/>
    <n v="1"/>
    <n v="30"/>
    <n v="30"/>
    <m/>
    <x v="1"/>
  </r>
  <r>
    <n v="3"/>
    <x v="35"/>
    <x v="7"/>
    <x v="328"/>
    <s v="34.98803-5267"/>
    <s v="Rua Campo Rupestre, 193"/>
    <s v=" JD. BOTANICO "/>
    <m/>
    <m/>
    <s v="GABRIEL"/>
    <x v="2"/>
    <n v="1"/>
    <n v="30"/>
    <n v="30"/>
    <m/>
    <x v="1"/>
  </r>
  <r>
    <n v="3"/>
    <x v="35"/>
    <x v="7"/>
    <x v="328"/>
    <s v="34.98803-5267"/>
    <s v="Rua Campo Rupestre, 193"/>
    <s v=" JD. BOTANICO "/>
    <m/>
    <m/>
    <s v="GABRIEL"/>
    <x v="1"/>
    <n v="1"/>
    <n v="30"/>
    <n v="30"/>
    <m/>
    <x v="1"/>
  </r>
  <r>
    <n v="258"/>
    <x v="32"/>
    <x v="10"/>
    <x v="60"/>
    <n v="0"/>
    <n v="0"/>
    <n v="0"/>
    <m/>
    <m/>
    <s v="RODOLFO"/>
    <x v="1"/>
    <n v="3"/>
    <n v="30"/>
    <n v="90"/>
    <m/>
    <x v="1"/>
  </r>
  <r>
    <n v="257"/>
    <x v="32"/>
    <x v="28"/>
    <x v="255"/>
    <s v="34.99128-4121"/>
    <s v="R. RAUL PETRONILHO DE PÁDUA 187"/>
    <s v="GRANADA"/>
    <s v="38410-020"/>
    <m/>
    <s v="VICENTINA"/>
    <x v="0"/>
    <n v="1"/>
    <n v="30"/>
    <n v="30"/>
    <m/>
    <x v="1"/>
  </r>
  <r>
    <n v="256"/>
    <x v="32"/>
    <x v="16"/>
    <x v="329"/>
    <s v="9.8988-6436"/>
    <s v="Rua Atenas, 69 apto 403"/>
    <s v="TIBERY"/>
    <s v="38405-066"/>
    <m/>
    <s v="LEVY"/>
    <x v="1"/>
    <n v="1"/>
    <n v="30"/>
    <n v="30"/>
    <m/>
    <x v="1"/>
  </r>
  <r>
    <n v="255"/>
    <x v="32"/>
    <x v="16"/>
    <x v="330"/>
    <n v="0"/>
    <s v="Entrega Levy"/>
    <n v="0"/>
    <m/>
    <m/>
    <s v="LEVY"/>
    <x v="0"/>
    <n v="1"/>
    <n v="30"/>
    <n v="30"/>
    <m/>
    <x v="1"/>
  </r>
  <r>
    <n v="45"/>
    <x v="35"/>
    <x v="25"/>
    <x v="331"/>
    <s v="34.99666-3335"/>
    <s v="AV. JOÃO PINHEIRO, 1073 APTO 1004"/>
    <s v=" CENTRO "/>
    <s v="38400-126"/>
    <m/>
    <m/>
    <x v="1"/>
    <n v="1"/>
    <n v="30"/>
    <n v="30"/>
    <n v="30"/>
    <x v="2"/>
  </r>
  <r>
    <n v="254"/>
    <x v="32"/>
    <x v="16"/>
    <x v="290"/>
    <n v="0"/>
    <s v="Entrega Levy"/>
    <n v="0"/>
    <m/>
    <m/>
    <s v="LEVY"/>
    <x v="2"/>
    <n v="1"/>
    <n v="30"/>
    <n v="30"/>
    <n v="30"/>
    <x v="2"/>
  </r>
  <r>
    <n v="40"/>
    <x v="35"/>
    <x v="29"/>
    <x v="65"/>
    <s v="34.99996-4095"/>
    <s v="End: rua Virgílio M. Franco, 340,  apto 32"/>
    <s v=" TABAJARAS "/>
    <s v="38400-238"/>
    <m/>
    <m/>
    <x v="3"/>
    <n v="1"/>
    <n v="30"/>
    <n v="30"/>
    <m/>
    <x v="3"/>
  </r>
  <r>
    <n v="253"/>
    <x v="32"/>
    <x v="16"/>
    <x v="332"/>
    <n v="0"/>
    <s v="Entrega Levy"/>
    <n v="0"/>
    <m/>
    <m/>
    <s v="LEVY"/>
    <x v="1"/>
    <n v="1"/>
    <n v="30"/>
    <n v="30"/>
    <m/>
    <x v="1"/>
  </r>
  <r>
    <n v="252"/>
    <x v="32"/>
    <x v="16"/>
    <x v="333"/>
    <n v="0"/>
    <s v="Entrega Levy"/>
    <n v="0"/>
    <m/>
    <m/>
    <s v="LEVY"/>
    <x v="1"/>
    <n v="1"/>
    <n v="30"/>
    <n v="30"/>
    <m/>
    <x v="1"/>
  </r>
  <r>
    <n v="251"/>
    <x v="32"/>
    <x v="16"/>
    <x v="141"/>
    <n v="0"/>
    <s v="Entrega Levy"/>
    <n v="0"/>
    <m/>
    <m/>
    <m/>
    <x v="0"/>
    <n v="1"/>
    <n v="30"/>
    <n v="30"/>
    <m/>
    <x v="1"/>
  </r>
  <r>
    <n v="251"/>
    <x v="32"/>
    <x v="16"/>
    <x v="141"/>
    <n v="0"/>
    <s v="Entrega Levy"/>
    <n v="0"/>
    <m/>
    <m/>
    <m/>
    <x v="1"/>
    <n v="1"/>
    <n v="30"/>
    <n v="30"/>
    <m/>
    <x v="1"/>
  </r>
  <r>
    <n v="250"/>
    <x v="32"/>
    <x v="16"/>
    <x v="297"/>
    <s v="9.9147-7656"/>
    <s v="Av. dos Ferreiras, 475 casa 321- Condomínio Terra Nova 1"/>
    <s v="JD CALIFÓRNIA"/>
    <s v="38406-136"/>
    <m/>
    <m/>
    <x v="1"/>
    <n v="1"/>
    <n v="30"/>
    <n v="30"/>
    <n v="30"/>
    <x v="2"/>
  </r>
  <r>
    <n v="164"/>
    <x v="33"/>
    <x v="7"/>
    <x v="41"/>
    <s v="34.99133-6005"/>
    <s v="Rua Caxambu, 284 - ap 103"/>
    <s v=" OSVALDO RESENDE "/>
    <s v="38400-418"/>
    <m/>
    <m/>
    <x v="0"/>
    <n v="1"/>
    <n v="30"/>
    <n v="30"/>
    <m/>
    <x v="0"/>
  </r>
  <r>
    <n v="1"/>
    <x v="35"/>
    <x v="7"/>
    <x v="334"/>
    <s v="34.99133-6005"/>
    <s v="Rua Caxambu, 284 - ap 103"/>
    <s v=" OSVALDO RESENDE "/>
    <s v="38400-418"/>
    <m/>
    <s v="GABRIEL"/>
    <x v="0"/>
    <n v="2"/>
    <n v="30"/>
    <n v="60"/>
    <m/>
    <x v="3"/>
  </r>
  <r>
    <n v="249"/>
    <x v="32"/>
    <x v="16"/>
    <x v="335"/>
    <s v="9.8854-5588"/>
    <s v="Rua das Rolinhas, 70 - Entrega Levy"/>
    <s v="JD DAS PALMEIRAS"/>
    <s v="38412-220"/>
    <m/>
    <m/>
    <x v="1"/>
    <n v="1"/>
    <n v="30"/>
    <n v="30"/>
    <n v="30"/>
    <x v="2"/>
  </r>
  <r>
    <n v="160"/>
    <x v="33"/>
    <x v="25"/>
    <x v="204"/>
    <s v="34.99166-0731"/>
    <s v="RUA MARQUES POVOA, 456"/>
    <s v=" OSVALDO RESENDE "/>
    <s v="38400-438"/>
    <m/>
    <m/>
    <x v="1"/>
    <n v="1"/>
    <n v="30"/>
    <n v="30"/>
    <n v="30"/>
    <x v="0"/>
  </r>
  <r>
    <n v="41"/>
    <x v="35"/>
    <x v="25"/>
    <x v="204"/>
    <s v="34.99166-0731"/>
    <s v="RUA MARQUES POVOA, 456"/>
    <s v=" OSVALDO RESENDE "/>
    <s v="38400-438"/>
    <m/>
    <m/>
    <x v="1"/>
    <n v="1"/>
    <n v="30"/>
    <n v="30"/>
    <n v="30"/>
    <x v="2"/>
  </r>
  <r>
    <n v="2"/>
    <x v="35"/>
    <x v="7"/>
    <x v="336"/>
    <s v="34.99212-4447"/>
    <s v="Rua Marques Povoa, 223"/>
    <s v=" OSVALDO RESENDE "/>
    <s v="38400-438"/>
    <m/>
    <s v="GABRIEL"/>
    <x v="0"/>
    <n v="1"/>
    <n v="30"/>
    <n v="30"/>
    <m/>
    <x v="3"/>
  </r>
  <r>
    <n v="248"/>
    <x v="32"/>
    <x v="16"/>
    <x v="337"/>
    <n v="0"/>
    <s v="Rua Esperança Naves Godoy, 184 ant. C57"/>
    <s v="LUIZOTE"/>
    <s v="38414-310"/>
    <m/>
    <m/>
    <x v="1"/>
    <n v="1"/>
    <n v="30"/>
    <n v="30"/>
    <n v="30"/>
    <x v="2"/>
  </r>
  <r>
    <n v="103"/>
    <x v="34"/>
    <x v="21"/>
    <x v="217"/>
    <s v="34.99195-9740"/>
    <s v="Av. Belo Horizonte, 1786 - esquina c/ R. Lambari"/>
    <s v=" OSVALDO RESENDE "/>
    <s v="38400-454"/>
    <m/>
    <m/>
    <x v="2"/>
    <n v="1"/>
    <n v="30"/>
    <n v="30"/>
    <m/>
    <x v="0"/>
  </r>
  <r>
    <n v="56"/>
    <x v="35"/>
    <x v="21"/>
    <x v="217"/>
    <s v="34.99195-9740"/>
    <s v="Av. Belo Horizonte, 1786 - esquina c/ R. Lambari"/>
    <s v=" OSVALDO RESENDE "/>
    <s v="38400-454"/>
    <m/>
    <m/>
    <x v="0"/>
    <n v="1"/>
    <n v="30"/>
    <n v="30"/>
    <m/>
    <x v="3"/>
  </r>
  <r>
    <n v="247"/>
    <x v="32"/>
    <x v="16"/>
    <x v="338"/>
    <s v="9.8815-9291"/>
    <s v="Rua Antônio Marciano de Ávila, 415  ant. 28"/>
    <s v="SANTA MONICA"/>
    <s v="38408-244"/>
    <m/>
    <m/>
    <x v="0"/>
    <n v="1"/>
    <n v="30"/>
    <n v="30"/>
    <m/>
    <x v="1"/>
  </r>
  <r>
    <n v="246"/>
    <x v="32"/>
    <x v="16"/>
    <x v="289"/>
    <n v="0"/>
    <s v="Rua José Quércia, 170"/>
    <s v="LUIZOTE"/>
    <s v="38414-299"/>
    <m/>
    <m/>
    <x v="1"/>
    <n v="1"/>
    <n v="30"/>
    <n v="30"/>
    <n v="30"/>
    <x v="2"/>
  </r>
  <r>
    <n v="245"/>
    <x v="32"/>
    <x v="16"/>
    <x v="339"/>
    <s v="9.8876-0808"/>
    <s v="Rua José Lélis França, 90"/>
    <s v="SANTA MONICA"/>
    <s v="38408-234"/>
    <m/>
    <m/>
    <x v="1"/>
    <n v="1"/>
    <n v="30"/>
    <n v="30"/>
    <n v="30"/>
    <x v="2"/>
  </r>
  <r>
    <n v="115"/>
    <x v="34"/>
    <x v="21"/>
    <x v="232"/>
    <s v="34.99240-5393"/>
    <s v="R. Rio de Janeiro, 932 apto 101"/>
    <s v=" BRASIL "/>
    <s v="38400-658"/>
    <m/>
    <m/>
    <x v="3"/>
    <n v="1"/>
    <n v="30"/>
    <n v="30"/>
    <m/>
    <x v="0"/>
  </r>
  <r>
    <n v="64"/>
    <x v="35"/>
    <x v="21"/>
    <x v="232"/>
    <s v="34.99240-5393"/>
    <s v="R. Rio de Janeiro, 932 apto 101"/>
    <s v=" BRASIL "/>
    <s v="38400-658"/>
    <m/>
    <m/>
    <x v="3"/>
    <n v="1"/>
    <n v="30"/>
    <n v="30"/>
    <m/>
    <x v="3"/>
  </r>
  <r>
    <n v="37"/>
    <x v="35"/>
    <x v="17"/>
    <x v="275"/>
    <s v="34.99817-1174"/>
    <s v="TRAVESSA ANTONIO FONSECA SILVA, 11"/>
    <s v="APARECIDA"/>
    <s v="38400-676"/>
    <m/>
    <s v="CEDEL"/>
    <x v="3"/>
    <n v="1"/>
    <n v="30"/>
    <n v="30"/>
    <m/>
    <x v="3"/>
  </r>
  <r>
    <n v="51"/>
    <x v="35"/>
    <x v="21"/>
    <x v="340"/>
    <s v="34.3234-3599"/>
    <s v="R. Caiapônia, 54"/>
    <s v=" APARECIDA "/>
    <s v="38400-678"/>
    <m/>
    <m/>
    <x v="1"/>
    <n v="2"/>
    <n v="30"/>
    <n v="60"/>
    <n v="60"/>
    <x v="2"/>
  </r>
  <r>
    <n v="244"/>
    <x v="32"/>
    <x v="16"/>
    <x v="341"/>
    <s v="9.9888-8193"/>
    <s v="Rua Monte Negro, 101 bloco 1 apto 103"/>
    <s v="LARANJEIRAS"/>
    <s v="38410-265"/>
    <m/>
    <m/>
    <x v="2"/>
    <n v="1"/>
    <n v="30"/>
    <n v="30"/>
    <m/>
    <x v="1"/>
  </r>
  <r>
    <n v="243"/>
    <x v="32"/>
    <x v="16"/>
    <x v="342"/>
    <s v=" 031 9.7117-9777"/>
    <s v="Rua Ronan Mendonça Ribeiro, 111 Bloco 5 apto 402"/>
    <s v="ALTO UMUARAMA"/>
    <s v="38405-364"/>
    <m/>
    <m/>
    <x v="1"/>
    <n v="1"/>
    <n v="30"/>
    <n v="30"/>
    <n v="30"/>
    <x v="2"/>
  </r>
  <r>
    <n v="175"/>
    <x v="33"/>
    <x v="17"/>
    <x v="209"/>
    <s v="34.99979-3545"/>
    <s v="AV. BRASIL, 1607"/>
    <s v="BRASIL"/>
    <s v="38400-716"/>
    <m/>
    <m/>
    <x v="3"/>
    <n v="1"/>
    <n v="30"/>
    <n v="30"/>
    <m/>
    <x v="0"/>
  </r>
  <r>
    <n v="38"/>
    <x v="35"/>
    <x v="17"/>
    <x v="209"/>
    <s v="34.99979-3545"/>
    <s v="AV. BRASIL, 1607"/>
    <s v="BRASIL"/>
    <s v="38400-716"/>
    <m/>
    <s v="CEDEL"/>
    <x v="3"/>
    <n v="1"/>
    <n v="30"/>
    <n v="30"/>
    <m/>
    <x v="3"/>
  </r>
  <r>
    <n v="242"/>
    <x v="32"/>
    <x v="16"/>
    <x v="293"/>
    <s v="9.9168-9131"/>
    <s v="Av José Paes de Almeida, 463, apto 404"/>
    <s v="SANTA MONICA"/>
    <s v="38408-140"/>
    <m/>
    <m/>
    <x v="0"/>
    <n v="1"/>
    <n v="30"/>
    <n v="30"/>
    <n v="30"/>
    <x v="2"/>
  </r>
  <r>
    <n v="139"/>
    <x v="33"/>
    <x v="32"/>
    <x v="61"/>
    <s v="34.9948-0722"/>
    <s v="R. Orozimbo José Ferreira"/>
    <s v="APARECIDA"/>
    <s v="38400-774"/>
    <m/>
    <s v="PRISCILLA CRISTINA ALVARENGA"/>
    <x v="4"/>
    <n v="1"/>
    <n v="30"/>
    <n v="30"/>
    <m/>
    <x v="0"/>
  </r>
  <r>
    <n v="49"/>
    <x v="35"/>
    <x v="32"/>
    <x v="343"/>
    <s v="34.9948-0722"/>
    <s v="R. Orozimbo José Ferreira"/>
    <s v="APARECIDA"/>
    <s v="38400-774"/>
    <s v="ESPECIAL ***"/>
    <s v="PRISCILLA CRISTINA ALVARENGA"/>
    <x v="2"/>
    <n v="1"/>
    <n v="30"/>
    <n v="30"/>
    <m/>
    <x v="3"/>
  </r>
  <r>
    <n v="49"/>
    <x v="35"/>
    <x v="32"/>
    <x v="343"/>
    <s v="34.9948-0722"/>
    <s v="R. Orozimbo José Ferreira"/>
    <s v="APARECIDA"/>
    <s v="38400-774"/>
    <s v="ESPECIAL ***"/>
    <s v="PRISCILLA CRISTINA ALVARENGA"/>
    <x v="1"/>
    <n v="2"/>
    <n v="30"/>
    <n v="60"/>
    <m/>
    <x v="3"/>
  </r>
  <r>
    <n v="49"/>
    <x v="35"/>
    <x v="32"/>
    <x v="343"/>
    <s v="34.9948-0722"/>
    <s v="R. Orozimbo José Ferreira"/>
    <s v="APARECIDA"/>
    <s v="38400-774"/>
    <s v="ESPECIAL ***"/>
    <s v="PRISCILLA CRISTINA ALVARENGA"/>
    <x v="0"/>
    <n v="1"/>
    <n v="30"/>
    <n v="30"/>
    <m/>
    <x v="3"/>
  </r>
  <r>
    <n v="73"/>
    <x v="35"/>
    <x v="21"/>
    <x v="344"/>
    <s v="34.3219-8591"/>
    <s v="R. Francisco Vieira de Paiva, 320"/>
    <s v="ROOSEVELT"/>
    <s v="38401-002"/>
    <m/>
    <m/>
    <x v="1"/>
    <n v="1"/>
    <n v="30"/>
    <n v="30"/>
    <n v="30"/>
    <x v="2"/>
  </r>
  <r>
    <n v="241"/>
    <x v="36"/>
    <x v="19"/>
    <x v="165"/>
    <n v="0"/>
    <s v="Rua África 1013"/>
    <s v="MANSÕES AEROPORTO"/>
    <s v="38406-407"/>
    <m/>
    <m/>
    <x v="3"/>
    <n v="1"/>
    <n v="30"/>
    <n v="30"/>
    <m/>
    <x v="1"/>
  </r>
  <r>
    <n v="240"/>
    <x v="36"/>
    <x v="19"/>
    <x v="345"/>
    <s v="9.9977-6097"/>
    <s v="Rua Bernardo Cupertino, 349 apto 401"/>
    <s v="MARTINS"/>
    <s v="38400-444"/>
    <m/>
    <m/>
    <x v="1"/>
    <n v="1"/>
    <n v="30"/>
    <n v="30"/>
    <m/>
    <x v="1"/>
  </r>
  <r>
    <n v="239"/>
    <x v="36"/>
    <x v="19"/>
    <x v="33"/>
    <s v="34.99942-3020"/>
    <s v="Rua Cipriano Del Favero 659 Aptº 1200  "/>
    <s v=" CENTRO "/>
    <s v="38400-106"/>
    <m/>
    <m/>
    <x v="2"/>
    <n v="1"/>
    <n v="30"/>
    <n v="30"/>
    <m/>
    <x v="1"/>
  </r>
  <r>
    <n v="239"/>
    <x v="36"/>
    <x v="19"/>
    <x v="33"/>
    <s v="34.99942-3020"/>
    <s v="Rua Cipriano Del Favero 659 Aptº 1200  "/>
    <s v=" CENTRO "/>
    <s v="38400-106"/>
    <m/>
    <m/>
    <x v="3"/>
    <n v="1"/>
    <n v="30"/>
    <n v="30"/>
    <m/>
    <x v="1"/>
  </r>
  <r>
    <n v="238"/>
    <x v="36"/>
    <x v="19"/>
    <x v="277"/>
    <s v="34.99690-8656"/>
    <s v="Rua João Severiano Rodrigesda Cunha 879 casa 10 "/>
    <s v="ITAPEMA SUL"/>
    <s v="38411-356"/>
    <m/>
    <s v="JOSÉ LUIZ"/>
    <x v="2"/>
    <n v="1"/>
    <n v="30"/>
    <n v="30"/>
    <m/>
    <x v="1"/>
  </r>
  <r>
    <n v="237"/>
    <x v="36"/>
    <x v="19"/>
    <x v="245"/>
    <n v="0"/>
    <n v="0"/>
    <n v="0"/>
    <m/>
    <m/>
    <s v="JOSÉ LUIZ"/>
    <x v="1"/>
    <n v="1"/>
    <n v="30"/>
    <n v="30"/>
    <m/>
    <x v="1"/>
  </r>
  <r>
    <n v="237"/>
    <x v="36"/>
    <x v="19"/>
    <x v="245"/>
    <n v="0"/>
    <n v="0"/>
    <n v="0"/>
    <m/>
    <m/>
    <s v="JOSÉ LUIZ"/>
    <x v="2"/>
    <n v="1"/>
    <n v="30"/>
    <n v="30"/>
    <m/>
    <x v="1"/>
  </r>
  <r>
    <n v="236"/>
    <x v="36"/>
    <x v="19"/>
    <x v="242"/>
    <s v="9.9237-0104"/>
    <s v="Rua Olivia Almeida e Silva, 137, Condominio Uruguai "/>
    <s v="JD AMÉRICA"/>
    <s v="38401-788"/>
    <m/>
    <m/>
    <x v="1"/>
    <n v="1"/>
    <n v="30"/>
    <n v="30"/>
    <m/>
    <x v="1"/>
  </r>
  <r>
    <n v="65"/>
    <x v="35"/>
    <x v="21"/>
    <x v="346"/>
    <s v=" 34.3215-1659/ 34.99969-9388"/>
    <s v="Av. Constelação, 791"/>
    <s v=" JD. BRASÍLIA "/>
    <s v="38401-478"/>
    <m/>
    <m/>
    <x v="3"/>
    <n v="1"/>
    <n v="30"/>
    <n v="30"/>
    <n v="30"/>
    <x v="2"/>
  </r>
  <r>
    <n v="65"/>
    <x v="35"/>
    <x v="21"/>
    <x v="346"/>
    <s v=" 34.3215-1659/ 34.99969-9388"/>
    <s v="Av. Constelação, 791"/>
    <s v=" JD. BRASÍLIA "/>
    <s v="38401-478"/>
    <m/>
    <m/>
    <x v="1"/>
    <n v="1"/>
    <n v="30"/>
    <n v="30"/>
    <n v="30"/>
    <x v="2"/>
  </r>
  <r>
    <n v="235"/>
    <x v="36"/>
    <x v="19"/>
    <x v="243"/>
    <s v="9.998-8810"/>
    <n v="0"/>
    <s v="ZÉ LUIZ"/>
    <m/>
    <m/>
    <s v="JOSÉ LUIZ"/>
    <x v="2"/>
    <n v="1"/>
    <n v="30"/>
    <n v="30"/>
    <m/>
    <x v="1"/>
  </r>
  <r>
    <n v="234"/>
    <x v="36"/>
    <x v="19"/>
    <x v="10"/>
    <s v="34.3213-2775"/>
    <s v="R. Pedro Quirino da Silva, 341 "/>
    <s v="MARTA HELENA "/>
    <s v="38402-075"/>
    <s v="RODRIGO/ZÉ LUIZ"/>
    <m/>
    <x v="1"/>
    <n v="1"/>
    <n v="30"/>
    <n v="30"/>
    <m/>
    <x v="1"/>
  </r>
  <r>
    <n v="233"/>
    <x v="36"/>
    <x v="19"/>
    <x v="246"/>
    <s v="9.9766-0500"/>
    <n v="0"/>
    <s v="CEDEL"/>
    <m/>
    <m/>
    <m/>
    <x v="4"/>
    <n v="1"/>
    <n v="30"/>
    <n v="30"/>
    <m/>
    <x v="1"/>
  </r>
  <r>
    <n v="232"/>
    <x v="36"/>
    <x v="7"/>
    <x v="210"/>
    <s v="34.99167-3677"/>
    <s v="Av Dr Laerte viera Gonçalves, 2415 - ap 102"/>
    <s v="SANTA MONICA"/>
    <s v="38408-176"/>
    <m/>
    <m/>
    <x v="2"/>
    <n v="1"/>
    <n v="30"/>
    <n v="30"/>
    <n v="30"/>
    <x v="2"/>
  </r>
  <r>
    <n v="232"/>
    <x v="36"/>
    <x v="7"/>
    <x v="210"/>
    <s v="34.99167-3677"/>
    <s v="Av Dr Laerte viera Gonçalves, 2415 - ap 102"/>
    <s v="SANTA MONICA"/>
    <s v="38408-176"/>
    <m/>
    <m/>
    <x v="3"/>
    <n v="1"/>
    <n v="30"/>
    <n v="30"/>
    <n v="30"/>
    <x v="2"/>
  </r>
  <r>
    <n v="231"/>
    <x v="36"/>
    <x v="7"/>
    <x v="40"/>
    <s v="34.98845-0023"/>
    <s v="Rua Prof. Ciro de Castro Almeida, 1576"/>
    <s v="CUSTÓDIO PEREIRA"/>
    <s v=" 38405-250"/>
    <m/>
    <m/>
    <x v="0"/>
    <n v="1"/>
    <n v="30"/>
    <n v="30"/>
    <n v="30"/>
    <x v="2"/>
  </r>
  <r>
    <n v="231"/>
    <x v="36"/>
    <x v="7"/>
    <x v="40"/>
    <s v="34.98845-0023"/>
    <s v="Rua Prof. Ciro de Castro Almeida, 1576"/>
    <s v="CUSTÓDIO PEREIRA"/>
    <s v=" 38405-250"/>
    <m/>
    <m/>
    <x v="2"/>
    <n v="1"/>
    <n v="30"/>
    <n v="30"/>
    <n v="30"/>
    <x v="2"/>
  </r>
  <r>
    <n v="230"/>
    <x v="36"/>
    <x v="7"/>
    <x v="39"/>
    <s v="34.98803-5267"/>
    <s v="Rua Campo Rupestre, 193"/>
    <s v=" JD. BOTANICO "/>
    <s v="38410-664"/>
    <m/>
    <m/>
    <x v="1"/>
    <n v="1"/>
    <n v="30"/>
    <n v="30"/>
    <n v="30"/>
    <x v="2"/>
  </r>
  <r>
    <n v="154"/>
    <x v="33"/>
    <x v="19"/>
    <x v="10"/>
    <s v="34.3213-2775"/>
    <s v="R. Pedro Quirino da Silva, 341 "/>
    <s v="MARTA HELENA "/>
    <s v="38402-075"/>
    <m/>
    <s v="CEDEL"/>
    <x v="1"/>
    <n v="1"/>
    <n v="30"/>
    <n v="30"/>
    <m/>
    <x v="0"/>
  </r>
  <r>
    <n v="151"/>
    <x v="33"/>
    <x v="10"/>
    <x v="10"/>
    <s v="34.3213-2775"/>
    <s v="R. Pedro Quirino da Silva, 341 "/>
    <s v="MARTA HELENA "/>
    <s v="38402-075"/>
    <m/>
    <m/>
    <x v="1"/>
    <n v="1"/>
    <n v="30"/>
    <n v="30"/>
    <m/>
    <x v="0"/>
  </r>
  <r>
    <n v="138"/>
    <x v="33"/>
    <x v="32"/>
    <x v="10"/>
    <s v="34.3213-2775"/>
    <s v="R. Pedro Quirino da Silva, 341 "/>
    <s v="MARTA HELENA "/>
    <s v="38402-075"/>
    <m/>
    <m/>
    <x v="1"/>
    <n v="1"/>
    <n v="30"/>
    <n v="30"/>
    <n v="30"/>
    <x v="0"/>
  </r>
  <r>
    <n v="105"/>
    <x v="34"/>
    <x v="21"/>
    <x v="10"/>
    <s v="34.3213-2775"/>
    <s v="R. Pedro Quirino da Silva, 341 "/>
    <s v="MARTA HELENA "/>
    <s v="38402-075"/>
    <m/>
    <m/>
    <x v="1"/>
    <n v="5"/>
    <n v="30"/>
    <n v="150"/>
    <n v="150"/>
    <x v="0"/>
  </r>
  <r>
    <n v="76"/>
    <x v="35"/>
    <x v="24"/>
    <x v="203"/>
    <s v="34.99979-3354"/>
    <s v="R. Pedro Quirino da Silva, 341 "/>
    <s v="MARTA HELENA "/>
    <s v="38402-075"/>
    <s v="NA FALE"/>
    <s v="CÉSAR"/>
    <x v="1"/>
    <n v="1"/>
    <n v="30"/>
    <n v="30"/>
    <m/>
    <x v="3"/>
  </r>
  <r>
    <n v="74"/>
    <x v="35"/>
    <x v="21"/>
    <x v="347"/>
    <s v="34.3213-2775"/>
    <s v="R. Pedro Quirino Silva, 341"/>
    <s v=" N.SRA GRAÇAS "/>
    <s v="38402-075"/>
    <m/>
    <m/>
    <x v="1"/>
    <n v="5"/>
    <n v="30"/>
    <n v="150"/>
    <n v="150"/>
    <x v="2"/>
  </r>
  <r>
    <n v="48"/>
    <x v="35"/>
    <x v="32"/>
    <x v="10"/>
    <s v="34.3213-2775"/>
    <s v="R. Pedro Quirino da Silva, 341 "/>
    <s v="MARTA HELENA "/>
    <s v="38402-075"/>
    <m/>
    <s v="PRISCILLA CRISTINA ALVARENGA"/>
    <x v="1"/>
    <n v="2"/>
    <n v="30"/>
    <n v="60"/>
    <m/>
    <x v="3"/>
  </r>
  <r>
    <n v="16"/>
    <x v="35"/>
    <x v="19"/>
    <x v="348"/>
    <n v="0"/>
    <s v="R. Pedro Quirino da Silva, 341 "/>
    <s v="MARTA HELENA "/>
    <s v="38402-075"/>
    <s v="IRÁ BUSCAR"/>
    <s v="JOSÉ LUIZ"/>
    <x v="1"/>
    <n v="1"/>
    <n v="30"/>
    <n v="30"/>
    <m/>
    <x v="3"/>
  </r>
  <r>
    <n v="10"/>
    <x v="35"/>
    <x v="10"/>
    <x v="10"/>
    <s v="34.3213-2775"/>
    <s v="R. Pedro Quirino da Silva, 341 "/>
    <s v="MARTA HELENA "/>
    <s v="38402-075"/>
    <s v="IRÁ BUSCAR"/>
    <s v="RODOLFO"/>
    <x v="1"/>
    <n v="1"/>
    <n v="30"/>
    <n v="30"/>
    <m/>
    <x v="3"/>
  </r>
  <r>
    <n v="229"/>
    <x v="36"/>
    <x v="7"/>
    <x v="41"/>
    <s v="34.99133-6005"/>
    <s v="Rua Caxambu, 284 - ap 103"/>
    <s v=" OSVALDO RESENDE "/>
    <s v="38400-418"/>
    <s v="ENTREGA DOMINGO A NOITE"/>
    <m/>
    <x v="0"/>
    <n v="1"/>
    <n v="30"/>
    <n v="30"/>
    <m/>
    <x v="1"/>
  </r>
  <r>
    <n v="228"/>
    <x v="36"/>
    <x v="17"/>
    <x v="349"/>
    <n v="0"/>
    <n v="0"/>
    <n v="0"/>
    <m/>
    <m/>
    <m/>
    <x v="2"/>
    <n v="1"/>
    <n v="30"/>
    <n v="30"/>
    <m/>
    <x v="1"/>
  </r>
  <r>
    <n v="227"/>
    <x v="36"/>
    <x v="17"/>
    <x v="8"/>
    <s v="9.9149-1390"/>
    <n v="0"/>
    <s v="CEDEL"/>
    <m/>
    <m/>
    <m/>
    <x v="2"/>
    <n v="1"/>
    <n v="30"/>
    <n v="30"/>
    <m/>
    <x v="1"/>
  </r>
  <r>
    <n v="226"/>
    <x v="36"/>
    <x v="17"/>
    <x v="209"/>
    <s v="34.99979-3545"/>
    <s v="AV. BRASIL, 1607"/>
    <s v="BRASIL"/>
    <s v="38400-716"/>
    <m/>
    <m/>
    <x v="3"/>
    <n v="1"/>
    <n v="30"/>
    <n v="30"/>
    <m/>
    <x v="1"/>
  </r>
  <r>
    <n v="225"/>
    <x v="36"/>
    <x v="17"/>
    <x v="309"/>
    <n v="0"/>
    <s v="AV. CESARIO CROSARA 2507 "/>
    <s v="ROOSEVELT"/>
    <s v="38401-119"/>
    <m/>
    <m/>
    <x v="5"/>
    <m/>
    <n v="30"/>
    <n v="30"/>
    <m/>
    <x v="1"/>
  </r>
  <r>
    <n v="224"/>
    <x v="36"/>
    <x v="17"/>
    <x v="295"/>
    <s v="9.9978-0317"/>
    <s v="AV. CESARIO CROSARA 2507 "/>
    <s v="ROOSEVELT"/>
    <s v="38401-119"/>
    <m/>
    <s v="CEDEL"/>
    <x v="0"/>
    <n v="1"/>
    <n v="30"/>
    <n v="30"/>
    <m/>
    <x v="1"/>
  </r>
  <r>
    <n v="224"/>
    <x v="36"/>
    <x v="17"/>
    <x v="295"/>
    <s v="9.9978-0317"/>
    <s v="AV. CESARIO CROSARA 2507 "/>
    <s v="ROOSEVELT"/>
    <s v="38401-119"/>
    <m/>
    <s v="CEDEL"/>
    <x v="3"/>
    <n v="1"/>
    <n v="30"/>
    <n v="30"/>
    <m/>
    <x v="1"/>
  </r>
  <r>
    <n v="223"/>
    <x v="36"/>
    <x v="17"/>
    <x v="269"/>
    <s v="99990-2430"/>
    <s v="R. JOSÉ OLIVEIRA PINTO 34 "/>
    <s v="TUBALINA"/>
    <s v="38412-098"/>
    <m/>
    <s v="CEDEL"/>
    <x v="1"/>
    <n v="1"/>
    <n v="30"/>
    <n v="30"/>
    <m/>
    <x v="1"/>
  </r>
  <r>
    <n v="222"/>
    <x v="36"/>
    <x v="17"/>
    <x v="208"/>
    <s v="34.99979-5832"/>
    <n v="0"/>
    <n v="0"/>
    <m/>
    <m/>
    <s v="CEDEL"/>
    <x v="2"/>
    <n v="1"/>
    <n v="30"/>
    <n v="30"/>
    <m/>
    <x v="1"/>
  </r>
  <r>
    <n v="221"/>
    <x v="36"/>
    <x v="17"/>
    <x v="190"/>
    <s v="34.99286-0302"/>
    <s v="Rua Luiz Dela Pena, 382"/>
    <s v="MARTINS"/>
    <s v="38400-398"/>
    <m/>
    <m/>
    <x v="1"/>
    <n v="1"/>
    <n v="30"/>
    <n v="30"/>
    <m/>
    <x v="1"/>
  </r>
  <r>
    <n v="220"/>
    <x v="36"/>
    <x v="17"/>
    <x v="276"/>
    <s v="34.99145-7868"/>
    <s v="R. ARNALDO TUCCI 1289 ANT34 "/>
    <s v="SANTA MONICA"/>
    <s v="38408-256"/>
    <m/>
    <m/>
    <x v="2"/>
    <n v="1"/>
    <n v="30"/>
    <n v="30"/>
    <m/>
    <x v="1"/>
  </r>
  <r>
    <n v="162"/>
    <x v="33"/>
    <x v="25"/>
    <x v="241"/>
    <s v="34.99913-9667"/>
    <s v="R: FRANCISCA ALVES AZEVEDO, 35 "/>
    <s v="JARDIM IPANEMA I"/>
    <s v="38406-211"/>
    <m/>
    <m/>
    <x v="2"/>
    <n v="1"/>
    <n v="30"/>
    <n v="30"/>
    <m/>
    <x v="0"/>
  </r>
  <r>
    <n v="43"/>
    <x v="35"/>
    <x v="25"/>
    <x v="241"/>
    <s v="34.99913-9667"/>
    <s v="R: FRANCISCA ALVES AZEVEDO, 35 "/>
    <s v="JARDIM IPANEMA I"/>
    <s v="38406-211"/>
    <m/>
    <m/>
    <x v="3"/>
    <n v="1"/>
    <n v="30"/>
    <n v="30"/>
    <m/>
    <x v="3"/>
  </r>
  <r>
    <n v="219"/>
    <x v="36"/>
    <x v="17"/>
    <x v="161"/>
    <s v="34.99669-6170"/>
    <s v="Rua Prof. Ciro de Castro Almeida, 1576"/>
    <s v="CUSTÓDIO PEREIRA"/>
    <s v="38405-250"/>
    <s v="CASA REGINA"/>
    <m/>
    <x v="2"/>
    <n v="4"/>
    <n v="30"/>
    <n v="120"/>
    <n v="120"/>
    <x v="2"/>
  </r>
  <r>
    <n v="170"/>
    <x v="33"/>
    <x v="30"/>
    <x v="350"/>
    <s v="34.99929-8875"/>
    <s v="R.José Rodrigues Queiroz, 57, Apto. 401"/>
    <s v=" SANTA MARIA "/>
    <s v="38408-038"/>
    <m/>
    <m/>
    <x v="2"/>
    <n v="1"/>
    <n v="30"/>
    <n v="30"/>
    <m/>
    <x v="0"/>
  </r>
  <r>
    <n v="8"/>
    <x v="35"/>
    <x v="33"/>
    <x v="351"/>
    <s v="34.99929-8875"/>
    <s v="R.José Rodrigues Queiroz, 57, Apto. 401"/>
    <s v=" SANTA MARIA "/>
    <s v="38408-038"/>
    <m/>
    <s v="MICHELE/LEANDRO"/>
    <x v="2"/>
    <n v="1"/>
    <n v="30"/>
    <n v="30"/>
    <n v="30"/>
    <x v="2"/>
  </r>
  <r>
    <n v="66"/>
    <x v="35"/>
    <x v="21"/>
    <x v="116"/>
    <s v="34.99661-5002"/>
    <s v="Av. José Zacarias Junqueira, Ed Ile de France, 190 apto 1203"/>
    <s v=" SANTA MARIA "/>
    <s v="38408-044"/>
    <m/>
    <m/>
    <x v="2"/>
    <n v="1"/>
    <n v="30"/>
    <n v="30"/>
    <m/>
    <x v="3"/>
  </r>
  <r>
    <n v="218"/>
    <x v="36"/>
    <x v="17"/>
    <x v="59"/>
    <n v="0"/>
    <n v="0"/>
    <n v="0"/>
    <m/>
    <m/>
    <m/>
    <x v="1"/>
    <n v="2"/>
    <n v="30"/>
    <n v="60"/>
    <m/>
    <x v="1"/>
  </r>
  <r>
    <n v="217"/>
    <x v="36"/>
    <x v="17"/>
    <x v="207"/>
    <s v="34.99147-8758"/>
    <n v="0"/>
    <n v="0"/>
    <m/>
    <m/>
    <m/>
    <x v="0"/>
    <n v="2"/>
    <n v="30"/>
    <n v="60"/>
    <m/>
    <x v="1"/>
  </r>
  <r>
    <n v="63"/>
    <x v="35"/>
    <x v="21"/>
    <x v="215"/>
    <s v="34.98861-0155  34.3231-1098"/>
    <s v="Av Alexandre Ribeiro Guimarães, 603"/>
    <s v=" SANTA MARIA "/>
    <s v="38408-050"/>
    <m/>
    <m/>
    <x v="1"/>
    <n v="1"/>
    <n v="30"/>
    <n v="30"/>
    <m/>
    <x v="3"/>
  </r>
  <r>
    <n v="67"/>
    <x v="35"/>
    <x v="21"/>
    <x v="266"/>
    <s v="34.99148-4283"/>
    <s v="R. Waldomira Resende, 315 apto 201"/>
    <s v="SANTA MONICA"/>
    <s v="38408-078"/>
    <m/>
    <m/>
    <x v="1"/>
    <n v="1"/>
    <n v="30"/>
    <n v="30"/>
    <m/>
    <x v="3"/>
  </r>
  <r>
    <n v="216"/>
    <x v="36"/>
    <x v="17"/>
    <x v="62"/>
    <s v="34.99676-2593 "/>
    <s v="R. ANITA 125 PASSARELA AV. LIBERDADE ALTAMIRA"/>
    <s v="MORADA DA COLINA"/>
    <s v="38411-014"/>
    <m/>
    <m/>
    <x v="2"/>
    <n v="1"/>
    <n v="30"/>
    <n v="30"/>
    <m/>
    <x v="1"/>
  </r>
  <r>
    <n v="216"/>
    <x v="36"/>
    <x v="17"/>
    <x v="62"/>
    <s v="34.99676-2593 "/>
    <s v="R. ANITA 125 PASSARELA AV. LIBERDADE ALTAMIRA"/>
    <s v="MORADA DA COLINA"/>
    <s v="38411-014"/>
    <m/>
    <m/>
    <x v="3"/>
    <n v="1"/>
    <n v="30"/>
    <n v="30"/>
    <m/>
    <x v="1"/>
  </r>
  <r>
    <n v="215"/>
    <x v="36"/>
    <x v="17"/>
    <x v="352"/>
    <n v="0"/>
    <s v="R. DOS PINHEIROS 369"/>
    <s v=" CIDADE JARDIM "/>
    <s v="38412-102"/>
    <m/>
    <m/>
    <x v="1"/>
    <n v="1"/>
    <n v="30"/>
    <n v="30"/>
    <m/>
    <x v="1"/>
  </r>
  <r>
    <n v="167"/>
    <x v="33"/>
    <x v="7"/>
    <x v="210"/>
    <s v="34.99167-3677"/>
    <s v="Av Dr Laerte viera Gonçalves, 2415 - ap 102"/>
    <s v="SANTA MONICA"/>
    <s v="38408-176"/>
    <m/>
    <m/>
    <x v="2"/>
    <n v="1"/>
    <n v="30"/>
    <n v="30"/>
    <m/>
    <x v="0"/>
  </r>
  <r>
    <n v="167"/>
    <x v="33"/>
    <x v="7"/>
    <x v="210"/>
    <s v="34.99167-3677"/>
    <s v="Av Dr Laerte viera Gonçalves, 2415 - ap 102"/>
    <s v="SANTA MONICA"/>
    <s v="38408-176"/>
    <m/>
    <s v="GABRIEL"/>
    <x v="3"/>
    <n v="1"/>
    <n v="30"/>
    <n v="30"/>
    <m/>
    <x v="0"/>
  </r>
  <r>
    <n v="214"/>
    <x v="36"/>
    <x v="29"/>
    <x v="317"/>
    <s v="9.9780-2006"/>
    <s v="Rua Perdizes, 222 casa 1 "/>
    <s v="CIDADE JARDIM"/>
    <s v="38412-152"/>
    <m/>
    <m/>
    <x v="0"/>
    <n v="1"/>
    <n v="30"/>
    <n v="30"/>
    <m/>
    <x v="1"/>
  </r>
  <r>
    <n v="213"/>
    <x v="36"/>
    <x v="29"/>
    <x v="353"/>
    <s v="9.9665-8081"/>
    <s v=" Rua José Zacarias Junqueira 384"/>
    <s v="SARAIVA"/>
    <s v="38408-044 "/>
    <m/>
    <m/>
    <x v="1"/>
    <n v="1"/>
    <n v="30"/>
    <n v="30"/>
    <m/>
    <x v="1"/>
  </r>
  <r>
    <n v="212"/>
    <x v="36"/>
    <x v="29"/>
    <x v="354"/>
    <s v="9.9202-4305 "/>
    <s v="Rua Alfa, 195 apto 704"/>
    <s v="SARAIVA"/>
    <s v="38408-480"/>
    <m/>
    <m/>
    <x v="2"/>
    <n v="1"/>
    <n v="30"/>
    <n v="30"/>
    <m/>
    <x v="1"/>
  </r>
  <r>
    <n v="161"/>
    <x v="33"/>
    <x v="25"/>
    <x v="205"/>
    <s v="34.99196-8079"/>
    <s v="RUA PEDRO JOSE SAMORA, 1468, ANT 17 "/>
    <s v=" SANTA MONICA "/>
    <s v="38408-224"/>
    <m/>
    <m/>
    <x v="0"/>
    <n v="2"/>
    <n v="30"/>
    <n v="60"/>
    <n v="60"/>
    <x v="0"/>
  </r>
  <r>
    <n v="42"/>
    <x v="35"/>
    <x v="25"/>
    <x v="355"/>
    <s v="34.99196-8079"/>
    <s v="RUA PEDRO JOSE SAMORA, 1468, ANT 17 "/>
    <s v=" SANTA MONICA "/>
    <s v="38408-224"/>
    <m/>
    <m/>
    <x v="0"/>
    <n v="2"/>
    <n v="30"/>
    <n v="60"/>
    <n v="60"/>
    <x v="2"/>
  </r>
  <r>
    <n v="211"/>
    <x v="36"/>
    <x v="29"/>
    <x v="65"/>
    <s v="34.99996-4095"/>
    <s v="End: rua Virgílio M. Franco, 340,  apto 32"/>
    <s v=" TABAJARAS "/>
    <s v="38400-238"/>
    <m/>
    <m/>
    <x v="3"/>
    <n v="1"/>
    <n v="30"/>
    <n v="30"/>
    <m/>
    <x v="1"/>
  </r>
  <r>
    <n v="210"/>
    <x v="36"/>
    <x v="29"/>
    <x v="140"/>
    <s v="9.9811-4187"/>
    <s v="Rua Tupaciguara 400 ap 701  - Entrega até 13h"/>
    <s v="APARECIDA"/>
    <s v="38400-618"/>
    <m/>
    <m/>
    <x v="0"/>
    <n v="2"/>
    <n v="30"/>
    <n v="60"/>
    <m/>
    <x v="1"/>
  </r>
  <r>
    <n v="209"/>
    <x v="36"/>
    <x v="25"/>
    <x v="240"/>
    <s v="9.9215-5938"/>
    <s v="R. Joao Rodrigues Castro, 400"/>
    <s v="JARDIM PATRÍCIA"/>
    <s v="38414-122"/>
    <m/>
    <m/>
    <x v="0"/>
    <n v="1"/>
    <n v="30"/>
    <n v="30"/>
    <m/>
    <x v="1"/>
  </r>
  <r>
    <n v="208"/>
    <x v="36"/>
    <x v="25"/>
    <x v="296"/>
    <s v="34.99262-7350"/>
    <s v="R: Alberto Martins Ribeiro,232"/>
    <s v=" JD. PATRÍCIA "/>
    <s v="38414-162"/>
    <m/>
    <m/>
    <x v="1"/>
    <n v="1"/>
    <n v="30"/>
    <n v="30"/>
    <m/>
    <x v="1"/>
  </r>
  <r>
    <n v="117"/>
    <x v="34"/>
    <x v="21"/>
    <x v="264"/>
    <s v=" 34.3237-4538/ 34.99129-2747"/>
    <s v="R. Sebastião Rangel, 593"/>
    <s v="SANTA MONICA"/>
    <s v="38408-250"/>
    <m/>
    <m/>
    <x v="2"/>
    <n v="1"/>
    <n v="30"/>
    <n v="30"/>
    <m/>
    <x v="0"/>
  </r>
  <r>
    <n v="55"/>
    <x v="35"/>
    <x v="21"/>
    <x v="264"/>
    <s v=" 34.3237-4538/ 34.99129-2747"/>
    <s v="R. Sebastião Rangel, 593"/>
    <s v="SANTA MONICA"/>
    <s v="38408-250"/>
    <m/>
    <m/>
    <x v="2"/>
    <n v="1"/>
    <n v="30"/>
    <n v="30"/>
    <m/>
    <x v="3"/>
  </r>
  <r>
    <n v="207"/>
    <x v="36"/>
    <x v="25"/>
    <x v="267"/>
    <s v="9.8822-2019"/>
    <s v="R: DO AMENDOIN, 3100, CASA 08"/>
    <s v="MINAS GERAIS"/>
    <s v="38402-206"/>
    <m/>
    <m/>
    <x v="1"/>
    <n v="1"/>
    <n v="30"/>
    <n v="30"/>
    <m/>
    <x v="1"/>
  </r>
  <r>
    <n v="180"/>
    <x v="33"/>
    <x v="17"/>
    <x v="276"/>
    <s v="34.99145-7868"/>
    <s v="R. ARNALDO TUCCI 1289 ANT34 "/>
    <s v="SANTA MONICA"/>
    <s v="38408-256"/>
    <m/>
    <m/>
    <x v="2"/>
    <n v="1"/>
    <n v="30"/>
    <n v="30"/>
    <m/>
    <x v="0"/>
  </r>
  <r>
    <n v="35"/>
    <x v="35"/>
    <x v="17"/>
    <x v="356"/>
    <s v="34.99145-7868"/>
    <s v="R. ARNALDO TUCCI 1289 ANT34 "/>
    <s v="SANTA MONICA"/>
    <s v="38408-256"/>
    <m/>
    <s v="CEDEL"/>
    <x v="2"/>
    <n v="1"/>
    <n v="30"/>
    <n v="30"/>
    <m/>
    <x v="3"/>
  </r>
  <r>
    <n v="206"/>
    <x v="36"/>
    <x v="25"/>
    <x v="298"/>
    <s v="9.9643-9349 "/>
    <s v="R: CONEGO PEDRO PEZZUTI, 29"/>
    <s v="CUSTÓDIO PEREIRA"/>
    <s v="38405-258"/>
    <m/>
    <m/>
    <x v="2"/>
    <n v="1"/>
    <n v="30"/>
    <n v="30"/>
    <n v="30"/>
    <x v="2"/>
  </r>
  <r>
    <n v="50"/>
    <x v="35"/>
    <x v="32"/>
    <x v="357"/>
    <s v="34.99656-4988"/>
    <s v="R. JOÃO ANGELO SCHIAVINATO, 1423 - ANT 43"/>
    <s v=" SANTA MONICA "/>
    <s v="38408-272"/>
    <m/>
    <m/>
    <x v="1"/>
    <n v="1"/>
    <n v="30"/>
    <n v="30"/>
    <n v="30"/>
    <x v="2"/>
  </r>
  <r>
    <n v="205"/>
    <x v="36"/>
    <x v="25"/>
    <x v="205"/>
    <s v="34.99196-8079"/>
    <s v="RUA PEDRO JOSE SAMORA, 1468, ANT 17 "/>
    <s v=" SANTA MONICA "/>
    <s v="38408-224"/>
    <m/>
    <m/>
    <x v="0"/>
    <n v="2"/>
    <n v="30"/>
    <n v="60"/>
    <n v="60"/>
    <x v="2"/>
  </r>
  <r>
    <n v="61"/>
    <x v="35"/>
    <x v="21"/>
    <x v="199"/>
    <s v="34.98856-2310"/>
    <s v="R. Patrulheiro Osmar Tavares, 1331 apto 303 antiga 21"/>
    <s v="SANTA MONICA"/>
    <s v="38408-294"/>
    <m/>
    <m/>
    <x v="1"/>
    <n v="1"/>
    <n v="30"/>
    <n v="30"/>
    <m/>
    <x v="3"/>
  </r>
  <r>
    <n v="118"/>
    <x v="34"/>
    <x v="21"/>
    <x v="263"/>
    <s v=" 3214-4522 / 34.99996-0527"/>
    <s v="R.Cel Antônio Alves Pereira, 1874"/>
    <s v=" SARAIVA "/>
    <s v="38408-370"/>
    <m/>
    <m/>
    <x v="1"/>
    <n v="1"/>
    <n v="30"/>
    <n v="30"/>
    <m/>
    <x v="0"/>
  </r>
  <r>
    <n v="70"/>
    <x v="35"/>
    <x v="21"/>
    <x v="263"/>
    <s v=" 3214-4522 / 34.99996-0527"/>
    <s v="R.Cel Antônio Alves Pereira, 1874"/>
    <s v="BELO HORIZONTE"/>
    <s v="38408-370"/>
    <m/>
    <m/>
    <x v="1"/>
    <n v="1"/>
    <n v="30"/>
    <n v="30"/>
    <m/>
    <x v="3"/>
  </r>
  <r>
    <n v="106"/>
    <x v="34"/>
    <x v="21"/>
    <x v="265"/>
    <s v="34.99632-5003"/>
    <s v="R. Duque de Caxias, 1390"/>
    <s v=" SARAIVA "/>
    <s v="38408-382"/>
    <m/>
    <m/>
    <x v="2"/>
    <n v="1"/>
    <n v="30"/>
    <n v="30"/>
    <m/>
    <x v="0"/>
  </r>
  <r>
    <n v="71"/>
    <x v="35"/>
    <x v="21"/>
    <x v="265"/>
    <s v="34.99632-5003"/>
    <s v="R. Duque de Caxias, 1390"/>
    <s v=" SARAIVA "/>
    <s v="38408-382"/>
    <m/>
    <m/>
    <x v="3"/>
    <n v="1"/>
    <n v="30"/>
    <n v="30"/>
    <m/>
    <x v="3"/>
  </r>
  <r>
    <n v="204"/>
    <x v="36"/>
    <x v="25"/>
    <x v="204"/>
    <s v="34.99166-0731"/>
    <s v="RUA MARQUES POVOA, 456"/>
    <s v=" OSVALDO RESENDE "/>
    <s v="38400-438"/>
    <m/>
    <m/>
    <x v="1"/>
    <n v="1"/>
    <n v="30"/>
    <n v="30"/>
    <n v="30"/>
    <x v="2"/>
  </r>
  <r>
    <n v="68"/>
    <x v="35"/>
    <x v="21"/>
    <x v="358"/>
    <s v="34.99977-1556"/>
    <s v="R. Vinícius Degane, 615"/>
    <s v="VIGILATO PEREIRA "/>
    <s v="38408-630"/>
    <m/>
    <m/>
    <x v="2"/>
    <n v="1"/>
    <n v="30"/>
    <n v="30"/>
    <m/>
    <x v="3"/>
  </r>
  <r>
    <n v="203"/>
    <x v="36"/>
    <x v="12"/>
    <x v="90"/>
    <n v="0"/>
    <n v="0"/>
    <n v="0"/>
    <m/>
    <m/>
    <s v="XANDE/ELIS"/>
    <x v="2"/>
    <n v="2"/>
    <n v="30"/>
    <n v="60"/>
    <m/>
    <x v="1"/>
  </r>
  <r>
    <n v="142"/>
    <x v="33"/>
    <x v="28"/>
    <x v="255"/>
    <s v="34.99128-4121"/>
    <s v="R. RAUL PETRONILHO DE PÁDUA 187"/>
    <s v="GRANADA"/>
    <s v="38410-020"/>
    <m/>
    <m/>
    <x v="0"/>
    <n v="1"/>
    <n v="30"/>
    <n v="30"/>
    <m/>
    <x v="0"/>
  </r>
  <r>
    <n v="11"/>
    <x v="35"/>
    <x v="28"/>
    <x v="255"/>
    <s v="34.99128-4121"/>
    <s v="R. RAUL PETRONILHO DE PÁDUA 187"/>
    <s v="GRANADA"/>
    <s v="38410-020"/>
    <s v="IRÁ BUSCAR"/>
    <s v="VICENTINA"/>
    <x v="0"/>
    <n v="1"/>
    <n v="30"/>
    <n v="30"/>
    <m/>
    <x v="3"/>
  </r>
  <r>
    <n v="202"/>
    <x v="36"/>
    <x v="12"/>
    <x v="92"/>
    <s v=" 34.9973-9967"/>
    <n v="0"/>
    <n v="0"/>
    <m/>
    <m/>
    <s v="XANDE/ELIS"/>
    <x v="1"/>
    <n v="1"/>
    <n v="30"/>
    <n v="30"/>
    <m/>
    <x v="1"/>
  </r>
  <r>
    <n v="202"/>
    <x v="36"/>
    <x v="12"/>
    <x v="92"/>
    <s v=" 34.9973-9967"/>
    <n v="0"/>
    <n v="0"/>
    <m/>
    <m/>
    <s v="XANDE/ELIS"/>
    <x v="3"/>
    <n v="1"/>
    <n v="30"/>
    <n v="30"/>
    <m/>
    <x v="1"/>
  </r>
  <r>
    <n v="165"/>
    <x v="33"/>
    <x v="7"/>
    <x v="39"/>
    <s v="34.98803-5267"/>
    <s v="Rua Campo Rupestre, 193"/>
    <s v=" JD. BOTANICO "/>
    <s v="38410-664"/>
    <m/>
    <m/>
    <x v="1"/>
    <n v="1"/>
    <n v="30"/>
    <n v="30"/>
    <n v="30"/>
    <x v="0"/>
  </r>
  <r>
    <n v="201"/>
    <x v="36"/>
    <x v="12"/>
    <x v="359"/>
    <s v="9.8871-4546"/>
    <n v="0"/>
    <s v="CEDEL"/>
    <m/>
    <m/>
    <s v="CEDEL"/>
    <x v="0"/>
    <n v="1"/>
    <n v="30"/>
    <n v="30"/>
    <m/>
    <x v="1"/>
  </r>
  <r>
    <n v="201"/>
    <x v="36"/>
    <x v="12"/>
    <x v="359"/>
    <s v="9.8871-4546"/>
    <n v="0"/>
    <s v="CEDEL"/>
    <m/>
    <m/>
    <s v="CEDEL"/>
    <x v="1"/>
    <n v="2"/>
    <n v="30"/>
    <n v="60"/>
    <m/>
    <x v="1"/>
  </r>
  <r>
    <n v="183"/>
    <x v="33"/>
    <x v="17"/>
    <x v="62"/>
    <s v="34.99676-2593 "/>
    <s v="R. ANITA 125 PASSARELA AV. LIBERDADE ALTAMIRA"/>
    <s v="MORADA DA COLINA"/>
    <s v="38411-014"/>
    <m/>
    <s v="MILVAR"/>
    <x v="2"/>
    <n v="1"/>
    <n v="30"/>
    <n v="30"/>
    <m/>
    <x v="0"/>
  </r>
  <r>
    <n v="183"/>
    <x v="33"/>
    <x v="17"/>
    <x v="62"/>
    <s v="34.99676-2593 "/>
    <s v="R. ANITA 125 PASSARELA AV. LIBERDADE ALTAMIRA"/>
    <s v="MORADA DA COLINA"/>
    <s v="38411-014"/>
    <m/>
    <s v="MILVAR"/>
    <x v="3"/>
    <n v="1"/>
    <n v="30"/>
    <n v="30"/>
    <m/>
    <x v="0"/>
  </r>
  <r>
    <n v="30"/>
    <x v="35"/>
    <x v="17"/>
    <x v="62"/>
    <s v="34.99676-2593 "/>
    <s v="R. ANITA 125 PASSARELA AV. LIBERDADE ALTAMIRA"/>
    <s v="MORADA DA COLINA"/>
    <s v="38411-014"/>
    <s v="VAI BUSCAR"/>
    <s v="CEDEL"/>
    <x v="3"/>
    <n v="1"/>
    <n v="30"/>
    <n v="30"/>
    <m/>
    <x v="3"/>
  </r>
  <r>
    <n v="30"/>
    <x v="35"/>
    <x v="17"/>
    <x v="62"/>
    <s v="34.99676-2593 "/>
    <s v="R. ANITA 125 PASSARELA AV. LIBERDADE ALTAMIRA"/>
    <s v="MORADA DA COLINA"/>
    <s v="38411-014"/>
    <s v="VAI BUSCAR"/>
    <s v="CEDEL"/>
    <x v="2"/>
    <n v="1"/>
    <n v="30"/>
    <n v="30"/>
    <m/>
    <x v="3"/>
  </r>
  <r>
    <n v="201"/>
    <x v="36"/>
    <x v="12"/>
    <x v="359"/>
    <s v="9.8871-4546"/>
    <n v="0"/>
    <s v="CEDEL"/>
    <m/>
    <m/>
    <s v="CEDEL"/>
    <x v="2"/>
    <n v="1"/>
    <n v="30"/>
    <n v="30"/>
    <m/>
    <x v="1"/>
  </r>
  <r>
    <n v="14"/>
    <x v="35"/>
    <x v="19"/>
    <x v="36"/>
    <n v="0"/>
    <s v="Rua Dom Almir Marques Ferreira, 820 "/>
    <s v="GÁVEA"/>
    <s v="38411-170"/>
    <m/>
    <s v="PRISCILLA"/>
    <x v="2"/>
    <n v="1"/>
    <n v="30"/>
    <n v="30"/>
    <m/>
    <x v="3"/>
  </r>
  <r>
    <n v="141"/>
    <x v="33"/>
    <x v="27"/>
    <x v="239"/>
    <n v="0"/>
    <s v="Alameda Vila Rica 520"/>
    <s v="CITY UBERLANDIA"/>
    <s v="38411-314"/>
    <m/>
    <s v="TINA / HÉLIO"/>
    <x v="2"/>
    <n v="1"/>
    <n v="30"/>
    <n v="30"/>
    <m/>
    <x v="0"/>
  </r>
  <r>
    <n v="46"/>
    <x v="35"/>
    <x v="27"/>
    <x v="239"/>
    <n v="0"/>
    <s v="Alameda Vila Rica 520"/>
    <s v="CITY UBERLANDIA"/>
    <s v="38411-314"/>
    <m/>
    <m/>
    <x v="2"/>
    <n v="1"/>
    <n v="30"/>
    <n v="30"/>
    <m/>
    <x v="3"/>
  </r>
  <r>
    <n v="200"/>
    <x v="36"/>
    <x v="12"/>
    <x v="238"/>
    <n v="0"/>
    <n v="0"/>
    <n v="0"/>
    <m/>
    <m/>
    <s v="CEDEL"/>
    <x v="1"/>
    <n v="1"/>
    <n v="30"/>
    <n v="30"/>
    <m/>
    <x v="1"/>
  </r>
  <r>
    <n v="155"/>
    <x v="33"/>
    <x v="19"/>
    <x v="277"/>
    <s v="34.99690-8656"/>
    <s v="Rua João Severiano Rodrigesda Cunha 879 casa 10 "/>
    <s v="ITAPEMA SUL"/>
    <s v="38411-356"/>
    <m/>
    <s v="JOSÉ LUIZ"/>
    <x v="2"/>
    <n v="1"/>
    <n v="30"/>
    <n v="30"/>
    <m/>
    <x v="0"/>
  </r>
  <r>
    <n v="17"/>
    <x v="35"/>
    <x v="19"/>
    <x v="277"/>
    <s v="34.99690-8656"/>
    <s v="Rua João Severiano Rodrigesda Cunha 879 casa 10 "/>
    <s v="ITAPEMA SUL"/>
    <s v="38411-356"/>
    <m/>
    <s v="JOSÉ LUIZ"/>
    <x v="2"/>
    <n v="1"/>
    <n v="30"/>
    <n v="30"/>
    <m/>
    <x v="3"/>
  </r>
  <r>
    <n v="99"/>
    <x v="34"/>
    <x v="21"/>
    <x v="76"/>
    <s v="34.98878-1706"/>
    <s v="R. Athos Paranhos Veloso, 1706"/>
    <s v=" TUBALINA "/>
    <s v="38412-076"/>
    <m/>
    <m/>
    <x v="1"/>
    <n v="1"/>
    <n v="30"/>
    <n v="30"/>
    <m/>
    <x v="0"/>
  </r>
  <r>
    <n v="53"/>
    <x v="35"/>
    <x v="21"/>
    <x v="76"/>
    <s v="34.98878-1706"/>
    <s v="R. Athos Paranhos Veloso, 1706"/>
    <s v=" TUBALINA "/>
    <s v="38412-076"/>
    <m/>
    <m/>
    <x v="1"/>
    <n v="1"/>
    <n v="30"/>
    <n v="30"/>
    <m/>
    <x v="3"/>
  </r>
  <r>
    <n v="199"/>
    <x v="36"/>
    <x v="12"/>
    <x v="219"/>
    <n v="0"/>
    <n v="0"/>
    <s v="CEDEL"/>
    <m/>
    <m/>
    <s v="CEDEL"/>
    <x v="1"/>
    <n v="2"/>
    <n v="30"/>
    <n v="60"/>
    <m/>
    <x v="1"/>
  </r>
  <r>
    <n v="198"/>
    <x v="36"/>
    <x v="12"/>
    <x v="360"/>
    <m/>
    <m/>
    <m/>
    <m/>
    <m/>
    <s v="CEDEL"/>
    <x v="0"/>
    <n v="2"/>
    <n v="30"/>
    <n v="60"/>
    <m/>
    <x v="1"/>
  </r>
  <r>
    <n v="184"/>
    <x v="33"/>
    <x v="17"/>
    <x v="352"/>
    <n v="0"/>
    <s v="R. DOS PINHEIROS 369"/>
    <s v=" CIDADE JARDIM "/>
    <s v="38412-102"/>
    <m/>
    <m/>
    <x v="1"/>
    <n v="1"/>
    <n v="30"/>
    <n v="30"/>
    <m/>
    <x v="0"/>
  </r>
  <r>
    <n v="29"/>
    <x v="35"/>
    <x v="17"/>
    <x v="352"/>
    <n v="0"/>
    <s v="R. DOS PINHEIROS 369"/>
    <s v=" CIDADE JARDIM "/>
    <s v="38412-102"/>
    <m/>
    <s v="CEDEL"/>
    <x v="1"/>
    <n v="1"/>
    <n v="30"/>
    <n v="30"/>
    <m/>
    <x v="3"/>
  </r>
  <r>
    <n v="198"/>
    <x v="36"/>
    <x v="12"/>
    <x v="360"/>
    <m/>
    <m/>
    <m/>
    <m/>
    <m/>
    <s v="CEDEL"/>
    <x v="1"/>
    <n v="1"/>
    <n v="30"/>
    <n v="30"/>
    <m/>
    <x v="1"/>
  </r>
  <r>
    <n v="100"/>
    <x v="34"/>
    <x v="21"/>
    <x v="236"/>
    <s v="34.99960-3309"/>
    <s v="R. dos Girassóis, 50"/>
    <s v=" CIDADE JARDIM "/>
    <s v="38412-140"/>
    <m/>
    <m/>
    <x v="1"/>
    <n v="1"/>
    <n v="30"/>
    <n v="30"/>
    <m/>
    <x v="0"/>
  </r>
  <r>
    <n v="62"/>
    <x v="35"/>
    <x v="21"/>
    <x v="236"/>
    <s v="34.99960-3309"/>
    <s v="R. dos Girassóis, 50"/>
    <s v=" CIDADE JARDIM "/>
    <s v="38412-140"/>
    <m/>
    <m/>
    <x v="1"/>
    <n v="1"/>
    <n v="30"/>
    <n v="30"/>
    <m/>
    <x v="3"/>
  </r>
  <r>
    <n v="197"/>
    <x v="36"/>
    <x v="12"/>
    <x v="254"/>
    <s v="9.9157-9400"/>
    <n v="0"/>
    <s v="CEDEL"/>
    <m/>
    <m/>
    <s v="CEDEL"/>
    <x v="0"/>
    <n v="1"/>
    <n v="30"/>
    <n v="30"/>
    <m/>
    <x v="1"/>
  </r>
  <r>
    <n v="197"/>
    <x v="36"/>
    <x v="12"/>
    <x v="254"/>
    <s v="9.9157-9400"/>
    <n v="0"/>
    <s v="CEDEL"/>
    <m/>
    <m/>
    <s v="CEDEL"/>
    <x v="1"/>
    <n v="2"/>
    <n v="30"/>
    <n v="60"/>
    <m/>
    <x v="1"/>
  </r>
  <r>
    <n v="34"/>
    <x v="35"/>
    <x v="17"/>
    <x v="361"/>
    <s v="34.99286-0302"/>
    <s v="R. DO PROFESSOR 320"/>
    <s v="JARDIM DAS PALMEIRAS"/>
    <s v="38412-296"/>
    <m/>
    <s v="CEDEL"/>
    <x v="1"/>
    <n v="1"/>
    <n v="30"/>
    <n v="30"/>
    <m/>
    <x v="3"/>
  </r>
  <r>
    <n v="148"/>
    <x v="33"/>
    <x v="12"/>
    <x v="185"/>
    <n v="0"/>
    <s v="Alameda pauso cesar santana , 885 -bloco 7 , apto 406"/>
    <s v=" JD HOLANDA "/>
    <s v="38412-326"/>
    <m/>
    <s v="CEDEL"/>
    <x v="1"/>
    <n v="1"/>
    <n v="30"/>
    <n v="30"/>
    <m/>
    <x v="0"/>
  </r>
  <r>
    <n v="148"/>
    <x v="33"/>
    <x v="12"/>
    <x v="185"/>
    <n v="0"/>
    <s v="Alameda pauso cesar santana , 885 -bloco 7 , apto 406"/>
    <s v=" JD HOLANDA "/>
    <s v="38412-326"/>
    <m/>
    <s v="CEDEL"/>
    <x v="3"/>
    <n v="1"/>
    <n v="30"/>
    <n v="30"/>
    <m/>
    <x v="0"/>
  </r>
  <r>
    <n v="28"/>
    <x v="35"/>
    <x v="12"/>
    <x v="185"/>
    <n v="0"/>
    <s v="Alameda pauso cesar santana , 885 -bloco 7 , apto 406"/>
    <s v=" JD HOLANDA "/>
    <s v="38412-326"/>
    <m/>
    <m/>
    <x v="3"/>
    <n v="1"/>
    <n v="30"/>
    <n v="30"/>
    <m/>
    <x v="3"/>
  </r>
  <r>
    <n v="28"/>
    <x v="35"/>
    <x v="12"/>
    <x v="185"/>
    <n v="0"/>
    <s v="Alameda pauso cesar santana , 885 -bloco 7 , apto 406"/>
    <s v=" JD HOLANDA "/>
    <s v="38412-326"/>
    <m/>
    <m/>
    <x v="1"/>
    <n v="1"/>
    <n v="30"/>
    <n v="30"/>
    <m/>
    <x v="3"/>
  </r>
  <r>
    <n v="197"/>
    <x v="36"/>
    <x v="12"/>
    <x v="254"/>
    <s v="9.9157-9400"/>
    <n v="0"/>
    <s v="CEDEL"/>
    <m/>
    <m/>
    <s v="CEDEL"/>
    <x v="2"/>
    <n v="2"/>
    <n v="30"/>
    <n v="60"/>
    <m/>
    <x v="1"/>
  </r>
  <r>
    <n v="197"/>
    <x v="36"/>
    <x v="12"/>
    <x v="254"/>
    <s v="9.9157-9400"/>
    <n v="0"/>
    <s v="CEDEL"/>
    <m/>
    <m/>
    <s v="CEDEL"/>
    <x v="3"/>
    <n v="1"/>
    <n v="30"/>
    <n v="30"/>
    <m/>
    <x v="1"/>
  </r>
  <r>
    <n v="196"/>
    <x v="36"/>
    <x v="12"/>
    <x v="4"/>
    <s v="9.9197-7955"/>
    <n v="0"/>
    <s v="CEDEL"/>
    <m/>
    <m/>
    <s v="CEDEL"/>
    <x v="1"/>
    <n v="2"/>
    <n v="30"/>
    <n v="60"/>
    <m/>
    <x v="1"/>
  </r>
  <r>
    <n v="195"/>
    <x v="36"/>
    <x v="12"/>
    <x v="73"/>
    <s v="9.8876-6001"/>
    <s v="Rua José Lelis França, 1480 Apto 301"/>
    <s v="SANTA MONICA"/>
    <s v="38408-234"/>
    <m/>
    <m/>
    <x v="1"/>
    <n v="1"/>
    <n v="30"/>
    <n v="30"/>
    <m/>
    <x v="1"/>
  </r>
  <r>
    <n v="194"/>
    <x v="36"/>
    <x v="12"/>
    <x v="75"/>
    <s v="9.9932-1907"/>
    <s v="Rua Francisco Rodrigues Serralha, 350 Condomínio Uchoa Bloco 27 apto 402"/>
    <s v="Chácaras Tubalina"/>
    <s v="38413-297"/>
    <m/>
    <m/>
    <x v="1"/>
    <n v="1"/>
    <n v="30"/>
    <n v="30"/>
    <m/>
    <x v="1"/>
  </r>
  <r>
    <n v="193"/>
    <x v="36"/>
    <x v="12"/>
    <x v="189"/>
    <s v="34.3219-8921"/>
    <s v="Rua Tuiuti 279, Tel: 99954-1904/ 98852-9621"/>
    <s v="TABAJARAS"/>
    <s v="38400-264"/>
    <m/>
    <m/>
    <x v="1"/>
    <n v="1"/>
    <n v="30"/>
    <n v="30"/>
    <m/>
    <x v="1"/>
  </r>
  <r>
    <n v="192"/>
    <x v="36"/>
    <x v="2"/>
    <x v="20"/>
    <s v="9.9647-8862"/>
    <s v="R. ROMA, 546 - CASA 2"/>
    <s v="TIBERY"/>
    <s v="38405-076"/>
    <m/>
    <s v="PRISCILLA"/>
    <x v="0"/>
    <n v="1"/>
    <n v="30"/>
    <n v="30"/>
    <m/>
    <x v="1"/>
  </r>
  <r>
    <n v="191"/>
    <x v="36"/>
    <x v="2"/>
    <x v="362"/>
    <s v=" 9.9195-7693"/>
    <s v="R. Corcovado, 174, apt 604"/>
    <s v="PATRIMÔNIO"/>
    <s v="38411-092"/>
    <m/>
    <m/>
    <x v="0"/>
    <n v="1"/>
    <n v="30"/>
    <n v="30"/>
    <m/>
    <x v="1"/>
  </r>
  <r>
    <n v="44"/>
    <x v="35"/>
    <x v="25"/>
    <x v="296"/>
    <s v="34.99262-7350"/>
    <s v="R: Alberto Martins Ribeiro,232"/>
    <s v=" JD. PATRÍCIA "/>
    <s v="38414-162"/>
    <m/>
    <m/>
    <x v="1"/>
    <n v="1"/>
    <n v="30"/>
    <n v="30"/>
    <m/>
    <x v="3"/>
  </r>
  <r>
    <n v="120"/>
    <x v="34"/>
    <x v="21"/>
    <x v="22"/>
    <s v="34.99977-5669"/>
    <s v="R. Waterloo Pereira Alves, 73 "/>
    <s v=" JD. PATRÍCIA "/>
    <s v="38414-172"/>
    <s v="*LIGAR ANTES*"/>
    <m/>
    <x v="2"/>
    <n v="1"/>
    <n v="30"/>
    <n v="30"/>
    <m/>
    <x v="0"/>
  </r>
  <r>
    <n v="75"/>
    <x v="35"/>
    <x v="21"/>
    <x v="22"/>
    <s v="34.99977-5669"/>
    <s v="R. Waterloo Pereira Alves, 73 "/>
    <s v=" JD. PATRÍCIA "/>
    <s v="38414-172"/>
    <m/>
    <m/>
    <x v="2"/>
    <n v="1"/>
    <n v="30"/>
    <n v="30"/>
    <m/>
    <x v="3"/>
  </r>
  <r>
    <n v="190"/>
    <x v="36"/>
    <x v="2"/>
    <x v="61"/>
    <s v="34.9948-0722"/>
    <s v="R. Orozimbo José Ferreira"/>
    <s v="APARECIDA"/>
    <s v="38400-774"/>
    <m/>
    <s v="PRISCILLA"/>
    <x v="4"/>
    <n v="1"/>
    <n v="30"/>
    <n v="30"/>
    <m/>
    <x v="1"/>
  </r>
  <r>
    <n v="189"/>
    <x v="36"/>
    <x v="2"/>
    <x v="268"/>
    <s v="9.9663-4126"/>
    <s v="Rua Arlindo Gomes Teixeira, 1459 Antiga 39"/>
    <s v="SANTA MONICA"/>
    <s v="38408-264"/>
    <m/>
    <m/>
    <x v="1"/>
    <n v="1"/>
    <n v="30"/>
    <n v="30"/>
    <m/>
    <x v="1"/>
  </r>
  <r>
    <n v="188"/>
    <x v="36"/>
    <x v="2"/>
    <x v="251"/>
    <s v="9.9155-0999"/>
    <s v="Rua Antônio Fortunato Silva, 691 Antiga 3"/>
    <s v="SANTA MONICA"/>
    <s v="38408-210"/>
    <m/>
    <m/>
    <x v="1"/>
    <n v="1"/>
    <n v="30"/>
    <n v="30"/>
    <m/>
    <x v="1"/>
  </r>
  <r>
    <n v="114"/>
    <x v="34"/>
    <x v="21"/>
    <x v="171"/>
    <s v="34.99222-7189"/>
    <s v="Av. José Fonseca e Silva, 210"/>
    <s v=" LUIZOTE DE FREITAS "/>
    <s v="38414-348"/>
    <s v="ENTREGAR 1/RECEBER 2"/>
    <m/>
    <x v="1"/>
    <n v="1"/>
    <n v="30"/>
    <n v="30"/>
    <m/>
    <x v="0"/>
  </r>
  <r>
    <n v="59"/>
    <x v="35"/>
    <x v="21"/>
    <x v="171"/>
    <s v="34.99222-7189"/>
    <s v="Av. José Fonseca e Silva, 210"/>
    <s v=" LUIZOTE DE FREITAS "/>
    <s v="38414-348"/>
    <m/>
    <m/>
    <x v="1"/>
    <n v="1"/>
    <n v="30"/>
    <n v="30"/>
    <m/>
    <x v="3"/>
  </r>
  <r>
    <n v="187"/>
    <x v="36"/>
    <x v="2"/>
    <x v="10"/>
    <s v="34.3213-2775"/>
    <s v="R. Pedro Quirino da Silva, 341 "/>
    <s v="MARTA HELENA "/>
    <s v="38402-075"/>
    <s v="CLÓVIS"/>
    <m/>
    <x v="1"/>
    <n v="1"/>
    <n v="30"/>
    <n v="30"/>
    <m/>
    <x v="1"/>
  </r>
  <r>
    <n v="186"/>
    <x v="36"/>
    <x v="2"/>
    <x v="258"/>
    <s v="9.9941-1412"/>
    <s v="Av. Cleanto Vieira Gonçalves, 1.227"/>
    <s v="PACAEMBU"/>
    <s v="38401-545 "/>
    <m/>
    <m/>
    <x v="0"/>
    <n v="1"/>
    <n v="30"/>
    <n v="30"/>
    <m/>
    <x v="1"/>
  </r>
  <r>
    <n v="98"/>
    <x v="34"/>
    <x v="21"/>
    <x v="116"/>
    <s v="34.99661-5002"/>
    <s v="Av. Paulo Gracindo, 1000 - Cond. Gávea Paradiso - Alameda Gavião Real, 90"/>
    <s v="Cond. Gávea Paradiso"/>
    <m/>
    <m/>
    <m/>
    <x v="2"/>
    <n v="1"/>
    <n v="30"/>
    <n v="30"/>
    <m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>
  <location ref="A3:F17" firstHeaderRow="1" firstDataRow="2" firstDataCol="1" rowPageCount="1" colPageCount="1"/>
  <pivotFields count="16">
    <pivotField showAll="0"/>
    <pivotField axis="axisPage" multipleItemSelectionAllowed="1" showAll="0">
      <items count="38">
        <item h="1" x="35"/>
        <item h="1" x="33"/>
        <item h="1" x="34"/>
        <item h="1" x="32"/>
        <item h="1" x="36"/>
        <item h="1" x="31"/>
        <item h="1" x="30"/>
        <item h="1" x="29"/>
        <item h="1" x="28"/>
        <item h="1" x="27"/>
        <item h="1" x="26"/>
        <item h="1" x="24"/>
        <item h="1" x="25"/>
        <item h="1" x="23"/>
        <item h="1" x="22"/>
        <item h="1" x="21"/>
        <item h="1" x="20"/>
        <item h="1" x="19"/>
        <item h="1" x="18"/>
        <item h="1" x="17"/>
        <item h="1" x="16"/>
        <item h="1" x="15"/>
        <item h="1" x="14"/>
        <item h="1" x="13"/>
        <item h="1" x="12"/>
        <item h="1" x="11"/>
        <item h="1" x="10"/>
        <item h="1" x="9"/>
        <item h="1" x="8"/>
        <item h="1" x="7"/>
        <item h="1" x="6"/>
        <item h="1" x="5"/>
        <item h="1" x="4"/>
        <item h="1" x="3"/>
        <item h="1" x="2"/>
        <item x="1"/>
        <item x="0"/>
        <item t="default"/>
      </items>
    </pivotField>
    <pivotField axis="axisRow" showAll="0" sortType="ascending">
      <items count="36">
        <item sd="0" x="29"/>
        <item sd="0" x="17"/>
        <item x="24"/>
        <item sd="0" x="11"/>
        <item sd="0" x="1"/>
        <item sd="0" x="5"/>
        <item sd="0" x="20"/>
        <item sd="0" x="25"/>
        <item sd="0" x="26"/>
        <item sd="0" x="7"/>
        <item sd="0" x="6"/>
        <item sd="0" x="19"/>
        <item sd="0" x="9"/>
        <item sd="0" x="8"/>
        <item sd="0" x="16"/>
        <item sd="0" x="4"/>
        <item sd="0" x="22"/>
        <item sd="0" x="3"/>
        <item sd="0" x="21"/>
        <item sd="0" x="0"/>
        <item sd="0" x="18"/>
        <item sd="0" x="30"/>
        <item sd="0" x="33"/>
        <item sd="0" x="2"/>
        <item sd="0" x="32"/>
        <item sd="0" x="10"/>
        <item sd="0" x="14"/>
        <item sd="0" x="13"/>
        <item sd="0" x="23"/>
        <item sd="0" x="31"/>
        <item sd="0" x="27"/>
        <item sd="0" x="28"/>
        <item sd="0" x="12"/>
        <item sd="0" x="15"/>
        <item m="1" x="34"/>
        <item t="default"/>
      </items>
    </pivotField>
    <pivotField axis="axisRow" showAll="0" sortType="ascending">
      <items count="368">
        <item x="325"/>
        <item x="345"/>
        <item x="149"/>
        <item x="191"/>
        <item x="272"/>
        <item x="192"/>
        <item x="70"/>
        <item x="124"/>
        <item x="83"/>
        <item x="359"/>
        <item x="249"/>
        <item x="101"/>
        <item x="116"/>
        <item x="135"/>
        <item x="194"/>
        <item x="155"/>
        <item x="212"/>
        <item x="330"/>
        <item x="37"/>
        <item x="259"/>
        <item x="225"/>
        <item x="97"/>
        <item x="239"/>
        <item x="109"/>
        <item x="167"/>
        <item x="72"/>
        <item x="223"/>
        <item x="226"/>
        <item x="67"/>
        <item x="321"/>
        <item x="76"/>
        <item x="74"/>
        <item x="177"/>
        <item x="352"/>
        <item x="58"/>
        <item x="207"/>
        <item x="313"/>
        <item x="59"/>
        <item x="96"/>
        <item x="174"/>
        <item x="309"/>
        <item x="114"/>
        <item x="274"/>
        <item x="250"/>
        <item x="358"/>
        <item x="119"/>
        <item x="51"/>
        <item x="362"/>
        <item x="170"/>
        <item x="121"/>
        <item x="203"/>
        <item x="202"/>
        <item x="169"/>
        <item x="236"/>
        <item x="163"/>
        <item x="18"/>
        <item x="158"/>
        <item x="152"/>
        <item x="316"/>
        <item x="284"/>
        <item x="31"/>
        <item x="336"/>
        <item x="94"/>
        <item x="308"/>
        <item x="64"/>
        <item x="206"/>
        <item x="131"/>
        <item x="16"/>
        <item x="228"/>
        <item x="132"/>
        <item x="241"/>
        <item x="298"/>
        <item x="92"/>
        <item x="257"/>
        <item x="189"/>
        <item x="151"/>
        <item x="115"/>
        <item x="125"/>
        <item x="154"/>
        <item x="15"/>
        <item x="69"/>
        <item x="137"/>
        <item x="339"/>
        <item x="340"/>
        <item x="299"/>
        <item x="344"/>
        <item x="39"/>
        <item x="328"/>
        <item x="291"/>
        <item x="312"/>
        <item x="251"/>
        <item x="143"/>
        <item x="227"/>
        <item x="23"/>
        <item x="165"/>
        <item x="243"/>
        <item x="184"/>
        <item x="198"/>
        <item x="65"/>
        <item x="314"/>
        <item x="221"/>
        <item x="106"/>
        <item x="175"/>
        <item x="332"/>
        <item x="71"/>
        <item m="1" x="364"/>
        <item x="8"/>
        <item x="36"/>
        <item x="335"/>
        <item x="10"/>
        <item x="348"/>
        <item x="347"/>
        <item x="306"/>
        <item x="173"/>
        <item x="322"/>
        <item x="187"/>
        <item x="252"/>
        <item x="1"/>
        <item x="43"/>
        <item x="267"/>
        <item x="160"/>
        <item x="197"/>
        <item x="146"/>
        <item x="9"/>
        <item x="305"/>
        <item x="204"/>
        <item x="354"/>
        <item x="41"/>
        <item x="334"/>
        <item x="247"/>
        <item x="303"/>
        <item x="196"/>
        <item x="289"/>
        <item x="122"/>
        <item x="148"/>
        <item x="105"/>
        <item x="253"/>
        <item x="118"/>
        <item x="290"/>
        <item x="262"/>
        <item x="29"/>
        <item x="217"/>
        <item x="214"/>
        <item x="82"/>
        <item x="100"/>
        <item x="75"/>
        <item x="288"/>
        <item x="25"/>
        <item x="266"/>
        <item x="81"/>
        <item x="103"/>
        <item x="35"/>
        <item x="210"/>
        <item x="326"/>
        <item x="213"/>
        <item x="201"/>
        <item x="95"/>
        <item x="48"/>
        <item x="88"/>
        <item x="66"/>
        <item x="235"/>
        <item x="47"/>
        <item x="341"/>
        <item x="46"/>
        <item x="237"/>
        <item x="279"/>
        <item x="130"/>
        <item x="85"/>
        <item x="139"/>
        <item x="144"/>
        <item x="254"/>
        <item x="45"/>
        <item x="4"/>
        <item x="136"/>
        <item x="42"/>
        <item x="222"/>
        <item x="44"/>
        <item x="141"/>
        <item x="126"/>
        <item x="32"/>
        <item x="93"/>
        <item x="180"/>
        <item x="265"/>
        <item x="261"/>
        <item x="111"/>
        <item x="153"/>
        <item x="350"/>
        <item x="351"/>
        <item x="181"/>
        <item x="244"/>
        <item x="185"/>
        <item x="7"/>
        <item x="218"/>
        <item x="220"/>
        <item x="17"/>
        <item x="216"/>
        <item x="285"/>
        <item x="24"/>
        <item x="21"/>
        <item x="234"/>
        <item x="260"/>
        <item m="1" x="363"/>
        <item x="193"/>
        <item x="168"/>
        <item x="128"/>
        <item x="230"/>
        <item x="277"/>
        <item x="183"/>
        <item x="275"/>
        <item x="178"/>
        <item x="12"/>
        <item x="162"/>
        <item x="195"/>
        <item x="211"/>
        <item x="54"/>
        <item x="273"/>
        <item x="199"/>
        <item x="276"/>
        <item x="356"/>
        <item x="172"/>
        <item x="215"/>
        <item x="166"/>
        <item x="19"/>
        <item x="300"/>
        <item x="353"/>
        <item x="145"/>
        <item x="0"/>
        <item m="1" x="365"/>
        <item x="224"/>
        <item x="50"/>
        <item x="200"/>
        <item x="20"/>
        <item x="307"/>
        <item x="113"/>
        <item x="49"/>
        <item x="62"/>
        <item x="258"/>
        <item x="271"/>
        <item x="11"/>
        <item x="287"/>
        <item x="52"/>
        <item x="147"/>
        <item x="6"/>
        <item x="233"/>
        <item x="209"/>
        <item x="176"/>
        <item x="30"/>
        <item x="248"/>
        <item x="84"/>
        <item x="138"/>
        <item x="337"/>
        <item x="171"/>
        <item x="219"/>
        <item x="80"/>
        <item x="232"/>
        <item x="134"/>
        <item x="301"/>
        <item x="108"/>
        <item x="320"/>
        <item x="164"/>
        <item x="61"/>
        <item x="343"/>
        <item x="156"/>
        <item x="57"/>
        <item x="333"/>
        <item x="292"/>
        <item x="40"/>
        <item x="327"/>
        <item x="190"/>
        <item x="361"/>
        <item x="286"/>
        <item x="28"/>
        <item x="264"/>
        <item x="242"/>
        <item x="127"/>
        <item x="270"/>
        <item x="179"/>
        <item x="60"/>
        <item x="246"/>
        <item x="342"/>
        <item x="338"/>
        <item x="188"/>
        <item x="157"/>
        <item x="102"/>
        <item x="123"/>
        <item x="318"/>
        <item x="89"/>
        <item x="133"/>
        <item x="161"/>
        <item x="323"/>
        <item m="1" x="366"/>
        <item x="33"/>
        <item x="55"/>
        <item x="91"/>
        <item x="360"/>
        <item x="140"/>
        <item x="346"/>
        <item x="324"/>
        <item x="73"/>
        <item x="150"/>
        <item x="302"/>
        <item x="240"/>
        <item x="142"/>
        <item x="278"/>
        <item x="3"/>
        <item x="208"/>
        <item x="56"/>
        <item x="2"/>
        <item x="112"/>
        <item x="5"/>
        <item x="317"/>
        <item x="231"/>
        <item x="304"/>
        <item x="87"/>
        <item x="256"/>
        <item x="315"/>
        <item x="293"/>
        <item x="104"/>
        <item x="99"/>
        <item x="263"/>
        <item x="98"/>
        <item x="319"/>
        <item x="63"/>
        <item x="357"/>
        <item x="283"/>
        <item x="22"/>
        <item x="329"/>
        <item x="229"/>
        <item x="205"/>
        <item x="355"/>
        <item x="349"/>
        <item x="311"/>
        <item x="13"/>
        <item x="120"/>
        <item x="186"/>
        <item x="295"/>
        <item x="38"/>
        <item x="245"/>
        <item x="110"/>
        <item x="280"/>
        <item x="331"/>
        <item x="294"/>
        <item x="297"/>
        <item x="310"/>
        <item x="107"/>
        <item x="68"/>
        <item x="34"/>
        <item x="182"/>
        <item x="255"/>
        <item x="117"/>
        <item x="281"/>
        <item x="27"/>
        <item x="269"/>
        <item x="14"/>
        <item x="129"/>
        <item x="282"/>
        <item x="26"/>
        <item x="79"/>
        <item x="296"/>
        <item x="90"/>
        <item x="53"/>
        <item x="268"/>
        <item x="86"/>
        <item x="78"/>
        <item x="77"/>
        <item x="238"/>
        <item x="159"/>
        <item t="default"/>
      </items>
    </pivotField>
    <pivotField showAll="0"/>
    <pivotField showAll="0"/>
    <pivotField showAll="0"/>
    <pivotField showAll="0"/>
    <pivotField showAll="0"/>
    <pivotField showAll="0"/>
    <pivotField axis="axisCol" showAll="0">
      <items count="7">
        <item x="3"/>
        <item x="2"/>
        <item x="1"/>
        <item x="0"/>
        <item x="5"/>
        <item x="4"/>
        <item t="default"/>
      </items>
    </pivotField>
    <pivotField dataField="1" showAll="0"/>
    <pivotField showAll="0"/>
    <pivotField showAll="0"/>
    <pivotField showAll="0"/>
    <pivotField showAll="0"/>
  </pivotFields>
  <rowFields count="2">
    <field x="2"/>
    <field x="3"/>
  </rowFields>
  <rowItems count="13">
    <i>
      <x v="3"/>
    </i>
    <i>
      <x v="4"/>
    </i>
    <i>
      <x v="5"/>
    </i>
    <i>
      <x v="9"/>
    </i>
    <i>
      <x v="10"/>
    </i>
    <i>
      <x v="12"/>
    </i>
    <i>
      <x v="13"/>
    </i>
    <i>
      <x v="15"/>
    </i>
    <i>
      <x v="17"/>
    </i>
    <i>
      <x v="19"/>
    </i>
    <i>
      <x v="23"/>
    </i>
    <i>
      <x v="25"/>
    </i>
    <i t="grand">
      <x/>
    </i>
  </rowItems>
  <colFields count="1">
    <field x="10"/>
  </colFields>
  <colItems count="5">
    <i>
      <x/>
    </i>
    <i>
      <x v="1"/>
    </i>
    <i>
      <x v="2"/>
    </i>
    <i>
      <x v="3"/>
    </i>
    <i t="grand">
      <x/>
    </i>
  </colItems>
  <pageFields count="1">
    <pageField fld="1" hier="-1"/>
  </pageFields>
  <dataFields count="1">
    <dataField name="Soma de Qtde Produto" fld="11" baseField="3" baseItem="27"/>
  </dataFields>
  <formats count="176">
    <format dxfId="236">
      <pivotArea grandCol="1" outline="0" collapsedLevelsAreSubtotals="1" fieldPosition="0"/>
    </format>
    <format dxfId="235">
      <pivotArea type="topRight" dataOnly="0" labelOnly="1" outline="0" fieldPosition="0"/>
    </format>
    <format dxfId="234">
      <pivotArea dataOnly="0" labelOnly="1" grandCol="1" outline="0" fieldPosition="0"/>
    </format>
    <format dxfId="233">
      <pivotArea collapsedLevelsAreSubtotals="1" fieldPosition="0">
        <references count="1">
          <reference field="2" count="1">
            <x v="1"/>
          </reference>
        </references>
      </pivotArea>
    </format>
    <format dxfId="232">
      <pivotArea collapsedLevelsAreSubtotals="1" fieldPosition="0">
        <references count="2">
          <reference field="2" count="1" selected="0">
            <x v="1"/>
          </reference>
          <reference field="3" count="12">
            <x v="33"/>
            <x v="35"/>
            <x v="37"/>
            <x v="40"/>
            <x v="217"/>
            <x v="235"/>
            <x v="244"/>
            <x v="249"/>
            <x v="268"/>
            <x v="288"/>
            <x v="335"/>
            <x v="352"/>
          </reference>
        </references>
      </pivotArea>
    </format>
    <format dxfId="231">
      <pivotArea dataOnly="0" labelOnly="1" fieldPosition="0">
        <references count="1">
          <reference field="2" count="1">
            <x v="1"/>
          </reference>
        </references>
      </pivotArea>
    </format>
    <format dxfId="230">
      <pivotArea dataOnly="0" labelOnly="1" fieldPosition="0">
        <references count="2">
          <reference field="2" count="1" selected="0">
            <x v="1"/>
          </reference>
          <reference field="3" count="12">
            <x v="33"/>
            <x v="35"/>
            <x v="37"/>
            <x v="40"/>
            <x v="217"/>
            <x v="235"/>
            <x v="244"/>
            <x v="249"/>
            <x v="268"/>
            <x v="288"/>
            <x v="335"/>
            <x v="352"/>
          </reference>
        </references>
      </pivotArea>
    </format>
    <format dxfId="229">
      <pivotArea field="2" grandCol="1" collapsedLevelsAreSubtotals="1" axis="axisRow" fieldPosition="0">
        <references count="1">
          <reference field="2" count="1">
            <x v="3"/>
          </reference>
        </references>
      </pivotArea>
    </format>
    <format dxfId="228">
      <pivotArea field="2" grandCol="1" collapsedLevelsAreSubtotals="1" axis="axisRow" fieldPosition="0">
        <references count="1">
          <reference field="2" count="1">
            <x v="9"/>
          </reference>
        </references>
      </pivotArea>
    </format>
    <format dxfId="227">
      <pivotArea field="2" grandCol="1" collapsedLevelsAreSubtotals="1" axis="axisRow" fieldPosition="0">
        <references count="1">
          <reference field="2" count="1">
            <x v="25"/>
          </reference>
        </references>
      </pivotArea>
    </format>
    <format dxfId="226">
      <pivotArea field="2" grandCol="1" collapsedLevelsAreSubtotals="1" axis="axisRow" fieldPosition="0">
        <references count="1">
          <reference field="2" count="1">
            <x v="1"/>
          </reference>
        </references>
      </pivotArea>
    </format>
    <format dxfId="225">
      <pivotArea field="2" grandCol="1" collapsedLevelsAreSubtotals="1" axis="axisRow" fieldPosition="0">
        <references count="1">
          <reference field="2" count="1">
            <x v="2"/>
          </reference>
        </references>
      </pivotArea>
    </format>
    <format dxfId="224">
      <pivotArea field="2" grandCol="1" collapsedLevelsAreSubtotals="1" axis="axisRow" fieldPosition="0">
        <references count="1">
          <reference field="2" count="1">
            <x v="3"/>
          </reference>
        </references>
      </pivotArea>
    </format>
    <format dxfId="223">
      <pivotArea field="2" grandCol="1" collapsedLevelsAreSubtotals="1" axis="axisRow" fieldPosition="0">
        <references count="1">
          <reference field="2" count="1">
            <x v="6"/>
          </reference>
        </references>
      </pivotArea>
    </format>
    <format dxfId="222">
      <pivotArea field="2" grandCol="1" collapsedLevelsAreSubtotals="1" axis="axisRow" fieldPosition="0">
        <references count="1">
          <reference field="2" count="1">
            <x v="7"/>
          </reference>
        </references>
      </pivotArea>
    </format>
    <format dxfId="221">
      <pivotArea field="2" grandCol="1" collapsedLevelsAreSubtotals="1" axis="axisRow" fieldPosition="0">
        <references count="1">
          <reference field="2" count="1">
            <x v="9"/>
          </reference>
        </references>
      </pivotArea>
    </format>
    <format dxfId="220">
      <pivotArea field="2" grandCol="1" collapsedLevelsAreSubtotals="1" axis="axisRow" fieldPosition="0">
        <references count="1">
          <reference field="2" count="1">
            <x v="11"/>
          </reference>
        </references>
      </pivotArea>
    </format>
    <format dxfId="219">
      <pivotArea field="2" grandCol="1" collapsedLevelsAreSubtotals="1" axis="axisRow" fieldPosition="0">
        <references count="1">
          <reference field="2" count="1">
            <x v="12"/>
          </reference>
        </references>
      </pivotArea>
    </format>
    <format dxfId="218">
      <pivotArea field="2" grandCol="1" collapsedLevelsAreSubtotals="1" axis="axisRow" fieldPosition="0">
        <references count="1">
          <reference field="2" count="1">
            <x v="14"/>
          </reference>
        </references>
      </pivotArea>
    </format>
    <format dxfId="217">
      <pivotArea field="2" grandCol="1" collapsedLevelsAreSubtotals="1" axis="axisRow" fieldPosition="0">
        <references count="1">
          <reference field="2" count="1">
            <x v="18"/>
          </reference>
        </references>
      </pivotArea>
    </format>
    <format dxfId="216">
      <pivotArea field="2" grandCol="1" collapsedLevelsAreSubtotals="1" axis="axisRow" fieldPosition="0">
        <references count="1">
          <reference field="2" count="1">
            <x v="25"/>
          </reference>
        </references>
      </pivotArea>
    </format>
    <format dxfId="215">
      <pivotArea field="2" grandCol="1" collapsedLevelsAreSubtotals="1" axis="axisRow" fieldPosition="0">
        <references count="1">
          <reference field="2" count="1">
            <x v="28"/>
          </reference>
        </references>
      </pivotArea>
    </format>
    <format dxfId="214">
      <pivotArea field="2" grandCol="1" collapsedLevelsAreSubtotals="1" axis="axisRow" fieldPosition="0">
        <references count="1">
          <reference field="2" count="1">
            <x v="32"/>
          </reference>
        </references>
      </pivotArea>
    </format>
    <format dxfId="213">
      <pivotArea field="2" grandCol="1" collapsedLevelsAreSubtotals="1" axis="axisRow" fieldPosition="0">
        <references count="1">
          <reference field="2" count="1">
            <x v="13"/>
          </reference>
        </references>
      </pivotArea>
    </format>
    <format dxfId="212">
      <pivotArea collapsedLevelsAreSubtotals="1" fieldPosition="0">
        <references count="3">
          <reference field="2" count="1" selected="0">
            <x v="18"/>
          </reference>
          <reference field="3" count="1">
            <x v="137"/>
          </reference>
          <reference field="10" count="2" selected="0">
            <x v="1"/>
            <x v="2"/>
          </reference>
        </references>
      </pivotArea>
    </format>
    <format dxfId="211">
      <pivotArea collapsedLevelsAreSubtotals="1" fieldPosition="0">
        <references count="3">
          <reference field="2" count="1" selected="0">
            <x v="18"/>
          </reference>
          <reference field="3" count="1">
            <x v="325"/>
          </reference>
          <reference field="10" count="1" selected="0">
            <x v="1"/>
          </reference>
        </references>
      </pivotArea>
    </format>
    <format dxfId="210">
      <pivotArea collapsedLevelsAreSubtotals="1" fieldPosition="0">
        <references count="3">
          <reference field="2" count="1" selected="0">
            <x v="18"/>
          </reference>
          <reference field="3" count="1">
            <x v="320"/>
          </reference>
          <reference field="10" count="1" selected="0">
            <x v="5"/>
          </reference>
        </references>
      </pivotArea>
    </format>
    <format dxfId="209">
      <pivotArea collapsedLevelsAreSubtotals="1" fieldPosition="0">
        <references count="3">
          <reference field="2" count="1" selected="0">
            <x v="18"/>
          </reference>
          <reference field="3" count="1">
            <x v="271"/>
          </reference>
          <reference field="10" count="1" selected="0">
            <x v="2"/>
          </reference>
        </references>
      </pivotArea>
    </format>
    <format dxfId="208">
      <pivotArea collapsedLevelsAreSubtotals="1" fieldPosition="0">
        <references count="3">
          <reference field="2" count="1" selected="0">
            <x v="18"/>
          </reference>
          <reference field="3" count="1">
            <x v="251"/>
          </reference>
          <reference field="10" count="1" selected="0">
            <x v="2"/>
          </reference>
        </references>
      </pivotArea>
    </format>
    <format dxfId="207">
      <pivotArea collapsedLevelsAreSubtotals="1" fieldPosition="0">
        <references count="3">
          <reference field="2" count="1" selected="0">
            <x v="18"/>
          </reference>
          <reference field="3" count="1">
            <x v="246"/>
          </reference>
          <reference field="10" count="2" selected="0">
            <x v="1"/>
            <x v="2"/>
          </reference>
        </references>
      </pivotArea>
    </format>
    <format dxfId="206">
      <pivotArea collapsedLevelsAreSubtotals="1" fieldPosition="0">
        <references count="3">
          <reference field="2" count="1" selected="0">
            <x v="18"/>
          </reference>
          <reference field="3" count="1">
            <x v="198"/>
          </reference>
          <reference field="10" count="1" selected="0">
            <x v="0"/>
          </reference>
        </references>
      </pivotArea>
    </format>
    <format dxfId="205">
      <pivotArea collapsedLevelsAreSubtotals="1" fieldPosition="0">
        <references count="3">
          <reference field="2" count="1" selected="0">
            <x v="18"/>
          </reference>
          <reference field="3" count="1">
            <x v="194"/>
          </reference>
          <reference field="10" count="1" selected="0">
            <x v="1"/>
          </reference>
        </references>
      </pivotArea>
    </format>
    <format dxfId="204">
      <pivotArea collapsedLevelsAreSubtotals="1" fieldPosition="0">
        <references count="3">
          <reference field="2" count="1" selected="0">
            <x v="18"/>
          </reference>
          <reference field="3" count="1">
            <x v="144"/>
          </reference>
          <reference field="10" count="1" selected="0">
            <x v="1"/>
          </reference>
        </references>
      </pivotArea>
    </format>
    <format dxfId="203">
      <pivotArea collapsedLevelsAreSubtotals="1" fieldPosition="0">
        <references count="3">
          <reference field="2" count="1" selected="0">
            <x v="18"/>
          </reference>
          <reference field="3" count="1">
            <x v="140"/>
          </reference>
          <reference field="10" count="1" selected="0">
            <x v="1"/>
          </reference>
        </references>
      </pivotArea>
    </format>
    <format dxfId="202">
      <pivotArea collapsedLevelsAreSubtotals="1" fieldPosition="0">
        <references count="3">
          <reference field="2" count="1" selected="0">
            <x v="18"/>
          </reference>
          <reference field="3" count="1">
            <x v="113"/>
          </reference>
          <reference field="10" count="1" selected="0">
            <x v="1"/>
          </reference>
        </references>
      </pivotArea>
    </format>
    <format dxfId="201">
      <pivotArea collapsedLevelsAreSubtotals="1" fieldPosition="0">
        <references count="3">
          <reference field="2" count="1" selected="0">
            <x v="18"/>
          </reference>
          <reference field="3" count="1">
            <x v="60"/>
          </reference>
          <reference field="10" count="1" selected="0">
            <x v="1"/>
          </reference>
        </references>
      </pivotArea>
    </format>
    <format dxfId="200">
      <pivotArea collapsedLevelsAreSubtotals="1" fieldPosition="0">
        <references count="3">
          <reference field="2" count="1" selected="0">
            <x v="18"/>
          </reference>
          <reference field="3" count="1">
            <x v="30"/>
          </reference>
          <reference field="10" count="1" selected="0">
            <x v="5"/>
          </reference>
        </references>
      </pivotArea>
    </format>
    <format dxfId="199">
      <pivotArea collapsedLevelsAreSubtotals="1" fieldPosition="0">
        <references count="3">
          <reference field="2" count="1" selected="0">
            <x v="18"/>
          </reference>
          <reference field="3" count="1">
            <x v="12"/>
          </reference>
          <reference field="10" count="1" selected="0">
            <x v="1"/>
          </reference>
        </references>
      </pivotArea>
    </format>
    <format dxfId="198">
      <pivotArea collapsedLevelsAreSubtotals="1" fieldPosition="0">
        <references count="3">
          <reference field="2" count="1" selected="0">
            <x v="18"/>
          </reference>
          <reference field="3" count="15">
            <x v="12"/>
            <x v="30"/>
            <x v="60"/>
            <x v="67"/>
            <x v="113"/>
            <x v="137"/>
            <x v="140"/>
            <x v="144"/>
            <x v="194"/>
            <x v="198"/>
            <x v="246"/>
            <x v="251"/>
            <x v="271"/>
            <x v="320"/>
            <x v="325"/>
          </reference>
          <reference field="10" count="0" selected="0"/>
        </references>
      </pivotArea>
    </format>
    <format dxfId="197">
      <pivotArea collapsedLevelsAreSubtotals="1" fieldPosition="0">
        <references count="2">
          <reference field="2" count="1">
            <x v="23"/>
          </reference>
          <reference field="10" count="0" selected="0"/>
        </references>
      </pivotArea>
    </format>
    <format dxfId="196">
      <pivotArea collapsedLevelsAreSubtotals="1" fieldPosition="0">
        <references count="3">
          <reference field="2" count="1" selected="0">
            <x v="18"/>
          </reference>
          <reference field="3" count="1">
            <x v="76"/>
          </reference>
          <reference field="10" count="1" selected="0">
            <x v="1"/>
          </reference>
        </references>
      </pivotArea>
    </format>
    <format dxfId="195">
      <pivotArea collapsedLevelsAreSubtotals="1" fieldPosition="0">
        <references count="3">
          <reference field="2" count="1" selected="0">
            <x v="18"/>
          </reference>
          <reference field="3" count="1">
            <x v="179"/>
          </reference>
          <reference field="10" count="1" selected="0">
            <x v="1"/>
          </reference>
        </references>
      </pivotArea>
    </format>
    <format dxfId="194">
      <pivotArea collapsedLevelsAreSubtotals="1" fieldPosition="0">
        <references count="3">
          <reference field="2" count="1" selected="0">
            <x v="18"/>
          </reference>
          <reference field="3" count="1">
            <x v="210"/>
          </reference>
          <reference field="10" count="3" selected="0">
            <x v="1"/>
            <x v="2"/>
            <x v="5"/>
          </reference>
        </references>
      </pivotArea>
    </format>
    <format dxfId="193">
      <pivotArea collapsedLevelsAreSubtotals="1" fieldPosition="0">
        <references count="3">
          <reference field="2" count="1" selected="0">
            <x v="18"/>
          </reference>
          <reference field="3" count="1">
            <x v="222"/>
          </reference>
          <reference field="10" count="1" selected="0">
            <x v="0"/>
          </reference>
        </references>
      </pivotArea>
    </format>
    <format dxfId="192">
      <pivotArea collapsedLevelsAreSubtotals="1" fieldPosition="0">
        <references count="3">
          <reference field="2" count="1" selected="0">
            <x v="18"/>
          </reference>
          <reference field="3" count="1">
            <x v="253"/>
          </reference>
          <reference field="10" count="1" selected="0">
            <x v="0"/>
          </reference>
        </references>
      </pivotArea>
    </format>
    <format dxfId="191">
      <pivotArea collapsedLevelsAreSubtotals="1" fieldPosition="0">
        <references count="3">
          <reference field="2" count="1" selected="0">
            <x v="18"/>
          </reference>
          <reference field="3" count="1">
            <x v="349"/>
          </reference>
          <reference field="10" count="1" selected="0">
            <x v="2"/>
          </reference>
        </references>
      </pivotArea>
    </format>
    <format dxfId="190">
      <pivotArea collapsedLevelsAreSubtotals="1" fieldPosition="0">
        <references count="3">
          <reference field="2" count="1" selected="0">
            <x v="18"/>
          </reference>
          <reference field="3" count="1">
            <x v="54"/>
          </reference>
          <reference field="10" count="1" selected="0">
            <x v="2"/>
          </reference>
        </references>
      </pivotArea>
    </format>
    <format dxfId="189">
      <pivotArea collapsedLevelsAreSubtotals="1" fieldPosition="0">
        <references count="3">
          <reference field="2" count="1" selected="0">
            <x v="18"/>
          </reference>
          <reference field="3" count="1">
            <x v="8"/>
          </reference>
          <reference field="10" count="1" selected="0">
            <x v="2"/>
          </reference>
        </references>
      </pivotArea>
    </format>
    <format dxfId="188">
      <pivotArea collapsedLevelsAreSubtotals="1" fieldPosition="0">
        <references count="3">
          <reference field="2" count="1" selected="0">
            <x v="18"/>
          </reference>
          <reference field="3" count="1">
            <x v="211"/>
          </reference>
          <reference field="10" count="1" selected="0">
            <x v="2"/>
          </reference>
        </references>
      </pivotArea>
    </format>
    <format dxfId="187">
      <pivotArea collapsedLevelsAreSubtotals="1" fieldPosition="0">
        <references count="3">
          <reference field="2" count="1" selected="0">
            <x v="18"/>
          </reference>
          <reference field="3" count="14">
            <x v="8"/>
            <x v="54"/>
            <x v="67"/>
            <x v="76"/>
            <x v="179"/>
            <x v="194"/>
            <x v="198"/>
            <x v="210"/>
            <x v="211"/>
            <x v="222"/>
            <x v="246"/>
            <x v="253"/>
            <x v="320"/>
            <x v="349"/>
          </reference>
          <reference field="10" count="4" selected="0">
            <x v="0"/>
            <x v="1"/>
            <x v="2"/>
            <x v="5"/>
          </reference>
        </references>
      </pivotArea>
    </format>
    <format dxfId="186">
      <pivotArea dataOnly="0" labelOnly="1" fieldPosition="0">
        <references count="2">
          <reference field="2" count="1" selected="0">
            <x v="15"/>
          </reference>
          <reference field="3" count="1">
            <x v="167"/>
          </reference>
        </references>
      </pivotArea>
    </format>
    <format dxfId="185">
      <pivotArea dataOnly="0" labelOnly="1" fieldPosition="0">
        <references count="2">
          <reference field="2" count="1" selected="0">
            <x v="15"/>
          </reference>
          <reference field="3" count="1">
            <x v="168"/>
          </reference>
        </references>
      </pivotArea>
    </format>
    <format dxfId="184">
      <pivotArea dataOnly="0" labelOnly="1" fieldPosition="0">
        <references count="2">
          <reference field="2" count="1" selected="0">
            <x v="15"/>
          </reference>
          <reference field="3" count="1">
            <x v="306"/>
          </reference>
        </references>
      </pivotArea>
    </format>
    <format dxfId="183">
      <pivotArea dataOnly="0" labelOnly="1" fieldPosition="0">
        <references count="2">
          <reference field="2" count="1" selected="0">
            <x v="15"/>
          </reference>
          <reference field="3" count="1">
            <x v="292"/>
          </reference>
        </references>
      </pivotArea>
    </format>
    <format dxfId="182">
      <pivotArea dataOnly="0" labelOnly="1" fieldPosition="0">
        <references count="2">
          <reference field="2" count="1" selected="0">
            <x v="15"/>
          </reference>
          <reference field="3" count="1">
            <x v="249"/>
          </reference>
        </references>
      </pivotArea>
    </format>
    <format dxfId="181">
      <pivotArea dataOnly="0" labelOnly="1" fieldPosition="0">
        <references count="2">
          <reference field="2" count="1" selected="0">
            <x v="15"/>
          </reference>
          <reference field="3" count="1">
            <x v="166"/>
          </reference>
        </references>
      </pivotArea>
    </format>
    <format dxfId="180">
      <pivotArea dataOnly="0" labelOnly="1" fieldPosition="0">
        <references count="2">
          <reference field="2" count="1" selected="0">
            <x v="15"/>
          </reference>
          <reference field="3" count="1">
            <x v="354"/>
          </reference>
        </references>
      </pivotArea>
    </format>
    <format dxfId="179">
      <pivotArea dataOnly="0" labelOnly="1" fieldPosition="0">
        <references count="2">
          <reference field="2" count="1" selected="0">
            <x v="15"/>
          </reference>
          <reference field="3" count="1">
            <x v="191"/>
          </reference>
        </references>
      </pivotArea>
    </format>
    <format dxfId="178">
      <pivotArea dataOnly="0" fieldPosition="0">
        <references count="1">
          <reference field="3" count="8">
            <x v="166"/>
            <x v="167"/>
            <x v="168"/>
            <x v="191"/>
            <x v="249"/>
            <x v="292"/>
            <x v="306"/>
            <x v="354"/>
          </reference>
        </references>
      </pivotArea>
    </format>
    <format dxfId="177">
      <pivotArea outline="0" collapsedLevelsAreSubtotals="1" fieldPosition="0"/>
    </format>
    <format dxfId="176">
      <pivotArea field="2" type="button" dataOnly="0" labelOnly="1" outline="0" axis="axisRow" fieldPosition="0"/>
    </format>
    <format dxfId="175">
      <pivotArea dataOnly="0" labelOnly="1" fieldPosition="0">
        <references count="1">
          <reference field="2" count="11">
            <x v="3"/>
            <x v="5"/>
            <x v="9"/>
            <x v="10"/>
            <x v="12"/>
            <x v="13"/>
            <x v="15"/>
            <x v="17"/>
            <x v="23"/>
            <x v="25"/>
            <x v="32"/>
          </reference>
        </references>
      </pivotArea>
    </format>
    <format dxfId="174">
      <pivotArea dataOnly="0" labelOnly="1" grandRow="1" outline="0" fieldPosition="0"/>
    </format>
    <format dxfId="173">
      <pivotArea dataOnly="0" labelOnly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172">
      <pivotArea dataOnly="0" labelOnly="1" grandCol="1" outline="0" fieldPosition="0"/>
    </format>
    <format dxfId="171">
      <pivotArea dataOnly="0" labelOnly="1" fieldPosition="0">
        <references count="1">
          <reference field="2" count="1">
            <x v="3"/>
          </reference>
        </references>
      </pivotArea>
    </format>
    <format dxfId="170">
      <pivotArea dataOnly="0" labelOnly="1" fieldPosition="0">
        <references count="1">
          <reference field="2" count="1">
            <x v="10"/>
          </reference>
        </references>
      </pivotArea>
    </format>
    <format dxfId="169">
      <pivotArea dataOnly="0" labelOnly="1" fieldPosition="0">
        <references count="1">
          <reference field="2" count="1">
            <x v="13"/>
          </reference>
        </references>
      </pivotArea>
    </format>
    <format dxfId="168">
      <pivotArea dataOnly="0" labelOnly="1" fieldPosition="0">
        <references count="1">
          <reference field="2" count="1">
            <x v="23"/>
          </reference>
        </references>
      </pivotArea>
    </format>
    <format dxfId="167">
      <pivotArea dataOnly="0" labelOnly="1" fieldPosition="0">
        <references count="1">
          <reference field="2" count="8">
            <x v="3"/>
            <x v="5"/>
            <x v="10"/>
            <x v="12"/>
            <x v="13"/>
            <x v="15"/>
            <x v="17"/>
            <x v="23"/>
          </reference>
        </references>
      </pivotArea>
    </format>
    <format dxfId="166">
      <pivotArea collapsedLevelsAreSubtotals="1" fieldPosition="0">
        <references count="2">
          <reference field="2" count="1" selected="0">
            <x v="9"/>
          </reference>
          <reference field="3" count="3">
            <x v="86"/>
            <x v="127"/>
            <x v="266"/>
          </reference>
        </references>
      </pivotArea>
    </format>
    <format dxfId="165">
      <pivotArea field="2" type="button" dataOnly="0" labelOnly="1" outline="0" axis="axisRow" fieldPosition="0"/>
    </format>
    <format dxfId="164">
      <pivotArea dataOnly="0" labelOnly="1" fieldPosition="0">
        <references count="2">
          <reference field="2" count="1" selected="0">
            <x v="9"/>
          </reference>
          <reference field="3" count="3">
            <x v="86"/>
            <x v="127"/>
            <x v="266"/>
          </reference>
        </references>
      </pivotArea>
    </format>
    <format dxfId="163">
      <pivotArea dataOnly="0" labelOnly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162">
      <pivotArea dataOnly="0" labelOnly="1" grandCol="1" outline="0" fieldPosition="0"/>
    </format>
    <format dxfId="161">
      <pivotArea collapsedLevelsAreSubtotals="1" fieldPosition="0">
        <references count="2">
          <reference field="2" count="1" selected="0">
            <x v="12"/>
          </reference>
          <reference field="3" count="12">
            <x v="46"/>
            <x v="109"/>
            <x v="118"/>
            <x v="157"/>
            <x v="161"/>
            <x v="163"/>
            <x v="171"/>
            <x v="176"/>
            <x v="229"/>
            <x v="234"/>
            <x v="240"/>
            <x v="360"/>
          </reference>
        </references>
      </pivotArea>
    </format>
    <format dxfId="160">
      <pivotArea dataOnly="0" labelOnly="1" fieldPosition="0">
        <references count="2">
          <reference field="2" count="1" selected="0">
            <x v="12"/>
          </reference>
          <reference field="3" count="12">
            <x v="46"/>
            <x v="109"/>
            <x v="118"/>
            <x v="157"/>
            <x v="161"/>
            <x v="163"/>
            <x v="171"/>
            <x v="176"/>
            <x v="229"/>
            <x v="234"/>
            <x v="240"/>
            <x v="360"/>
          </reference>
        </references>
      </pivotArea>
    </format>
    <format dxfId="159">
      <pivotArea collapsedLevelsAreSubtotals="1" fieldPosition="0">
        <references count="2">
          <reference field="2" count="1" selected="0">
            <x v="15"/>
          </reference>
          <reference field="3" count="5">
            <x v="109"/>
            <x v="214"/>
            <x v="263"/>
            <x v="292"/>
            <x v="306"/>
          </reference>
        </references>
      </pivotArea>
    </format>
    <format dxfId="158">
      <pivotArea dataOnly="0" fieldPosition="0">
        <references count="2">
          <reference field="2" count="1">
            <x v="3"/>
          </reference>
          <reference field="3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  <format dxfId="157">
      <pivotArea collapsedLevelsAreSubtotals="1" fieldPosition="0">
        <references count="2">
          <reference field="2" count="1" selected="0">
            <x v="10"/>
          </reference>
          <reference field="3" count="8">
            <x v="18"/>
            <x v="94"/>
            <x v="107"/>
            <x v="109"/>
            <x v="151"/>
            <x v="291"/>
            <x v="336"/>
            <x v="346"/>
          </reference>
        </references>
      </pivotArea>
    </format>
    <format dxfId="156">
      <pivotArea dataOnly="0" labelOnly="1" fieldPosition="0">
        <references count="2">
          <reference field="2" count="1" selected="0">
            <x v="10"/>
          </reference>
          <reference field="3" count="8">
            <x v="18"/>
            <x v="94"/>
            <x v="107"/>
            <x v="109"/>
            <x v="151"/>
            <x v="291"/>
            <x v="336"/>
            <x v="346"/>
          </reference>
        </references>
      </pivotArea>
    </format>
    <format dxfId="155">
      <pivotArea collapsedLevelsAreSubtotals="1" fieldPosition="0">
        <references count="2">
          <reference field="2" count="1" selected="0">
            <x v="15"/>
          </reference>
          <reference field="3" count="6">
            <x v="109"/>
            <x v="191"/>
            <x v="214"/>
            <x v="263"/>
            <x v="292"/>
            <x v="306"/>
          </reference>
        </references>
      </pivotArea>
    </format>
    <format dxfId="154">
      <pivotArea dataOnly="0" labelOnly="1" fieldPosition="0">
        <references count="2">
          <reference field="2" count="1" selected="0">
            <x v="15"/>
          </reference>
          <reference field="3" count="6">
            <x v="109"/>
            <x v="191"/>
            <x v="214"/>
            <x v="263"/>
            <x v="292"/>
            <x v="306"/>
          </reference>
        </references>
      </pivotArea>
    </format>
    <format dxfId="153">
      <pivotArea collapsedLevelsAreSubtotals="1" fieldPosition="0">
        <references count="2">
          <reference field="2" count="1" selected="0">
            <x v="17"/>
          </reference>
          <reference field="3" count="23">
            <x v="55"/>
            <x v="60"/>
            <x v="67"/>
            <x v="79"/>
            <x v="93"/>
            <x v="109"/>
            <x v="123"/>
            <x v="140"/>
            <x v="147"/>
            <x v="179"/>
            <x v="194"/>
            <x v="197"/>
            <x v="198"/>
            <x v="210"/>
            <x v="222"/>
            <x v="238"/>
            <x v="246"/>
            <x v="271"/>
            <x v="325"/>
            <x v="332"/>
            <x v="351"/>
            <x v="353"/>
            <x v="356"/>
          </reference>
        </references>
      </pivotArea>
    </format>
    <format dxfId="152">
      <pivotArea dataOnly="0" labelOnly="1" fieldPosition="0">
        <references count="2">
          <reference field="2" count="1" selected="0">
            <x v="17"/>
          </reference>
          <reference field="3" count="23">
            <x v="55"/>
            <x v="60"/>
            <x v="67"/>
            <x v="79"/>
            <x v="93"/>
            <x v="109"/>
            <x v="123"/>
            <x v="140"/>
            <x v="147"/>
            <x v="179"/>
            <x v="194"/>
            <x v="197"/>
            <x v="198"/>
            <x v="210"/>
            <x v="222"/>
            <x v="238"/>
            <x v="246"/>
            <x v="271"/>
            <x v="325"/>
            <x v="332"/>
            <x v="351"/>
            <x v="353"/>
            <x v="356"/>
          </reference>
        </references>
      </pivotArea>
    </format>
    <format dxfId="151">
      <pivotArea collapsedLevelsAreSubtotals="1" fieldPosition="0">
        <references count="1">
          <reference field="2" count="1">
            <x v="3"/>
          </reference>
        </references>
      </pivotArea>
    </format>
    <format dxfId="150">
      <pivotArea collapsedLevelsAreSubtotals="1" fieldPosition="0">
        <references count="1">
          <reference field="2" count="1">
            <x v="5"/>
          </reference>
        </references>
      </pivotArea>
    </format>
    <format dxfId="149">
      <pivotArea collapsedLevelsAreSubtotals="1" fieldPosition="0">
        <references count="1">
          <reference field="2" count="1">
            <x v="9"/>
          </reference>
        </references>
      </pivotArea>
    </format>
    <format dxfId="148">
      <pivotArea collapsedLevelsAreSubtotals="1" fieldPosition="0">
        <references count="1">
          <reference field="2" count="1">
            <x v="10"/>
          </reference>
        </references>
      </pivotArea>
    </format>
    <format dxfId="147">
      <pivotArea collapsedLevelsAreSubtotals="1" fieldPosition="0">
        <references count="1">
          <reference field="2" count="1">
            <x v="12"/>
          </reference>
        </references>
      </pivotArea>
    </format>
    <format dxfId="146">
      <pivotArea collapsedLevelsAreSubtotals="1" fieldPosition="0">
        <references count="1">
          <reference field="2" count="1">
            <x v="13"/>
          </reference>
        </references>
      </pivotArea>
    </format>
    <format dxfId="145">
      <pivotArea collapsedLevelsAreSubtotals="1" fieldPosition="0">
        <references count="1">
          <reference field="2" count="1">
            <x v="15"/>
          </reference>
        </references>
      </pivotArea>
    </format>
    <format dxfId="144">
      <pivotArea collapsedLevelsAreSubtotals="1" fieldPosition="0">
        <references count="1">
          <reference field="2" count="1">
            <x v="17"/>
          </reference>
        </references>
      </pivotArea>
    </format>
    <format dxfId="143">
      <pivotArea collapsedLevelsAreSubtotals="1" fieldPosition="0">
        <references count="1">
          <reference field="2" count="1">
            <x v="23"/>
          </reference>
        </references>
      </pivotArea>
    </format>
    <format dxfId="142">
      <pivotArea collapsedLevelsAreSubtotals="1" fieldPosition="0">
        <references count="2">
          <reference field="2" count="1" selected="0">
            <x v="23"/>
          </reference>
          <reference field="3" count="5">
            <x v="105"/>
            <x v="172"/>
            <x v="231"/>
            <x v="235"/>
            <x v="260"/>
          </reference>
        </references>
      </pivotArea>
    </format>
    <format dxfId="141">
      <pivotArea collapsedLevelsAreSubtotals="1" fieldPosition="0">
        <references count="1">
          <reference field="2" count="1">
            <x v="25"/>
          </reference>
        </references>
      </pivotArea>
    </format>
    <format dxfId="140">
      <pivotArea dataOnly="0" labelOnly="1" fieldPosition="0">
        <references count="1">
          <reference field="2" count="10">
            <x v="3"/>
            <x v="5"/>
            <x v="9"/>
            <x v="10"/>
            <x v="12"/>
            <x v="13"/>
            <x v="15"/>
            <x v="17"/>
            <x v="23"/>
            <x v="25"/>
          </reference>
        </references>
      </pivotArea>
    </format>
    <format dxfId="139">
      <pivotArea dataOnly="0" labelOnly="1" fieldPosition="0">
        <references count="2">
          <reference field="2" count="1" selected="0">
            <x v="23"/>
          </reference>
          <reference field="3" count="5">
            <x v="105"/>
            <x v="172"/>
            <x v="231"/>
            <x v="235"/>
            <x v="260"/>
          </reference>
        </references>
      </pivotArea>
    </format>
    <format dxfId="138">
      <pivotArea collapsedLevelsAreSubtotals="1" fieldPosition="0">
        <references count="1">
          <reference field="2" count="1">
            <x v="3"/>
          </reference>
        </references>
      </pivotArea>
    </format>
    <format dxfId="137">
      <pivotArea collapsedLevelsAreSubtotals="1" fieldPosition="0">
        <references count="1">
          <reference field="2" count="1">
            <x v="4"/>
          </reference>
        </references>
      </pivotArea>
    </format>
    <format dxfId="136">
      <pivotArea collapsedLevelsAreSubtotals="1" fieldPosition="0">
        <references count="2">
          <reference field="2" count="1" selected="0">
            <x v="4"/>
          </reference>
          <reference field="3" count="1">
            <x v="105"/>
          </reference>
        </references>
      </pivotArea>
    </format>
    <format dxfId="135">
      <pivotArea collapsedLevelsAreSubtotals="1" fieldPosition="0">
        <references count="1">
          <reference field="2" count="1">
            <x v="5"/>
          </reference>
        </references>
      </pivotArea>
    </format>
    <format dxfId="134">
      <pivotArea collapsedLevelsAreSubtotals="1" fieldPosition="0">
        <references count="1">
          <reference field="2" count="1">
            <x v="9"/>
          </reference>
        </references>
      </pivotArea>
    </format>
    <format dxfId="133">
      <pivotArea collapsedLevelsAreSubtotals="1" fieldPosition="0">
        <references count="1">
          <reference field="2" count="1">
            <x v="10"/>
          </reference>
        </references>
      </pivotArea>
    </format>
    <format dxfId="132">
      <pivotArea collapsedLevelsAreSubtotals="1" fieldPosition="0">
        <references count="1">
          <reference field="2" count="1">
            <x v="12"/>
          </reference>
        </references>
      </pivotArea>
    </format>
    <format dxfId="131">
      <pivotArea collapsedLevelsAreSubtotals="1" fieldPosition="0">
        <references count="1">
          <reference field="2" count="1">
            <x v="13"/>
          </reference>
        </references>
      </pivotArea>
    </format>
    <format dxfId="130">
      <pivotArea collapsedLevelsAreSubtotals="1" fieldPosition="0">
        <references count="1">
          <reference field="2" count="1">
            <x v="15"/>
          </reference>
        </references>
      </pivotArea>
    </format>
    <format dxfId="129">
      <pivotArea collapsedLevelsAreSubtotals="1" fieldPosition="0">
        <references count="1">
          <reference field="2" count="1">
            <x v="17"/>
          </reference>
        </references>
      </pivotArea>
    </format>
    <format dxfId="128">
      <pivotArea collapsedLevelsAreSubtotals="1" fieldPosition="0">
        <references count="1">
          <reference field="2" count="1">
            <x v="23"/>
          </reference>
        </references>
      </pivotArea>
    </format>
    <format dxfId="127">
      <pivotArea collapsedLevelsAreSubtotals="1" fieldPosition="0">
        <references count="2">
          <reference field="2" count="1" selected="0">
            <x v="23"/>
          </reference>
          <reference field="3" count="4">
            <x v="172"/>
            <x v="231"/>
            <x v="235"/>
            <x v="260"/>
          </reference>
        </references>
      </pivotArea>
    </format>
    <format dxfId="126">
      <pivotArea collapsedLevelsAreSubtotals="1" fieldPosition="0">
        <references count="1">
          <reference field="2" count="1">
            <x v="25"/>
          </reference>
        </references>
      </pivotArea>
    </format>
    <format dxfId="125">
      <pivotArea field="2" type="button" dataOnly="0" labelOnly="1" outline="0" axis="axisRow" fieldPosition="0"/>
    </format>
    <format dxfId="124">
      <pivotArea dataOnly="0" labelOnly="1" fieldPosition="0">
        <references count="1">
          <reference field="2" count="11">
            <x v="3"/>
            <x v="4"/>
            <x v="5"/>
            <x v="9"/>
            <x v="10"/>
            <x v="12"/>
            <x v="13"/>
            <x v="15"/>
            <x v="17"/>
            <x v="23"/>
            <x v="25"/>
          </reference>
        </references>
      </pivotArea>
    </format>
    <format dxfId="123">
      <pivotArea dataOnly="0" labelOnly="1" fieldPosition="0">
        <references count="2">
          <reference field="2" count="1" selected="0">
            <x v="4"/>
          </reference>
          <reference field="3" count="1">
            <x v="105"/>
          </reference>
        </references>
      </pivotArea>
    </format>
    <format dxfId="122">
      <pivotArea dataOnly="0" labelOnly="1" fieldPosition="0">
        <references count="2">
          <reference field="2" count="1" selected="0">
            <x v="23"/>
          </reference>
          <reference field="3" count="4">
            <x v="172"/>
            <x v="231"/>
            <x v="235"/>
            <x v="260"/>
          </reference>
        </references>
      </pivotArea>
    </format>
    <format dxfId="121">
      <pivotArea dataOnly="0" labelOnly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120">
      <pivotArea dataOnly="0" labelOnly="1" grandCol="1" outline="0" fieldPosition="0"/>
    </format>
    <format dxfId="119">
      <pivotArea outline="0" collapsedLevelsAreSubtotals="1" fieldPosition="0"/>
    </format>
    <format dxfId="118">
      <pivotArea field="2" type="button" dataOnly="0" labelOnly="1" outline="0" axis="axisRow" fieldPosition="0"/>
    </format>
    <format dxfId="117">
      <pivotArea dataOnly="0" labelOnly="1" fieldPosition="0">
        <references count="1">
          <reference field="2" count="11">
            <x v="3"/>
            <x v="4"/>
            <x v="5"/>
            <x v="9"/>
            <x v="10"/>
            <x v="12"/>
            <x v="13"/>
            <x v="15"/>
            <x v="17"/>
            <x v="23"/>
            <x v="25"/>
          </reference>
        </references>
      </pivotArea>
    </format>
    <format dxfId="116">
      <pivotArea dataOnly="0" labelOnly="1" grandRow="1" outline="0" fieldPosition="0"/>
    </format>
    <format dxfId="115">
      <pivotArea dataOnly="0" labelOnly="1" fieldPosition="0">
        <references count="2">
          <reference field="2" count="1" selected="0">
            <x v="4"/>
          </reference>
          <reference field="3" count="3">
            <x v="117"/>
            <x v="304"/>
            <x v="307"/>
          </reference>
        </references>
      </pivotArea>
    </format>
    <format dxfId="114">
      <pivotArea dataOnly="0" labelOnly="1" fieldPosition="0">
        <references count="2">
          <reference field="2" count="1" selected="0">
            <x v="15"/>
          </reference>
          <reference field="3" count="6">
            <x v="109"/>
            <x v="191"/>
            <x v="214"/>
            <x v="263"/>
            <x v="292"/>
            <x v="306"/>
          </reference>
        </references>
      </pivotArea>
    </format>
    <format dxfId="113">
      <pivotArea dataOnly="0" labelOnly="1" fieldPosition="0">
        <references count="2">
          <reference field="2" count="1" selected="0">
            <x v="23"/>
          </reference>
          <reference field="3" count="4">
            <x v="172"/>
            <x v="231"/>
            <x v="235"/>
            <x v="260"/>
          </reference>
        </references>
      </pivotArea>
    </format>
    <format dxfId="112">
      <pivotArea dataOnly="0" labelOnly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111">
      <pivotArea dataOnly="0" labelOnly="1" grandCol="1" outline="0" fieldPosition="0"/>
    </format>
    <format dxfId="110">
      <pivotArea type="all" dataOnly="0" outline="0" fieldPosition="0"/>
    </format>
    <format dxfId="109">
      <pivotArea outline="0" collapsedLevelsAreSubtotals="1" fieldPosition="0"/>
    </format>
    <format dxfId="108">
      <pivotArea type="origin" dataOnly="0" labelOnly="1" outline="0" fieldPosition="0"/>
    </format>
    <format dxfId="107">
      <pivotArea field="10" type="button" dataOnly="0" labelOnly="1" outline="0" axis="axisCol" fieldPosition="0"/>
    </format>
    <format dxfId="106">
      <pivotArea type="topRight" dataOnly="0" labelOnly="1" outline="0" fieldPosition="0"/>
    </format>
    <format dxfId="105">
      <pivotArea field="2" type="button" dataOnly="0" labelOnly="1" outline="0" axis="axisRow" fieldPosition="0"/>
    </format>
    <format dxfId="104">
      <pivotArea dataOnly="0" labelOnly="1" fieldPosition="0">
        <references count="1">
          <reference field="2" count="11">
            <x v="3"/>
            <x v="4"/>
            <x v="5"/>
            <x v="9"/>
            <x v="10"/>
            <x v="12"/>
            <x v="13"/>
            <x v="15"/>
            <x v="17"/>
            <x v="23"/>
            <x v="25"/>
          </reference>
        </references>
      </pivotArea>
    </format>
    <format dxfId="103">
      <pivotArea dataOnly="0" labelOnly="1" grandRow="1" outline="0" fieldPosition="0"/>
    </format>
    <format dxfId="102">
      <pivotArea dataOnly="0" labelOnly="1" fieldPosition="0">
        <references count="2">
          <reference field="2" count="1" selected="0">
            <x v="4"/>
          </reference>
          <reference field="3" count="3">
            <x v="117"/>
            <x v="304"/>
            <x v="307"/>
          </reference>
        </references>
      </pivotArea>
    </format>
    <format dxfId="101">
      <pivotArea dataOnly="0" labelOnly="1" fieldPosition="0">
        <references count="2">
          <reference field="2" count="1" selected="0">
            <x v="5"/>
          </reference>
          <reference field="3" count="1">
            <x v="106"/>
          </reference>
        </references>
      </pivotArea>
    </format>
    <format dxfId="100">
      <pivotArea dataOnly="0" labelOnly="1" fieldPosition="0">
        <references count="2">
          <reference field="2" count="1" selected="0">
            <x v="9"/>
          </reference>
          <reference field="3" count="3">
            <x v="86"/>
            <x v="127"/>
            <x v="266"/>
          </reference>
        </references>
      </pivotArea>
    </format>
    <format dxfId="99">
      <pivotArea dataOnly="0" labelOnly="1" fieldPosition="0">
        <references count="2">
          <reference field="2" count="1" selected="0">
            <x v="10"/>
          </reference>
          <reference field="3" count="7">
            <x v="18"/>
            <x v="107"/>
            <x v="109"/>
            <x v="151"/>
            <x v="291"/>
            <x v="336"/>
            <x v="346"/>
          </reference>
        </references>
      </pivotArea>
    </format>
    <format dxfId="98">
      <pivotArea dataOnly="0" labelOnly="1" fieldPosition="0">
        <references count="2">
          <reference field="2" count="1" selected="0">
            <x v="12"/>
          </reference>
          <reference field="3" count="12">
            <x v="46"/>
            <x v="109"/>
            <x v="118"/>
            <x v="157"/>
            <x v="161"/>
            <x v="163"/>
            <x v="171"/>
            <x v="176"/>
            <x v="229"/>
            <x v="234"/>
            <x v="240"/>
            <x v="360"/>
          </reference>
        </references>
      </pivotArea>
    </format>
    <format dxfId="97">
      <pivotArea dataOnly="0" labelOnly="1" fieldPosition="0">
        <references count="2">
          <reference field="2" count="1" selected="0">
            <x v="13"/>
          </reference>
          <reference field="3" count="1">
            <x v="174"/>
          </reference>
        </references>
      </pivotArea>
    </format>
    <format dxfId="96">
      <pivotArea dataOnly="0" labelOnly="1" fieldPosition="0">
        <references count="2">
          <reference field="2" count="1" selected="0">
            <x v="15"/>
          </reference>
          <reference field="3" count="6">
            <x v="109"/>
            <x v="191"/>
            <x v="214"/>
            <x v="263"/>
            <x v="292"/>
            <x v="306"/>
          </reference>
        </references>
      </pivotArea>
    </format>
    <format dxfId="95">
      <pivotArea dataOnly="0" labelOnly="1" fieldPosition="0">
        <references count="2">
          <reference field="2" count="1" selected="0">
            <x v="23"/>
          </reference>
          <reference field="3" count="4">
            <x v="172"/>
            <x v="231"/>
            <x v="235"/>
            <x v="260"/>
          </reference>
        </references>
      </pivotArea>
    </format>
    <format dxfId="94">
      <pivotArea dataOnly="0" labelOnly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93">
      <pivotArea dataOnly="0" labelOnly="1" grandCol="1" outline="0" fieldPosition="0"/>
    </format>
    <format dxfId="92">
      <pivotArea type="all" dataOnly="0" outline="0" fieldPosition="0"/>
    </format>
    <format dxfId="91">
      <pivotArea type="origin" dataOnly="0" labelOnly="1" outline="0" fieldPosition="0"/>
    </format>
    <format dxfId="90">
      <pivotArea field="2" type="button" dataOnly="0" labelOnly="1" outline="0" axis="axisRow" fieldPosition="0"/>
    </format>
    <format dxfId="89">
      <pivotArea dataOnly="0" labelOnly="1" fieldPosition="0">
        <references count="1">
          <reference field="2" count="11">
            <x v="3"/>
            <x v="4"/>
            <x v="5"/>
            <x v="9"/>
            <x v="10"/>
            <x v="12"/>
            <x v="13"/>
            <x v="15"/>
            <x v="17"/>
            <x v="23"/>
            <x v="25"/>
          </reference>
        </references>
      </pivotArea>
    </format>
    <format dxfId="88">
      <pivotArea dataOnly="0" labelOnly="1" grandRow="1" outline="0" fieldPosition="0"/>
    </format>
    <format dxfId="87">
      <pivotArea dataOnly="0" labelOnly="1" fieldPosition="0">
        <references count="2">
          <reference field="2" count="1" selected="0">
            <x v="4"/>
          </reference>
          <reference field="3" count="3">
            <x v="117"/>
            <x v="304"/>
            <x v="307"/>
          </reference>
        </references>
      </pivotArea>
    </format>
    <format dxfId="86">
      <pivotArea dataOnly="0" labelOnly="1" fieldPosition="0">
        <references count="2">
          <reference field="2" count="1" selected="0">
            <x v="5"/>
          </reference>
          <reference field="3" count="1">
            <x v="106"/>
          </reference>
        </references>
      </pivotArea>
    </format>
    <format dxfId="85">
      <pivotArea dataOnly="0" labelOnly="1" fieldPosition="0">
        <references count="2">
          <reference field="2" count="1" selected="0">
            <x v="9"/>
          </reference>
          <reference field="3" count="3">
            <x v="86"/>
            <x v="127"/>
            <x v="266"/>
          </reference>
        </references>
      </pivotArea>
    </format>
    <format dxfId="84">
      <pivotArea dataOnly="0" labelOnly="1" fieldPosition="0">
        <references count="2">
          <reference field="2" count="1" selected="0">
            <x v="10"/>
          </reference>
          <reference field="3" count="7">
            <x v="18"/>
            <x v="107"/>
            <x v="109"/>
            <x v="151"/>
            <x v="291"/>
            <x v="336"/>
            <x v="346"/>
          </reference>
        </references>
      </pivotArea>
    </format>
    <format dxfId="83">
      <pivotArea dataOnly="0" labelOnly="1" fieldPosition="0">
        <references count="2">
          <reference field="2" count="1" selected="0">
            <x v="12"/>
          </reference>
          <reference field="3" count="12">
            <x v="46"/>
            <x v="109"/>
            <x v="118"/>
            <x v="157"/>
            <x v="161"/>
            <x v="163"/>
            <x v="171"/>
            <x v="176"/>
            <x v="229"/>
            <x v="234"/>
            <x v="240"/>
            <x v="360"/>
          </reference>
        </references>
      </pivotArea>
    </format>
    <format dxfId="82">
      <pivotArea dataOnly="0" labelOnly="1" fieldPosition="0">
        <references count="2">
          <reference field="2" count="1" selected="0">
            <x v="13"/>
          </reference>
          <reference field="3" count="1">
            <x v="174"/>
          </reference>
        </references>
      </pivotArea>
    </format>
    <format dxfId="81">
      <pivotArea dataOnly="0" labelOnly="1" fieldPosition="0">
        <references count="2">
          <reference field="2" count="1" selected="0">
            <x v="15"/>
          </reference>
          <reference field="3" count="6">
            <x v="109"/>
            <x v="191"/>
            <x v="214"/>
            <x v="263"/>
            <x v="292"/>
            <x v="306"/>
          </reference>
        </references>
      </pivotArea>
    </format>
    <format dxfId="80">
      <pivotArea dataOnly="0" labelOnly="1" fieldPosition="0">
        <references count="2">
          <reference field="2" count="1" selected="0">
            <x v="23"/>
          </reference>
          <reference field="3" count="4">
            <x v="172"/>
            <x v="231"/>
            <x v="235"/>
            <x v="260"/>
          </reference>
        </references>
      </pivotArea>
    </format>
    <format dxfId="79">
      <pivotArea outline="0" collapsedLevelsAreSubtotals="1" fieldPosition="0"/>
    </format>
    <format dxfId="78">
      <pivotArea dataOnly="0" labelOnly="1" outline="0" fieldPosition="0">
        <references count="1">
          <reference field="1" count="0"/>
        </references>
      </pivotArea>
    </format>
    <format dxfId="77">
      <pivotArea field="10" type="button" dataOnly="0" labelOnly="1" outline="0" axis="axisCol" fieldPosition="0"/>
    </format>
    <format dxfId="76">
      <pivotArea type="topRight" dataOnly="0" labelOnly="1" outline="0" fieldPosition="0"/>
    </format>
    <format dxfId="75">
      <pivotArea dataOnly="0" labelOnly="1" fieldPosition="0">
        <references count="1">
          <reference field="10" count="4">
            <x v="0"/>
            <x v="1"/>
            <x v="2"/>
            <x v="3"/>
          </reference>
        </references>
      </pivotArea>
    </format>
    <format dxfId="74">
      <pivotArea dataOnly="0" labelOnly="1" grandCol="1" outline="0" fieldPosition="0"/>
    </format>
    <format dxfId="73">
      <pivotArea collapsedLevelsAreSubtotals="1" fieldPosition="0">
        <references count="2">
          <reference field="2" count="1" selected="0">
            <x v="9"/>
          </reference>
          <reference field="3" count="3">
            <x v="86"/>
            <x v="127"/>
            <x v="266"/>
          </reference>
        </references>
      </pivotArea>
    </format>
    <format dxfId="72">
      <pivotArea collapsedLevelsAreSubtotals="1" fieldPosition="0">
        <references count="1">
          <reference field="2" count="1">
            <x v="10"/>
          </reference>
        </references>
      </pivotArea>
    </format>
    <format dxfId="71">
      <pivotArea dataOnly="0" labelOnly="1" fieldPosition="0">
        <references count="1">
          <reference field="2" count="1">
            <x v="10"/>
          </reference>
        </references>
      </pivotArea>
    </format>
    <format dxfId="70">
      <pivotArea dataOnly="0" labelOnly="1" fieldPosition="0">
        <references count="2">
          <reference field="2" count="1" selected="0">
            <x v="9"/>
          </reference>
          <reference field="3" count="3">
            <x v="86"/>
            <x v="127"/>
            <x v="266"/>
          </reference>
        </references>
      </pivotArea>
    </format>
    <format dxfId="69">
      <pivotArea collapsedLevelsAreSubtotals="1" fieldPosition="0">
        <references count="2">
          <reference field="2" count="1" selected="0">
            <x v="10"/>
          </reference>
          <reference field="3" count="7">
            <x v="18"/>
            <x v="107"/>
            <x v="109"/>
            <x v="151"/>
            <x v="291"/>
            <x v="336"/>
            <x v="346"/>
          </reference>
        </references>
      </pivotArea>
    </format>
    <format dxfId="68">
      <pivotArea collapsedLevelsAreSubtotals="1" fieldPosition="0">
        <references count="1">
          <reference field="2" count="1">
            <x v="12"/>
          </reference>
        </references>
      </pivotArea>
    </format>
    <format dxfId="67">
      <pivotArea dataOnly="0" labelOnly="1" fieldPosition="0">
        <references count="1">
          <reference field="2" count="1">
            <x v="12"/>
          </reference>
        </references>
      </pivotArea>
    </format>
    <format dxfId="66">
      <pivotArea dataOnly="0" labelOnly="1" fieldPosition="0">
        <references count="2">
          <reference field="2" count="1" selected="0">
            <x v="10"/>
          </reference>
          <reference field="3" count="7">
            <x v="18"/>
            <x v="107"/>
            <x v="109"/>
            <x v="151"/>
            <x v="291"/>
            <x v="336"/>
            <x v="346"/>
          </reference>
        </references>
      </pivotArea>
    </format>
    <format dxfId="65">
      <pivotArea collapsedLevelsAreSubtotals="1" fieldPosition="0">
        <references count="2">
          <reference field="2" count="1" selected="0">
            <x v="12"/>
          </reference>
          <reference field="3" count="12">
            <x v="46"/>
            <x v="109"/>
            <x v="118"/>
            <x v="157"/>
            <x v="161"/>
            <x v="163"/>
            <x v="171"/>
            <x v="176"/>
            <x v="229"/>
            <x v="234"/>
            <x v="240"/>
            <x v="360"/>
          </reference>
        </references>
      </pivotArea>
    </format>
    <format dxfId="64">
      <pivotArea collapsedLevelsAreSubtotals="1" fieldPosition="0">
        <references count="1">
          <reference field="2" count="1">
            <x v="13"/>
          </reference>
        </references>
      </pivotArea>
    </format>
    <format dxfId="63">
      <pivotArea dataOnly="0" labelOnly="1" fieldPosition="0">
        <references count="1">
          <reference field="2" count="1">
            <x v="13"/>
          </reference>
        </references>
      </pivotArea>
    </format>
    <format dxfId="62">
      <pivotArea dataOnly="0" labelOnly="1" fieldPosition="0">
        <references count="2">
          <reference field="2" count="1" selected="0">
            <x v="12"/>
          </reference>
          <reference field="3" count="12">
            <x v="46"/>
            <x v="109"/>
            <x v="118"/>
            <x v="157"/>
            <x v="161"/>
            <x v="163"/>
            <x v="171"/>
            <x v="176"/>
            <x v="229"/>
            <x v="234"/>
            <x v="240"/>
            <x v="360"/>
          </reference>
        </references>
      </pivotArea>
    </format>
    <format dxfId="61">
      <pivotArea dataOnly="0" fieldPosition="0">
        <references count="2">
          <reference field="2" count="1">
            <x v="15"/>
          </reference>
          <reference field="3" count="0" defaultSubtotal="1" sumSubtotal="1" countASubtotal="1" avgSubtotal="1" maxSubtotal="1" minSubtotal="1" productSubtotal="1" countSubtotal="1" stdDevSubtotal="1" stdDevPSubtotal="1" varSubtotal="1" varPSubtotal="1"/>
        </references>
      </pivotArea>
    </format>
  </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name="Tabela dinâmica3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6">
  <location ref="A39:B44" firstHeaderRow="1" firstDataRow="1" firstDataCol="1" rowPageCount="1" colPageCount="1"/>
  <pivotFields count="16">
    <pivotField showAll="0"/>
    <pivotField axis="axisPage" numFmtId="14" showAll="0">
      <items count="38">
        <item x="35"/>
        <item x="33"/>
        <item x="34"/>
        <item x="32"/>
        <item x="36"/>
        <item x="31"/>
        <item x="30"/>
        <item x="29"/>
        <item x="28"/>
        <item x="27"/>
        <item x="26"/>
        <item x="24"/>
        <item x="25"/>
        <item x="23"/>
        <item x="22"/>
        <item x="21"/>
        <item x="20"/>
        <item x="19"/>
        <item x="18"/>
        <item x="17"/>
        <item x="16"/>
        <item x="15"/>
        <item x="14"/>
        <item x="13"/>
        <item x="12"/>
        <item x="11"/>
        <item x="10"/>
        <item x="9"/>
        <item x="8"/>
        <item x="7"/>
        <item x="6"/>
        <item x="5"/>
        <item x="4"/>
        <item x="3"/>
        <item x="2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44" showAll="0"/>
    <pivotField numFmtId="44" showAll="0"/>
    <pivotField showAll="0"/>
    <pivotField axis="axisRow" showAll="0">
      <items count="5">
        <item x="3"/>
        <item x="2"/>
        <item x="0"/>
        <item x="1"/>
        <item t="default"/>
      </items>
    </pivotField>
  </pivotFields>
  <rowFields count="1">
    <field x="15"/>
  </rowFields>
  <rowItems count="5">
    <i>
      <x/>
    </i>
    <i>
      <x v="1"/>
    </i>
    <i>
      <x v="2"/>
    </i>
    <i>
      <x v="3"/>
    </i>
    <i t="grand">
      <x/>
    </i>
  </rowItems>
  <colItems count="1">
    <i/>
  </colItems>
  <pageFields count="1">
    <pageField fld="1" hier="-1"/>
  </pageFields>
  <dataFields count="1">
    <dataField name="Soma de Qtde Produto" fld="11" baseField="0" baseItem="0"/>
  </dataFields>
  <chartFormats count="6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5" format="0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0"/>
          </reference>
        </references>
      </pivotArea>
    </chartFormat>
    <chartFormat chart="5" format="1" series="1">
      <pivotArea type="data" outline="0" fieldPosition="0">
        <references count="2">
          <reference field="4294967294" count="1" selected="0">
            <x v="0"/>
          </reference>
          <reference field="15" count="1" selected="0">
            <x v="1"/>
          </reference>
        </references>
      </pivotArea>
    </chartFormat>
    <chartFormat chart="5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name="Tabela dinâmica2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5">
  <location ref="A18:B34" firstHeaderRow="1" firstDataRow="1" firstDataCol="1" rowPageCount="1" colPageCount="1"/>
  <pivotFields count="16">
    <pivotField showAll="0"/>
    <pivotField axis="axisPage" numFmtId="14" multipleItemSelectionAllowed="1" showAll="0">
      <items count="38">
        <item h="1" x="35"/>
        <item h="1" x="33"/>
        <item h="1" x="34"/>
        <item x="32"/>
        <item x="36"/>
        <item x="31"/>
        <item h="1" x="30"/>
        <item h="1" x="29"/>
        <item h="1" x="28"/>
        <item h="1" x="27"/>
        <item h="1" x="26"/>
        <item h="1" x="24"/>
        <item h="1" x="25"/>
        <item h="1" x="23"/>
        <item h="1" x="22"/>
        <item h="1" x="21"/>
        <item h="1" x="20"/>
        <item h="1" x="19"/>
        <item h="1" x="18"/>
        <item h="1" x="17"/>
        <item h="1" x="16"/>
        <item h="1" x="15"/>
        <item h="1" x="14"/>
        <item h="1" x="13"/>
        <item h="1" x="12"/>
        <item h="1" x="11"/>
        <item h="1" x="10"/>
        <item h="1" x="9"/>
        <item h="1" x="8"/>
        <item h="1" x="7"/>
        <item h="1" x="6"/>
        <item h="1" x="5"/>
        <item h="1" x="4"/>
        <item h="1" x="3"/>
        <item h="1" x="2"/>
        <item h="1" x="1"/>
        <item h="1" x="0"/>
        <item t="default"/>
      </items>
    </pivotField>
    <pivotField axis="axisRow" showAll="0">
      <items count="36">
        <item x="29"/>
        <item x="17"/>
        <item x="24"/>
        <item x="11"/>
        <item x="25"/>
        <item x="7"/>
        <item x="19"/>
        <item x="8"/>
        <item x="16"/>
        <item x="21"/>
        <item x="33"/>
        <item x="32"/>
        <item x="10"/>
        <item x="27"/>
        <item x="28"/>
        <item x="12"/>
        <item m="1" x="34"/>
        <item x="31"/>
        <item x="23"/>
        <item x="26"/>
        <item x="30"/>
        <item x="2"/>
        <item x="22"/>
        <item x="18"/>
        <item x="20"/>
        <item x="9"/>
        <item x="4"/>
        <item x="15"/>
        <item x="5"/>
        <item x="6"/>
        <item x="3"/>
        <item x="13"/>
        <item x="14"/>
        <item x="1"/>
        <item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numFmtId="44" showAll="0"/>
    <pivotField numFmtId="44" showAll="0"/>
    <pivotField showAll="0"/>
    <pivotField showAll="0"/>
  </pivotFields>
  <rowFields count="1">
    <field x="2"/>
  </rowFields>
  <rowItems count="16">
    <i>
      <x/>
    </i>
    <i>
      <x v="1"/>
    </i>
    <i>
      <x v="4"/>
    </i>
    <i>
      <x v="5"/>
    </i>
    <i>
      <x v="6"/>
    </i>
    <i>
      <x v="7"/>
    </i>
    <i>
      <x v="8"/>
    </i>
    <i>
      <x v="9"/>
    </i>
    <i>
      <x v="12"/>
    </i>
    <i>
      <x v="14"/>
    </i>
    <i>
      <x v="15"/>
    </i>
    <i>
      <x v="19"/>
    </i>
    <i>
      <x v="21"/>
    </i>
    <i>
      <x v="22"/>
    </i>
    <i>
      <x v="23"/>
    </i>
    <i t="grand">
      <x/>
    </i>
  </rowItems>
  <colItems count="1">
    <i/>
  </colItems>
  <pageFields count="1">
    <pageField fld="1" hier="-1"/>
  </pageFields>
  <dataFields count="1">
    <dataField name="Soma de Qtde Produto" fld="11" baseField="0" baseItem="0"/>
  </dataFields>
  <chartFormats count="3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4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name="Tabela dinâmica1" cacheId="0" applyNumberFormats="0" applyBorderFormats="0" applyFontFormats="0" applyPatternFormats="0" applyAlignmentFormats="0" applyWidthHeightFormats="1" dataCaption="Valores" updatedVersion="6" minRefreshableVersion="3" useAutoFormatting="1" itemPrintTitles="1" createdVersion="4" indent="0" outline="1" outlineData="1" multipleFieldFilters="0" chartFormat="4">
  <location ref="A1:E9" firstHeaderRow="1" firstDataRow="2" firstDataCol="1"/>
  <pivotFields count="16">
    <pivotField showAll="0"/>
    <pivotField axis="axisCol" numFmtId="14" showAll="0">
      <items count="38">
        <item h="1" x="35"/>
        <item h="1" x="33"/>
        <item h="1" x="34"/>
        <item x="32"/>
        <item x="36"/>
        <item x="31"/>
        <item h="1" x="30"/>
        <item h="1" x="29"/>
        <item h="1" x="28"/>
        <item h="1" x="27"/>
        <item h="1" x="26"/>
        <item h="1" x="24"/>
        <item h="1" x="25"/>
        <item h="1" x="23"/>
        <item h="1" x="22"/>
        <item h="1" x="21"/>
        <item h="1" x="20"/>
        <item h="1" x="19"/>
        <item h="1" x="18"/>
        <item h="1" x="17"/>
        <item h="1" x="16"/>
        <item h="1" x="15"/>
        <item h="1" x="14"/>
        <item h="1" x="13"/>
        <item h="1" x="12"/>
        <item h="1" x="11"/>
        <item h="1" x="10"/>
        <item h="1" x="9"/>
        <item h="1" x="8"/>
        <item h="1" x="7"/>
        <item h="1" x="6"/>
        <item h="1" x="5"/>
        <item h="1" x="4"/>
        <item h="1" x="3"/>
        <item h="1" x="2"/>
        <item h="1" x="1"/>
        <item h="1" x="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axis="axisRow" showAll="0">
      <items count="7">
        <item x="2"/>
        <item x="3"/>
        <item x="1"/>
        <item x="0"/>
        <item x="5"/>
        <item x="4"/>
        <item t="default"/>
      </items>
    </pivotField>
    <pivotField dataField="1" showAll="0"/>
    <pivotField numFmtId="44" showAll="0"/>
    <pivotField numFmtId="44" showAll="0"/>
    <pivotField showAll="0"/>
    <pivotField showAll="0"/>
  </pivotFields>
  <rowFields count="1">
    <field x="10"/>
  </rowFields>
  <rowItems count="7">
    <i>
      <x/>
    </i>
    <i>
      <x v="1"/>
    </i>
    <i>
      <x v="2"/>
    </i>
    <i>
      <x v="3"/>
    </i>
    <i>
      <x v="4"/>
    </i>
    <i>
      <x v="5"/>
    </i>
    <i t="grand">
      <x/>
    </i>
  </rowItems>
  <colFields count="1">
    <field x="1"/>
  </colFields>
  <colItems count="4">
    <i>
      <x v="3"/>
    </i>
    <i>
      <x v="4"/>
    </i>
    <i>
      <x v="5"/>
    </i>
    <i t="grand">
      <x/>
    </i>
  </colItems>
  <dataFields count="1">
    <dataField name="Soma de Qtde Produto" fld="11" baseField="0" baseItem="0"/>
  </dataFields>
  <chartFormats count="8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0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1"/>
          </reference>
        </references>
      </pivotArea>
    </chartFormat>
    <chartFormat chart="0" format="3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2"/>
          </reference>
        </references>
      </pivotArea>
    </chartFormat>
    <chartFormat chart="0" format="4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3"/>
          </reference>
        </references>
      </pivotArea>
    </chartFormat>
    <chartFormat chart="0" format="5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4"/>
          </reference>
        </references>
      </pivotArea>
    </chartFormat>
    <chartFormat chart="0" format="6" series="1">
      <pivotArea type="data" outline="0" fieldPosition="0">
        <references count="2">
          <reference field="4294967294" count="1" selected="0">
            <x v="0"/>
          </reference>
          <reference field="1" count="1" selected="0">
            <x v="5"/>
          </reference>
        </references>
      </pivotArea>
    </chartFormat>
  </chartFormats>
  <pivotTableStyleInfo name="PivotStyleLight16" showRowHeaders="1" showColHeaders="1" showRowStripes="0" showColStripes="0" showLastColumn="1"/>
  <extLst>
    <ext xmlns:xpdl="http://schemas.microsoft.com/office/spreadsheetml/2016/pivotdefaultlayout" uri="{747A6164-185A-40DC-8AA5-F01512510D54}">
      <xpdl:pivotTableDefinition16/>
    </ext>
  </extLst>
</pivotTableDefinition>
</file>

<file path=xl/queryTables/queryTable1.xml><?xml version="1.0" encoding="utf-8"?>
<queryTable xmlns="http://schemas.openxmlformats.org/spreadsheetml/2006/main" name="DadosExternos_1" connectionId="1" autoFormatId="16" applyNumberFormats="0" applyBorderFormats="0" applyFontFormats="0" applyPatternFormats="0" applyAlignmentFormats="0" applyWidthHeightFormats="0">
  <queryTableRefresh nextId="10">
    <queryTableFields count="9">
      <queryTableField id="1" name="Cliente" tableColumnId="1"/>
      <queryTableField id="2" name="Telefone" tableColumnId="2"/>
      <queryTableField id="3" name="Endereço de Entrega" tableColumnId="3"/>
      <queryTableField id="4" name="Bairro " tableColumnId="4"/>
      <queryTableField id="5" name="Produto " tableColumnId="5"/>
      <queryTableField id="6" name="Qtde Produto" tableColumnId="6"/>
      <queryTableField id="7" name="Status do Item " tableColumnId="7"/>
      <queryTableField id="8" name="Vendedor" tableColumnId="8"/>
      <queryTableField id="9" name="Contagem" tableColumnId="9"/>
    </queryTableFields>
  </queryTableRefresh>
</queryTable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3" name="CLI" displayName="CLI" ref="B1:K837233" totalsRowShown="0" headerRowDxfId="257">
  <autoFilter ref="B1:K837233"/>
  <sortState ref="B2:K338">
    <sortCondition ref="B1:B837233"/>
  </sortState>
  <tableColumns count="10">
    <tableColumn id="1" name="NOME "/>
    <tableColumn id="2" name="APELIDO/REFERêNCIA"/>
    <tableColumn id="3" name="TELEFONE " dataDxfId="256"/>
    <tableColumn id="4" name="OUTRO CONTATO"/>
    <tableColumn id="6" name="ENDEREÇO"/>
    <tableColumn id="7" name="OBS/REF."/>
    <tableColumn id="8" name="BAIRRO"/>
    <tableColumn id="9" name="CEP"/>
    <tableColumn id="10" name="VENDEDOR PRINCIPAL"/>
    <tableColumn id="5" name="DATA CADASTRO" dataDxfId="255"/>
  </tableColumns>
  <tableStyleInfo name="TableStyleMedium20" showFirstColumn="0" showLastColumn="0" showRowStripes="1" showColumnStripes="0"/>
</table>
</file>

<file path=xl/tables/table2.xml><?xml version="1.0" encoding="utf-8"?>
<table xmlns="http://schemas.openxmlformats.org/spreadsheetml/2006/main" id="5" name="PEDIDOS" displayName="PEDIDOS" ref="B1:Q2029" totalsRowShown="0" headerRowDxfId="254" dataDxfId="253">
  <autoFilter ref="B1:Q2029">
    <filterColumn colId="1">
      <filters>
        <dateGroupItem year="2020" month="10" dateTimeGrouping="month"/>
      </filters>
    </filterColumn>
    <filterColumn colId="2">
      <filters>
        <filter val="LEANDRO"/>
      </filters>
    </filterColumn>
    <filterColumn colId="3">
      <filters>
        <filter val="FALE"/>
      </filters>
    </filterColumn>
    <filterColumn colId="7">
      <filters>
        <filter val="0"/>
      </filters>
    </filterColumn>
  </autoFilter>
  <sortState ref="B166:Q167">
    <sortCondition descending="1" ref="C1:C2029"/>
  </sortState>
  <tableColumns count="16">
    <tableColumn id="1" name="IdPedido" dataDxfId="252"/>
    <tableColumn id="2" name="Data do Pedido" dataDxfId="251"/>
    <tableColumn id="3" name="Vendedor" dataDxfId="250"/>
    <tableColumn id="4" name="Cliente" dataDxfId="249"/>
    <tableColumn id="5" name="Telefone" dataDxfId="248"/>
    <tableColumn id="6" name="Endereço de Entrega" dataDxfId="247"/>
    <tableColumn id="7" name="Bairro " dataDxfId="246"/>
    <tableColumn id="8" name="CEP" dataDxfId="245" dataCellStyle="Moeda"/>
    <tableColumn id="9" name="Obs/Referencia" dataDxfId="244" dataCellStyle="Moeda"/>
    <tableColumn id="10" name="Entregador" dataDxfId="243" dataCellStyle="Moeda"/>
    <tableColumn id="11" name="Produto " dataDxfId="242"/>
    <tableColumn id="12" name="Qtde Produto" dataDxfId="241"/>
    <tableColumn id="13" name="Valor Unitário" dataDxfId="240" dataCellStyle="Moeda"/>
    <tableColumn id="14" name="Total Item " dataDxfId="239" dataCellStyle="Moeda"/>
    <tableColumn id="16" name="Valor do item pago" dataDxfId="238" dataCellStyle="Moeda"/>
    <tableColumn id="15" name="Status do Item " dataDxfId="237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id="6" name="PEDIDOS_2" displayName="PEDIDOS_2" ref="A1:I82" tableType="queryTable" totalsRowShown="0">
  <autoFilter ref="A1:I82"/>
  <tableColumns count="9">
    <tableColumn id="1" uniqueName="1" name="Cliente" queryTableFieldId="1" dataDxfId="60"/>
    <tableColumn id="2" uniqueName="2" name="Telefone" queryTableFieldId="2"/>
    <tableColumn id="3" uniqueName="3" name="Endereço de Entrega" queryTableFieldId="3"/>
    <tableColumn id="4" uniqueName="4" name="Bairro " queryTableFieldId="4"/>
    <tableColumn id="5" uniqueName="5" name="Produto " queryTableFieldId="5" dataDxfId="59"/>
    <tableColumn id="6" uniqueName="6" name="Qtde Produto" queryTableFieldId="6"/>
    <tableColumn id="7" uniqueName="7" name="Status do Item " queryTableFieldId="7" dataDxfId="58"/>
    <tableColumn id="8" uniqueName="8" name="Vendedor" queryTableFieldId="8" dataDxfId="57"/>
    <tableColumn id="9" uniqueName="9" name="Contagem" queryTableFieldId="9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id="1" name="Tabela1" displayName="Tabela1" ref="A2:H30" totalsRowShown="0" headerRowDxfId="56">
  <autoFilter ref="A2:H30"/>
  <sortState ref="A3:H29">
    <sortCondition ref="A2:A29"/>
  </sortState>
  <tableColumns count="8">
    <tableColumn id="1" name="Vendedor - Colaborador" dataDxfId="55"/>
    <tableColumn id="2" name="Apelido/Referência"/>
    <tableColumn id="3" name="Telefone "/>
    <tableColumn id="4" name="Outro Contato"/>
    <tableColumn id="5" name="Endereço"/>
    <tableColumn id="6" name="Obs/Ref."/>
    <tableColumn id="7" name="Bairro"/>
    <tableColumn id="8" name="CEP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id="2" name="PRODUTOS" displayName="PRODUTOS" ref="B1:D7" totalsRowShown="0" headerRowBorderDxfId="54" tableBorderDxfId="53" totalsRowBorderDxfId="52">
  <autoFilter ref="B1:D7"/>
  <tableColumns count="3">
    <tableColumn id="1" name="Produto " dataDxfId="51"/>
    <tableColumn id="2" name="Preço" dataDxfId="50" dataCellStyle="Moeda"/>
    <tableColumn id="3" name="Código " dataDxfId="49"/>
  </tableColumns>
  <tableStyleInfo name="TableStyleMedium7" showFirstColumn="0" showLastColumn="0" showRowStripes="1" showColumnStripes="0"/>
</table>
</file>

<file path=xl/tables/table6.xml><?xml version="1.0" encoding="utf-8"?>
<table xmlns="http://schemas.openxmlformats.org/spreadsheetml/2006/main" id="4" name="INGREDIENTES" displayName="INGREDIENTES" ref="G1:N5" totalsRowShown="0" headerRowDxfId="48">
  <autoFilter ref="G1:N5"/>
  <sortState ref="G2:N5">
    <sortCondition ref="N1:N5"/>
  </sortState>
  <tableColumns count="8">
    <tableColumn id="1" name="Produto" dataDxfId="47"/>
    <tableColumn id="2" name="Presunto qtde"/>
    <tableColumn id="3" name="Queijo Qtde"/>
    <tableColumn id="4" name="Calabresa Qtde"/>
    <tableColumn id="5" name="Lombinho Qtde"/>
    <tableColumn id="7" name="Farinha"/>
    <tableColumn id="6" name="Tomate"/>
    <tableColumn id="8" name="Cod"/>
  </tableColumns>
  <tableStyleInfo name="TableStyleMedium11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12" Type="http://schemas.openxmlformats.org/officeDocument/2006/relationships/ctrlProp" Target="../ctrlProps/ctrlProp7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11" Type="http://schemas.openxmlformats.org/officeDocument/2006/relationships/ctrlProp" Target="../ctrlProps/ctrlProp6.xml"/><Relationship Id="rId5" Type="http://schemas.openxmlformats.org/officeDocument/2006/relationships/image" Target="../media/image1.emf"/><Relationship Id="rId10" Type="http://schemas.openxmlformats.org/officeDocument/2006/relationships/ctrlProp" Target="../ctrlProps/ctrlProp5.xml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3"/>
  <dimension ref="A1:AK88"/>
  <sheetViews>
    <sheetView zoomScaleNormal="100" workbookViewId="0">
      <selection activeCell="E6" sqref="E6"/>
    </sheetView>
  </sheetViews>
  <sheetFormatPr defaultRowHeight="15" x14ac:dyDescent="0.25"/>
  <cols>
    <col min="1" max="1" width="20" bestFit="1" customWidth="1"/>
    <col min="2" max="2" width="27.7109375" customWidth="1"/>
    <col min="3" max="4" width="11.7109375" customWidth="1"/>
    <col min="5" max="5" width="12.5703125" customWidth="1"/>
    <col min="6" max="6" width="17.42578125" customWidth="1"/>
    <col min="7" max="7" width="31.7109375" customWidth="1"/>
    <col min="8" max="8" width="12.42578125" customWidth="1"/>
    <col min="9" max="9" width="11" customWidth="1"/>
    <col min="10" max="10" width="16.28515625" bestFit="1" customWidth="1"/>
    <col min="11" max="11" width="18" bestFit="1" customWidth="1"/>
    <col min="12" max="12" width="19.42578125" bestFit="1" customWidth="1"/>
    <col min="13" max="13" width="12.7109375" customWidth="1"/>
    <col min="14" max="14" width="9.5703125" bestFit="1" customWidth="1"/>
    <col min="15" max="15" width="13.28515625" bestFit="1" customWidth="1"/>
    <col min="16" max="16" width="6.42578125" bestFit="1" customWidth="1"/>
    <col min="17" max="17" width="9.5703125" bestFit="1" customWidth="1"/>
    <col min="18" max="18" width="10.7109375" bestFit="1" customWidth="1"/>
    <col min="19" max="19" width="6.42578125" bestFit="1" customWidth="1"/>
  </cols>
  <sheetData>
    <row r="1" spans="1:13" ht="21" x14ac:dyDescent="0.35">
      <c r="A1" s="276" t="s">
        <v>242</v>
      </c>
      <c r="B1" s="276"/>
      <c r="C1" s="276"/>
      <c r="D1" s="276"/>
      <c r="E1" s="276"/>
      <c r="F1" s="276"/>
      <c r="G1" s="276"/>
      <c r="H1" s="276"/>
      <c r="I1" s="276"/>
      <c r="J1" s="276"/>
      <c r="K1" s="276"/>
      <c r="L1" s="276"/>
      <c r="M1" s="106"/>
    </row>
    <row r="2" spans="1:13" ht="6" customHeight="1" x14ac:dyDescent="0.25">
      <c r="A2" s="106"/>
      <c r="B2" s="149">
        <v>1673</v>
      </c>
      <c r="C2" s="106"/>
      <c r="D2" s="106"/>
      <c r="E2" s="106"/>
      <c r="F2" s="106"/>
      <c r="G2" s="106"/>
      <c r="H2" s="106"/>
      <c r="I2" s="106"/>
      <c r="J2" s="106"/>
      <c r="K2" s="106"/>
      <c r="L2" s="106"/>
      <c r="M2" s="106"/>
    </row>
    <row r="3" spans="1:13" x14ac:dyDescent="0.25">
      <c r="A3" s="107" t="s">
        <v>408</v>
      </c>
      <c r="B3" s="148">
        <f>B2+1</f>
        <v>1674</v>
      </c>
      <c r="C3" s="106"/>
      <c r="D3" s="106"/>
      <c r="E3" s="106"/>
      <c r="F3" s="106"/>
      <c r="G3" s="106"/>
      <c r="H3" s="106"/>
      <c r="I3" s="106"/>
      <c r="J3" s="106"/>
      <c r="K3" s="106"/>
      <c r="L3" s="106"/>
      <c r="M3" s="106"/>
    </row>
    <row r="4" spans="1:13" x14ac:dyDescent="0.25">
      <c r="A4" s="107" t="s">
        <v>243</v>
      </c>
      <c r="B4" s="151">
        <f ca="1">TODAY()</f>
        <v>44145</v>
      </c>
      <c r="C4" s="106"/>
      <c r="D4" s="106"/>
      <c r="E4" s="106"/>
      <c r="F4" s="106"/>
      <c r="G4" s="106"/>
      <c r="H4" s="106"/>
      <c r="I4" s="106"/>
      <c r="J4" s="106"/>
      <c r="K4" s="106"/>
      <c r="L4" s="106"/>
      <c r="M4" s="106"/>
    </row>
    <row r="5" spans="1:13" x14ac:dyDescent="0.25">
      <c r="A5" s="107"/>
      <c r="B5" s="107"/>
      <c r="C5" s="147" t="b">
        <v>0</v>
      </c>
      <c r="D5" s="147"/>
      <c r="E5" s="147"/>
      <c r="F5" s="147"/>
      <c r="G5" s="147"/>
      <c r="H5" s="106"/>
      <c r="I5" s="146"/>
      <c r="J5" s="146"/>
      <c r="K5" s="106"/>
      <c r="L5" s="106"/>
      <c r="M5" s="106"/>
    </row>
    <row r="6" spans="1:13" x14ac:dyDescent="0.25">
      <c r="A6" s="107" t="s">
        <v>384</v>
      </c>
      <c r="B6" t="s">
        <v>1679</v>
      </c>
      <c r="C6" s="137"/>
      <c r="D6" s="137"/>
      <c r="E6" s="137"/>
      <c r="F6" s="137"/>
      <c r="G6" s="137"/>
      <c r="H6" s="106"/>
      <c r="I6" s="106"/>
      <c r="J6" s="146"/>
      <c r="K6" s="106"/>
      <c r="L6" s="106"/>
      <c r="M6" s="106"/>
    </row>
    <row r="7" spans="1:13" x14ac:dyDescent="0.25">
      <c r="A7" s="107"/>
      <c r="B7" s="107"/>
      <c r="C7" s="107"/>
      <c r="D7" s="107"/>
      <c r="E7" s="107"/>
      <c r="F7" s="137"/>
      <c r="G7" s="157" t="s">
        <v>482</v>
      </c>
      <c r="H7" s="106"/>
      <c r="I7" s="106"/>
      <c r="J7" s="146"/>
      <c r="K7" s="106"/>
      <c r="L7" s="106"/>
      <c r="M7" s="106"/>
    </row>
    <row r="8" spans="1:13" ht="42.75" customHeight="1" x14ac:dyDescent="0.25">
      <c r="A8" s="107" t="s">
        <v>237</v>
      </c>
      <c r="B8" s="158"/>
      <c r="C8" s="146"/>
      <c r="D8" s="146"/>
      <c r="E8" s="146"/>
      <c r="F8" s="107" t="s">
        <v>232</v>
      </c>
      <c r="G8" s="253" t="e">
        <f>VLOOKUP(B8,CLI[],5,FALSE)</f>
        <v>#N/A</v>
      </c>
      <c r="H8" s="106"/>
      <c r="I8" s="105"/>
      <c r="J8" s="105"/>
      <c r="K8" s="106"/>
      <c r="L8" s="106"/>
      <c r="M8" s="106"/>
    </row>
    <row r="9" spans="1:13" x14ac:dyDescent="0.25">
      <c r="A9" s="107"/>
      <c r="B9" s="107"/>
      <c r="C9" s="146"/>
      <c r="D9" s="146"/>
      <c r="E9" s="146"/>
      <c r="F9" s="107" t="s">
        <v>385</v>
      </c>
      <c r="G9" s="238" t="e">
        <f>VLOOKUP(B8,CLI[],7,FALSE)</f>
        <v>#N/A</v>
      </c>
      <c r="H9" s="106"/>
      <c r="I9" s="105"/>
      <c r="J9" s="105"/>
      <c r="K9" s="106"/>
      <c r="L9" s="106"/>
      <c r="M9" s="106"/>
    </row>
    <row r="10" spans="1:13" x14ac:dyDescent="0.25">
      <c r="A10" s="107" t="s">
        <v>198</v>
      </c>
      <c r="B10" s="138" t="e">
        <f>VLOOKUP(B8,CLI[],3,FALSE)</f>
        <v>#N/A</v>
      </c>
      <c r="C10" s="146"/>
      <c r="D10" s="106"/>
      <c r="E10" s="106"/>
      <c r="F10" s="107" t="s">
        <v>386</v>
      </c>
      <c r="G10" s="238" t="e">
        <f>VLOOKUP(B8,CLI[],8,FALSE)</f>
        <v>#N/A</v>
      </c>
      <c r="H10" s="106"/>
      <c r="I10" s="106"/>
      <c r="J10" s="106"/>
      <c r="K10" s="106"/>
      <c r="L10" s="106"/>
      <c r="M10" s="106"/>
    </row>
    <row r="11" spans="1:13" ht="29.25" customHeight="1" x14ac:dyDescent="0.35">
      <c r="A11" s="139" t="s">
        <v>331</v>
      </c>
      <c r="B11" s="167"/>
      <c r="C11" s="106"/>
      <c r="D11" s="106"/>
      <c r="E11" s="106"/>
      <c r="F11" s="106"/>
      <c r="G11" s="106"/>
      <c r="H11" s="106"/>
      <c r="I11" s="159" t="s">
        <v>238</v>
      </c>
      <c r="J11" s="105"/>
      <c r="K11" s="106"/>
      <c r="L11" s="106"/>
      <c r="M11" s="106"/>
    </row>
    <row r="12" spans="1:13" x14ac:dyDescent="0.25">
      <c r="A12" s="139"/>
      <c r="B12" s="139"/>
      <c r="C12" s="106"/>
      <c r="D12" s="106"/>
      <c r="E12" s="106"/>
      <c r="F12" s="106"/>
      <c r="G12" s="106"/>
      <c r="H12" s="106"/>
      <c r="I12" s="105"/>
      <c r="J12" s="105"/>
      <c r="K12" s="106"/>
      <c r="L12" s="106"/>
      <c r="M12" s="106"/>
    </row>
    <row r="13" spans="1:13" ht="15" customHeight="1" x14ac:dyDescent="0.25">
      <c r="A13" s="107" t="s">
        <v>261</v>
      </c>
      <c r="B13" s="152"/>
      <c r="C13" s="106" t="s">
        <v>472</v>
      </c>
      <c r="D13" s="106"/>
      <c r="E13" s="106"/>
      <c r="F13" s="106"/>
      <c r="G13" s="106"/>
      <c r="H13" s="106"/>
      <c r="I13" s="106"/>
      <c r="J13" s="106"/>
      <c r="K13" s="106"/>
      <c r="L13" s="106"/>
      <c r="M13" s="106"/>
    </row>
    <row r="14" spans="1:13" x14ac:dyDescent="0.25">
      <c r="A14" s="162" t="s">
        <v>483</v>
      </c>
      <c r="B14" s="163" t="s">
        <v>1528</v>
      </c>
      <c r="C14" s="163" t="s">
        <v>486</v>
      </c>
      <c r="D14" s="163" t="s">
        <v>487</v>
      </c>
      <c r="E14" s="163" t="s">
        <v>484</v>
      </c>
      <c r="F14" s="106"/>
      <c r="G14" s="106"/>
      <c r="H14" s="106"/>
      <c r="I14" s="106"/>
      <c r="J14" s="146"/>
      <c r="K14" s="106"/>
      <c r="L14" s="106"/>
      <c r="M14" s="106"/>
    </row>
    <row r="15" spans="1:13" x14ac:dyDescent="0.25">
      <c r="A15" s="160" t="s">
        <v>0</v>
      </c>
      <c r="B15" s="165"/>
      <c r="C15" s="164">
        <f>VLOOKUP(A15,PRODUTOS[],2,FALSE)</f>
        <v>35</v>
      </c>
      <c r="D15" s="164">
        <f>+B15*C15</f>
        <v>0</v>
      </c>
      <c r="E15" s="168"/>
      <c r="F15" s="106"/>
      <c r="G15" s="106"/>
      <c r="H15" s="106"/>
      <c r="I15" s="106"/>
      <c r="J15" s="146"/>
      <c r="K15" s="106"/>
      <c r="L15" s="106"/>
      <c r="M15" s="106"/>
    </row>
    <row r="16" spans="1:13" x14ac:dyDescent="0.25">
      <c r="A16" s="161" t="s">
        <v>1</v>
      </c>
      <c r="B16" s="165"/>
      <c r="C16" s="164">
        <f>VLOOKUP(A16,PRODUTOS[],2,FALSE)</f>
        <v>35</v>
      </c>
      <c r="D16" s="164">
        <f>+B16*C16</f>
        <v>0</v>
      </c>
      <c r="E16" s="168"/>
      <c r="F16" s="106"/>
      <c r="G16" s="106"/>
      <c r="H16" s="106"/>
      <c r="I16" s="106"/>
      <c r="J16" s="146"/>
      <c r="K16" s="106"/>
      <c r="L16" s="106"/>
      <c r="M16" s="106"/>
    </row>
    <row r="17" spans="1:18" x14ac:dyDescent="0.25">
      <c r="A17" s="160" t="s">
        <v>219</v>
      </c>
      <c r="B17" s="165"/>
      <c r="C17" s="164">
        <f>VLOOKUP(A17,PRODUTOS[],2,FALSE)</f>
        <v>35</v>
      </c>
      <c r="D17" s="164">
        <f>+B17*C17</f>
        <v>0</v>
      </c>
      <c r="E17" s="168"/>
      <c r="F17" s="106"/>
      <c r="G17" s="106"/>
      <c r="H17" s="106"/>
      <c r="I17" s="106"/>
      <c r="J17" s="146"/>
      <c r="K17" s="106"/>
      <c r="L17" s="106"/>
      <c r="M17" s="106"/>
    </row>
    <row r="18" spans="1:18" x14ac:dyDescent="0.25">
      <c r="A18" s="161" t="s">
        <v>3</v>
      </c>
      <c r="B18" s="165"/>
      <c r="C18" s="164">
        <f>VLOOKUP(A18,PRODUTOS[],2,FALSE)</f>
        <v>35</v>
      </c>
      <c r="D18" s="164">
        <f>+B18*C18</f>
        <v>0</v>
      </c>
      <c r="E18" s="168"/>
      <c r="F18" s="106"/>
      <c r="G18" s="106"/>
      <c r="H18" s="106"/>
      <c r="I18" s="106"/>
      <c r="J18" s="146"/>
      <c r="K18" s="106"/>
      <c r="L18" s="106"/>
      <c r="M18" s="106"/>
    </row>
    <row r="19" spans="1:18" x14ac:dyDescent="0.25">
      <c r="A19" s="160" t="s">
        <v>235</v>
      </c>
      <c r="B19" s="165"/>
      <c r="C19" s="164">
        <f>VLOOKUP(A19,PRODUTOS[],2,FALSE)</f>
        <v>35</v>
      </c>
      <c r="D19" s="164">
        <f>+B19*C19</f>
        <v>0</v>
      </c>
      <c r="E19" s="168"/>
      <c r="F19" s="106"/>
      <c r="G19" s="106"/>
      <c r="H19" s="106"/>
      <c r="I19" s="106"/>
      <c r="J19" s="106"/>
      <c r="K19" s="106"/>
      <c r="L19" s="106"/>
      <c r="M19" s="106"/>
    </row>
    <row r="20" spans="1:18" x14ac:dyDescent="0.25">
      <c r="A20" s="107" t="s">
        <v>241</v>
      </c>
      <c r="B20" s="166">
        <f>SUM(B15:B19)</f>
        <v>0</v>
      </c>
      <c r="C20" s="107"/>
      <c r="D20" s="108">
        <f>SUM(D15:D19)</f>
        <v>0</v>
      </c>
      <c r="E20" s="108">
        <f>SUM(E15:E19)</f>
        <v>0</v>
      </c>
      <c r="F20" s="106"/>
      <c r="G20" s="106"/>
      <c r="H20" s="106"/>
      <c r="I20" s="106"/>
      <c r="J20" s="106"/>
      <c r="K20" s="106"/>
      <c r="L20" s="106"/>
      <c r="M20" s="106"/>
    </row>
    <row r="21" spans="1:18" x14ac:dyDescent="0.25">
      <c r="A21" s="107"/>
      <c r="B21" s="107"/>
      <c r="C21" s="106"/>
      <c r="D21" s="106"/>
      <c r="E21" s="106"/>
      <c r="F21" s="106"/>
      <c r="G21" s="106"/>
      <c r="H21" s="106"/>
      <c r="I21" s="106"/>
      <c r="J21" s="106"/>
      <c r="K21" s="106"/>
      <c r="L21" s="106"/>
      <c r="M21" s="106"/>
    </row>
    <row r="22" spans="1:18" x14ac:dyDescent="0.25">
      <c r="A22" s="107" t="s">
        <v>485</v>
      </c>
      <c r="B22" s="166">
        <f>COUNTIF(B15:B19,"&gt; 0")</f>
        <v>0</v>
      </c>
      <c r="C22" s="106"/>
      <c r="D22" s="106"/>
      <c r="E22" s="106"/>
      <c r="F22" s="106"/>
      <c r="G22" s="106"/>
      <c r="H22" s="106"/>
      <c r="I22" s="106"/>
      <c r="J22" s="106"/>
      <c r="K22" s="106"/>
      <c r="L22" s="106"/>
      <c r="M22" s="106"/>
    </row>
    <row r="23" spans="1:18" x14ac:dyDescent="0.25">
      <c r="A23" s="106"/>
      <c r="B23" s="106"/>
      <c r="C23" s="106"/>
      <c r="D23" s="106"/>
      <c r="E23" s="106"/>
      <c r="F23" s="106"/>
      <c r="G23" s="106"/>
      <c r="H23" s="106"/>
      <c r="I23" s="106"/>
      <c r="J23" s="106"/>
      <c r="K23" s="106"/>
      <c r="L23" s="106"/>
      <c r="M23" s="106"/>
    </row>
    <row r="24" spans="1:18" x14ac:dyDescent="0.25">
      <c r="A24" s="106"/>
      <c r="B24" s="106"/>
      <c r="C24" s="106"/>
      <c r="D24" s="106"/>
      <c r="E24" s="106"/>
      <c r="F24" s="106"/>
      <c r="G24" s="106"/>
      <c r="H24" s="106"/>
      <c r="I24" s="106"/>
      <c r="J24" s="106"/>
      <c r="K24" s="106"/>
      <c r="L24" s="106"/>
      <c r="M24" s="106"/>
    </row>
    <row r="25" spans="1:18" x14ac:dyDescent="0.25">
      <c r="A25" s="106"/>
      <c r="B25" s="106"/>
      <c r="C25" s="106"/>
      <c r="D25" s="106"/>
      <c r="E25" s="106"/>
      <c r="F25" s="106"/>
      <c r="G25" s="106"/>
      <c r="H25" s="106"/>
      <c r="I25" s="106"/>
      <c r="J25" s="106"/>
      <c r="K25" s="106"/>
      <c r="L25" s="106"/>
      <c r="M25" s="106"/>
    </row>
    <row r="26" spans="1:18" x14ac:dyDescent="0.25">
      <c r="A26" s="106"/>
      <c r="B26" s="106"/>
      <c r="C26" s="106"/>
      <c r="D26" s="106"/>
      <c r="E26" s="106"/>
      <c r="F26" s="106"/>
      <c r="G26" s="106"/>
      <c r="H26" s="106"/>
      <c r="I26" s="106"/>
      <c r="J26" s="106"/>
      <c r="K26" s="106"/>
      <c r="L26" s="106"/>
      <c r="M26" s="106"/>
    </row>
    <row r="27" spans="1:18" ht="23.25" customHeight="1" x14ac:dyDescent="0.25">
      <c r="B27" s="171"/>
      <c r="C27" s="172"/>
      <c r="D27" s="172"/>
      <c r="E27" s="171"/>
      <c r="F27" s="171"/>
      <c r="G27" s="171"/>
      <c r="H27" s="171"/>
      <c r="I27" s="171"/>
      <c r="J27" s="171"/>
      <c r="K27" s="171"/>
      <c r="L27" s="171"/>
      <c r="M27" s="171"/>
      <c r="N27" s="173"/>
      <c r="O27" s="170"/>
      <c r="P27" s="170"/>
      <c r="Q27" s="169"/>
      <c r="R27" s="170"/>
    </row>
    <row r="28" spans="1:18" x14ac:dyDescent="0.25">
      <c r="A28" s="101"/>
      <c r="B28" s="102"/>
      <c r="C28" s="153"/>
      <c r="D28" s="153"/>
      <c r="E28" s="153"/>
      <c r="F28" s="153"/>
      <c r="G28" s="153"/>
      <c r="H28" s="104"/>
      <c r="I28" s="101"/>
      <c r="J28" s="101"/>
    </row>
    <row r="29" spans="1:18" x14ac:dyDescent="0.25">
      <c r="A29" s="101"/>
      <c r="B29" s="102"/>
      <c r="C29" s="153"/>
      <c r="D29" s="153"/>
      <c r="E29" s="153"/>
      <c r="F29" s="153"/>
      <c r="G29" s="153"/>
      <c r="H29" s="103"/>
      <c r="I29" s="101"/>
      <c r="J29" s="101"/>
    </row>
    <row r="30" spans="1:18" x14ac:dyDescent="0.25">
      <c r="A30" s="101"/>
      <c r="B30" s="102"/>
      <c r="C30" s="153"/>
      <c r="D30" s="153"/>
      <c r="E30" s="153"/>
      <c r="F30" s="153"/>
      <c r="G30" s="153"/>
      <c r="H30" s="104"/>
      <c r="I30" s="101"/>
      <c r="J30" s="101"/>
    </row>
    <row r="31" spans="1:18" x14ac:dyDescent="0.25">
      <c r="A31" s="101"/>
      <c r="B31" s="102"/>
      <c r="C31" s="103"/>
      <c r="D31" s="103"/>
      <c r="E31" s="103"/>
      <c r="F31" s="103"/>
      <c r="G31" s="103"/>
      <c r="H31" s="104"/>
      <c r="I31" s="101"/>
      <c r="J31" s="101"/>
    </row>
    <row r="32" spans="1:18" x14ac:dyDescent="0.25">
      <c r="A32" s="101"/>
      <c r="B32" s="102"/>
      <c r="C32" s="103"/>
      <c r="D32" s="103"/>
      <c r="E32" s="103"/>
      <c r="F32" s="103"/>
      <c r="G32" s="103"/>
      <c r="H32" s="103"/>
      <c r="I32" s="101"/>
      <c r="J32" s="101"/>
    </row>
    <row r="33" spans="1:37" x14ac:dyDescent="0.25">
      <c r="A33" s="101"/>
      <c r="B33" s="102"/>
      <c r="C33" s="103"/>
      <c r="D33" s="103"/>
      <c r="E33" s="103"/>
      <c r="F33" s="103"/>
      <c r="G33" s="103"/>
      <c r="H33" s="104"/>
      <c r="I33" s="101"/>
      <c r="J33" s="101"/>
    </row>
    <row r="34" spans="1:37" x14ac:dyDescent="0.25">
      <c r="A34" s="101"/>
      <c r="B34" s="102"/>
      <c r="C34" s="103"/>
      <c r="D34" s="103"/>
      <c r="E34" s="103"/>
      <c r="F34" s="103"/>
      <c r="G34" s="103"/>
      <c r="H34" s="104"/>
      <c r="I34" s="101"/>
      <c r="J34" s="101"/>
    </row>
    <row r="35" spans="1:37" x14ac:dyDescent="0.25">
      <c r="A35" s="101"/>
      <c r="B35" s="102"/>
      <c r="C35" s="103"/>
      <c r="D35" s="103"/>
      <c r="E35" s="103"/>
      <c r="F35" s="103"/>
      <c r="G35" s="103"/>
      <c r="H35" s="104"/>
      <c r="I35" s="101"/>
      <c r="J35" s="101"/>
    </row>
    <row r="36" spans="1:37" x14ac:dyDescent="0.25">
      <c r="A36" s="101"/>
      <c r="B36" s="102"/>
      <c r="C36" s="103"/>
      <c r="D36" s="103"/>
      <c r="E36" s="103"/>
      <c r="F36" s="103"/>
      <c r="G36" s="103"/>
      <c r="H36" s="104"/>
      <c r="I36" s="101"/>
      <c r="J36" s="101"/>
    </row>
    <row r="37" spans="1:37" x14ac:dyDescent="0.25">
      <c r="A37" s="101"/>
      <c r="B37" s="102"/>
      <c r="C37" s="103"/>
      <c r="D37" s="103"/>
      <c r="E37" s="103"/>
      <c r="F37" s="103"/>
      <c r="G37" s="103"/>
      <c r="H37" s="104"/>
      <c r="I37" s="101"/>
      <c r="J37" s="101"/>
    </row>
    <row r="38" spans="1:37" x14ac:dyDescent="0.25">
      <c r="A38" s="101"/>
      <c r="B38" s="102"/>
      <c r="C38" s="103"/>
      <c r="D38" s="103"/>
      <c r="E38" s="103"/>
      <c r="F38" s="103"/>
      <c r="G38" s="103"/>
      <c r="H38" s="104"/>
      <c r="I38" s="101"/>
      <c r="J38" s="101"/>
      <c r="K38" s="102"/>
      <c r="L38" s="104"/>
      <c r="M38" s="101"/>
      <c r="N38" s="102"/>
      <c r="O38" s="104"/>
      <c r="P38" s="101"/>
      <c r="Q38" s="102"/>
      <c r="R38" s="104"/>
      <c r="S38" s="101"/>
      <c r="T38" s="102"/>
      <c r="U38" s="104"/>
      <c r="V38" s="101"/>
      <c r="W38" s="102"/>
      <c r="X38" s="104"/>
      <c r="Y38" s="101"/>
      <c r="Z38" s="102"/>
      <c r="AA38" s="104"/>
      <c r="AB38" s="101"/>
      <c r="AC38" s="102"/>
      <c r="AD38" s="104"/>
      <c r="AE38" s="101"/>
      <c r="AF38" s="102"/>
      <c r="AG38" s="104"/>
      <c r="AH38" s="101"/>
      <c r="AI38" s="102"/>
      <c r="AJ38" s="104"/>
      <c r="AK38" s="101"/>
    </row>
    <row r="39" spans="1:37" x14ac:dyDescent="0.25">
      <c r="A39" s="101"/>
      <c r="B39" s="102"/>
      <c r="C39" s="103"/>
      <c r="D39" s="103"/>
      <c r="E39" s="103"/>
      <c r="F39" s="103"/>
      <c r="G39" s="103"/>
      <c r="H39" s="104"/>
      <c r="I39" s="101"/>
      <c r="J39" s="101"/>
    </row>
    <row r="40" spans="1:37" x14ac:dyDescent="0.25">
      <c r="A40" s="101"/>
      <c r="B40" s="102"/>
      <c r="C40" s="103"/>
      <c r="D40" s="103"/>
      <c r="E40" s="103"/>
      <c r="F40" s="103"/>
      <c r="G40" s="103"/>
      <c r="H40" s="104"/>
      <c r="I40" s="101"/>
      <c r="J40" s="101"/>
    </row>
    <row r="41" spans="1:37" x14ac:dyDescent="0.25">
      <c r="A41" s="101"/>
      <c r="B41" s="102"/>
      <c r="C41" s="103"/>
      <c r="D41" s="103"/>
      <c r="E41" s="103"/>
      <c r="F41" s="103"/>
      <c r="G41" s="103"/>
      <c r="H41" s="104"/>
      <c r="I41" s="101"/>
      <c r="J41" s="101"/>
    </row>
    <row r="42" spans="1:37" x14ac:dyDescent="0.25">
      <c r="A42" s="101"/>
      <c r="B42" s="102"/>
      <c r="C42" s="103"/>
      <c r="D42" s="103"/>
      <c r="E42" s="103"/>
      <c r="F42" s="103"/>
      <c r="G42" s="103"/>
      <c r="H42" s="104"/>
      <c r="I42" s="101"/>
      <c r="J42" s="101"/>
    </row>
    <row r="43" spans="1:37" x14ac:dyDescent="0.25">
      <c r="A43" s="101"/>
      <c r="B43" s="102"/>
      <c r="C43" s="103"/>
      <c r="D43" s="103"/>
      <c r="E43" s="103"/>
      <c r="F43" s="103"/>
      <c r="G43" s="103"/>
      <c r="H43" s="104"/>
      <c r="I43" s="101"/>
      <c r="J43" s="101"/>
    </row>
    <row r="44" spans="1:37" x14ac:dyDescent="0.25">
      <c r="A44" s="101"/>
      <c r="B44" s="102"/>
      <c r="C44" s="103"/>
      <c r="D44" s="103"/>
      <c r="E44" s="103"/>
      <c r="F44" s="103"/>
      <c r="G44" s="103"/>
      <c r="H44" s="104"/>
      <c r="I44" s="101"/>
      <c r="J44" s="101"/>
    </row>
    <row r="45" spans="1:37" x14ac:dyDescent="0.25">
      <c r="A45" s="101"/>
      <c r="B45" s="102"/>
      <c r="C45" s="103"/>
      <c r="D45" s="103"/>
      <c r="E45" s="103"/>
      <c r="F45" s="103"/>
      <c r="G45" s="103"/>
      <c r="H45" s="104"/>
      <c r="I45" s="101"/>
      <c r="J45" s="101"/>
    </row>
    <row r="46" spans="1:37" x14ac:dyDescent="0.25">
      <c r="A46" s="101"/>
      <c r="B46" s="102"/>
      <c r="C46" s="103"/>
      <c r="D46" s="103"/>
      <c r="E46" s="103"/>
      <c r="F46" s="103"/>
      <c r="G46" s="103"/>
      <c r="H46" s="104"/>
      <c r="I46" s="101"/>
      <c r="J46" s="101"/>
    </row>
    <row r="47" spans="1:37" x14ac:dyDescent="0.25">
      <c r="A47" s="101"/>
      <c r="B47" s="102"/>
      <c r="C47" s="104"/>
      <c r="D47" s="104"/>
      <c r="E47" s="104"/>
      <c r="F47" s="104"/>
      <c r="G47" s="104"/>
      <c r="H47" s="104"/>
      <c r="I47" s="101"/>
      <c r="J47" s="101"/>
    </row>
    <row r="48" spans="1:37" x14ac:dyDescent="0.25">
      <c r="A48" s="101"/>
      <c r="B48" s="102"/>
      <c r="C48" s="104"/>
      <c r="D48" s="104"/>
      <c r="E48" s="104"/>
      <c r="F48" s="104"/>
      <c r="G48" s="104"/>
      <c r="H48" s="104"/>
      <c r="I48" s="101"/>
      <c r="J48" s="101"/>
    </row>
    <row r="49" spans="1:10" x14ac:dyDescent="0.25">
      <c r="A49" s="101"/>
      <c r="B49" s="102"/>
      <c r="C49" s="104"/>
      <c r="D49" s="104"/>
      <c r="E49" s="104"/>
      <c r="F49" s="104"/>
      <c r="G49" s="104"/>
      <c r="H49" s="104"/>
      <c r="I49" s="101"/>
      <c r="J49" s="101"/>
    </row>
    <row r="50" spans="1:10" x14ac:dyDescent="0.25">
      <c r="A50" s="101"/>
      <c r="B50" s="102"/>
      <c r="C50" s="104"/>
      <c r="D50" s="104"/>
      <c r="E50" s="104"/>
      <c r="F50" s="104"/>
      <c r="G50" s="104"/>
      <c r="H50" s="104"/>
      <c r="I50" s="101"/>
      <c r="J50" s="101"/>
    </row>
    <row r="51" spans="1:10" x14ac:dyDescent="0.25">
      <c r="A51" s="101"/>
      <c r="B51" s="102"/>
      <c r="C51" s="104"/>
      <c r="D51" s="104"/>
      <c r="E51" s="104"/>
      <c r="F51" s="104"/>
      <c r="G51" s="104"/>
      <c r="H51" s="104"/>
      <c r="I51" s="101"/>
      <c r="J51" s="101"/>
    </row>
    <row r="52" spans="1:10" x14ac:dyDescent="0.25">
      <c r="A52" s="101"/>
      <c r="B52" s="102"/>
      <c r="C52" s="104"/>
      <c r="D52" s="104"/>
      <c r="E52" s="104"/>
      <c r="F52" s="104"/>
      <c r="G52" s="104"/>
      <c r="H52" s="104"/>
      <c r="I52" s="101"/>
      <c r="J52" s="101"/>
    </row>
    <row r="53" spans="1:10" x14ac:dyDescent="0.25">
      <c r="A53" s="101"/>
      <c r="B53" s="102"/>
      <c r="C53" s="104"/>
      <c r="D53" s="104"/>
      <c r="E53" s="104"/>
      <c r="F53" s="104"/>
      <c r="G53" s="104"/>
      <c r="H53" s="104"/>
      <c r="I53" s="101"/>
      <c r="J53" s="101"/>
    </row>
    <row r="54" spans="1:10" x14ac:dyDescent="0.25">
      <c r="A54" s="101"/>
      <c r="B54" s="102"/>
      <c r="C54" s="104"/>
      <c r="D54" s="104"/>
      <c r="E54" s="104"/>
      <c r="F54" s="104"/>
      <c r="G54" s="104"/>
      <c r="H54" s="104"/>
      <c r="I54" s="101"/>
      <c r="J54" s="101"/>
    </row>
    <row r="55" spans="1:10" x14ac:dyDescent="0.25">
      <c r="A55" s="101"/>
      <c r="B55" s="102"/>
      <c r="C55" s="104"/>
      <c r="D55" s="104"/>
      <c r="E55" s="104"/>
      <c r="F55" s="104"/>
      <c r="G55" s="104"/>
      <c r="H55" s="104"/>
      <c r="I55" s="101"/>
      <c r="J55" s="101"/>
    </row>
    <row r="56" spans="1:10" x14ac:dyDescent="0.25">
      <c r="A56" s="101"/>
      <c r="B56" s="102"/>
      <c r="C56" s="104"/>
      <c r="D56" s="104"/>
      <c r="E56" s="104"/>
      <c r="F56" s="104"/>
      <c r="G56" s="104"/>
      <c r="H56" s="104"/>
      <c r="I56" s="101"/>
      <c r="J56" s="101"/>
    </row>
    <row r="57" spans="1:10" x14ac:dyDescent="0.25">
      <c r="A57" s="101"/>
      <c r="B57" s="102"/>
      <c r="C57" s="104"/>
      <c r="D57" s="104"/>
      <c r="E57" s="104"/>
      <c r="F57" s="104"/>
      <c r="G57" s="104"/>
      <c r="H57" s="104"/>
      <c r="I57" s="101"/>
      <c r="J57" s="101"/>
    </row>
    <row r="58" spans="1:10" x14ac:dyDescent="0.25">
      <c r="A58" s="101"/>
      <c r="B58" s="102"/>
      <c r="C58" s="104"/>
      <c r="D58" s="104"/>
      <c r="E58" s="104"/>
      <c r="F58" s="104"/>
      <c r="G58" s="104"/>
      <c r="H58" s="104"/>
      <c r="I58" s="101"/>
      <c r="J58" s="101"/>
    </row>
    <row r="59" spans="1:10" x14ac:dyDescent="0.25">
      <c r="A59" s="101"/>
      <c r="B59" s="102"/>
      <c r="C59" s="104"/>
      <c r="D59" s="104"/>
      <c r="E59" s="104"/>
      <c r="F59" s="104"/>
      <c r="G59" s="104"/>
      <c r="H59" s="104"/>
      <c r="I59" s="101"/>
      <c r="J59" s="101"/>
    </row>
    <row r="60" spans="1:10" x14ac:dyDescent="0.25">
      <c r="A60" s="101"/>
      <c r="B60" s="102"/>
      <c r="C60" s="104"/>
      <c r="D60" s="104"/>
      <c r="E60" s="104"/>
      <c r="F60" s="104"/>
      <c r="G60" s="104"/>
      <c r="H60" s="104"/>
      <c r="I60" s="101"/>
      <c r="J60" s="101"/>
    </row>
    <row r="61" spans="1:10" x14ac:dyDescent="0.25">
      <c r="A61" s="101"/>
      <c r="B61" s="102"/>
      <c r="C61" s="104"/>
      <c r="D61" s="104"/>
      <c r="E61" s="104"/>
      <c r="F61" s="104"/>
      <c r="G61" s="104"/>
      <c r="H61" s="104"/>
      <c r="I61" s="101"/>
      <c r="J61" s="101"/>
    </row>
    <row r="62" spans="1:10" x14ac:dyDescent="0.25">
      <c r="A62" s="101"/>
      <c r="B62" s="102"/>
      <c r="C62" s="104"/>
      <c r="D62" s="104"/>
      <c r="E62" s="104"/>
      <c r="F62" s="104"/>
      <c r="G62" s="104"/>
      <c r="H62" s="104"/>
      <c r="I62" s="101"/>
      <c r="J62" s="101"/>
    </row>
    <row r="63" spans="1:10" x14ac:dyDescent="0.25">
      <c r="A63" s="101"/>
      <c r="B63" s="102"/>
      <c r="C63" s="104"/>
      <c r="D63" s="104"/>
      <c r="E63" s="104"/>
      <c r="F63" s="104"/>
      <c r="G63" s="104"/>
      <c r="H63" s="104"/>
      <c r="I63" s="101"/>
      <c r="J63" s="101"/>
    </row>
    <row r="64" spans="1:10" x14ac:dyDescent="0.25">
      <c r="A64" s="101"/>
      <c r="B64" s="102"/>
      <c r="C64" s="104"/>
      <c r="D64" s="104"/>
      <c r="E64" s="104"/>
      <c r="F64" s="104"/>
      <c r="G64" s="104"/>
      <c r="H64" s="104"/>
      <c r="I64" s="101"/>
      <c r="J64" s="101"/>
    </row>
    <row r="65" spans="1:10" x14ac:dyDescent="0.25">
      <c r="A65" s="101"/>
      <c r="B65" s="102"/>
      <c r="C65" s="104"/>
      <c r="D65" s="104"/>
      <c r="E65" s="104"/>
      <c r="F65" s="104"/>
      <c r="G65" s="104"/>
      <c r="H65" s="104"/>
      <c r="I65" s="101"/>
      <c r="J65" s="101"/>
    </row>
    <row r="66" spans="1:10" x14ac:dyDescent="0.25">
      <c r="A66" s="101"/>
      <c r="B66" s="102"/>
      <c r="C66" s="104"/>
      <c r="D66" s="104"/>
      <c r="E66" s="104"/>
      <c r="F66" s="104"/>
      <c r="G66" s="104"/>
      <c r="H66" s="104"/>
      <c r="I66" s="101"/>
      <c r="J66" s="101"/>
    </row>
    <row r="67" spans="1:10" x14ac:dyDescent="0.25">
      <c r="A67" s="101"/>
      <c r="B67" s="102"/>
      <c r="C67" s="104"/>
      <c r="D67" s="104"/>
      <c r="E67" s="104"/>
      <c r="F67" s="104"/>
      <c r="G67" s="104"/>
      <c r="H67" s="104"/>
      <c r="I67" s="101"/>
      <c r="J67" s="101"/>
    </row>
    <row r="68" spans="1:10" x14ac:dyDescent="0.25">
      <c r="A68" s="101"/>
      <c r="B68" s="102"/>
      <c r="C68" s="104"/>
      <c r="D68" s="104"/>
      <c r="E68" s="104"/>
      <c r="F68" s="104"/>
      <c r="G68" s="104"/>
      <c r="H68" s="104"/>
      <c r="I68" s="101"/>
      <c r="J68" s="101"/>
    </row>
    <row r="69" spans="1:10" x14ac:dyDescent="0.25">
      <c r="A69" s="101"/>
      <c r="B69" s="102"/>
      <c r="C69" s="104"/>
      <c r="D69" s="104"/>
      <c r="E69" s="104"/>
      <c r="F69" s="104"/>
      <c r="G69" s="104"/>
      <c r="H69" s="104"/>
      <c r="I69" s="101"/>
      <c r="J69" s="101"/>
    </row>
    <row r="70" spans="1:10" x14ac:dyDescent="0.25">
      <c r="A70" s="101"/>
      <c r="B70" s="102"/>
      <c r="C70" s="104"/>
      <c r="D70" s="104"/>
      <c r="E70" s="104"/>
      <c r="F70" s="104"/>
      <c r="G70" s="104"/>
      <c r="H70" s="104"/>
      <c r="I70" s="101"/>
      <c r="J70" s="101"/>
    </row>
    <row r="71" spans="1:10" x14ac:dyDescent="0.25">
      <c r="A71" s="101"/>
      <c r="B71" s="102"/>
      <c r="C71" s="104"/>
      <c r="D71" s="104"/>
      <c r="E71" s="104"/>
      <c r="F71" s="104"/>
      <c r="G71" s="104"/>
      <c r="H71" s="104"/>
      <c r="I71" s="101"/>
      <c r="J71" s="101"/>
    </row>
    <row r="72" spans="1:10" x14ac:dyDescent="0.25">
      <c r="A72" s="101"/>
      <c r="B72" s="102"/>
      <c r="C72" s="104"/>
      <c r="D72" s="104"/>
      <c r="E72" s="104"/>
      <c r="F72" s="104"/>
      <c r="G72" s="104"/>
      <c r="H72" s="104"/>
      <c r="I72" s="101"/>
      <c r="J72" s="101"/>
    </row>
    <row r="73" spans="1:10" x14ac:dyDescent="0.25">
      <c r="A73" s="101"/>
      <c r="B73" s="102"/>
      <c r="C73" s="104"/>
      <c r="D73" s="104"/>
      <c r="E73" s="104"/>
      <c r="F73" s="104"/>
      <c r="G73" s="104"/>
      <c r="H73" s="104"/>
      <c r="I73" s="101"/>
      <c r="J73" s="101"/>
    </row>
    <row r="74" spans="1:10" x14ac:dyDescent="0.25">
      <c r="A74" s="101"/>
      <c r="B74" s="102"/>
      <c r="C74" s="104"/>
      <c r="D74" s="104"/>
      <c r="E74" s="104"/>
      <c r="F74" s="104"/>
      <c r="G74" s="104"/>
      <c r="H74" s="104"/>
      <c r="I74" s="101"/>
      <c r="J74" s="101"/>
    </row>
    <row r="75" spans="1:10" x14ac:dyDescent="0.25">
      <c r="A75" s="101"/>
      <c r="B75" s="102"/>
      <c r="C75" s="104"/>
      <c r="D75" s="104"/>
      <c r="E75" s="104"/>
      <c r="F75" s="104"/>
      <c r="G75" s="104"/>
      <c r="H75" s="104"/>
      <c r="I75" s="101"/>
      <c r="J75" s="101"/>
    </row>
    <row r="76" spans="1:10" x14ac:dyDescent="0.25">
      <c r="A76" s="101"/>
      <c r="B76" s="102"/>
      <c r="C76" s="104"/>
      <c r="D76" s="104"/>
      <c r="E76" s="104"/>
      <c r="F76" s="104"/>
      <c r="G76" s="104"/>
      <c r="H76" s="104"/>
      <c r="I76" s="101"/>
      <c r="J76" s="101"/>
    </row>
    <row r="77" spans="1:10" x14ac:dyDescent="0.25">
      <c r="A77" s="101"/>
      <c r="B77" s="102"/>
      <c r="C77" s="104"/>
      <c r="D77" s="104"/>
      <c r="E77" s="104"/>
      <c r="F77" s="104"/>
      <c r="G77" s="104"/>
      <c r="H77" s="104"/>
      <c r="I77" s="101"/>
      <c r="J77" s="101"/>
    </row>
    <row r="78" spans="1:10" x14ac:dyDescent="0.25">
      <c r="A78" s="101"/>
      <c r="B78" s="102"/>
      <c r="C78" s="104"/>
      <c r="D78" s="104"/>
      <c r="E78" s="104"/>
      <c r="F78" s="104"/>
      <c r="G78" s="104"/>
      <c r="H78" s="104"/>
      <c r="I78" s="101"/>
      <c r="J78" s="101"/>
    </row>
    <row r="79" spans="1:10" x14ac:dyDescent="0.25">
      <c r="A79" s="101"/>
      <c r="B79" s="102"/>
      <c r="C79" s="104"/>
      <c r="D79" s="104"/>
      <c r="E79" s="104"/>
      <c r="F79" s="104"/>
      <c r="G79" s="104"/>
      <c r="H79" s="104"/>
      <c r="I79" s="101"/>
      <c r="J79" s="101"/>
    </row>
    <row r="80" spans="1:10" x14ac:dyDescent="0.25">
      <c r="A80" s="101"/>
      <c r="B80" s="102"/>
      <c r="C80" s="104"/>
      <c r="D80" s="104"/>
      <c r="E80" s="104"/>
      <c r="F80" s="104"/>
      <c r="G80" s="104"/>
      <c r="H80" s="104"/>
      <c r="I80" s="101"/>
      <c r="J80" s="101"/>
    </row>
    <row r="81" spans="1:10" x14ac:dyDescent="0.25">
      <c r="A81" s="101"/>
      <c r="B81" s="102"/>
      <c r="C81" s="104"/>
      <c r="D81" s="104"/>
      <c r="E81" s="104"/>
      <c r="F81" s="104"/>
      <c r="G81" s="104"/>
      <c r="H81" s="104"/>
      <c r="I81" s="101"/>
      <c r="J81" s="101"/>
    </row>
    <row r="82" spans="1:10" x14ac:dyDescent="0.25">
      <c r="A82" s="101"/>
      <c r="B82" s="102"/>
      <c r="C82" s="104"/>
      <c r="D82" s="104"/>
      <c r="E82" s="104"/>
      <c r="F82" s="104"/>
      <c r="G82" s="104"/>
      <c r="H82" s="104"/>
      <c r="I82" s="101"/>
      <c r="J82" s="101"/>
    </row>
    <row r="83" spans="1:10" x14ac:dyDescent="0.25">
      <c r="A83" s="101"/>
      <c r="B83" s="101"/>
      <c r="C83" s="101"/>
      <c r="D83" s="101"/>
      <c r="E83" s="101"/>
      <c r="F83" s="101"/>
      <c r="G83" s="101"/>
      <c r="H83" s="101"/>
      <c r="I83" s="101"/>
      <c r="J83" s="101"/>
    </row>
    <row r="84" spans="1:10" x14ac:dyDescent="0.25">
      <c r="A84" s="101"/>
      <c r="B84" s="101"/>
      <c r="C84" s="101"/>
      <c r="D84" s="101"/>
      <c r="E84" s="101"/>
      <c r="F84" s="101"/>
      <c r="G84" s="101"/>
      <c r="H84" s="101"/>
      <c r="I84" s="101"/>
      <c r="J84" s="101"/>
    </row>
    <row r="85" spans="1:10" x14ac:dyDescent="0.25">
      <c r="A85" s="101"/>
      <c r="B85" s="101"/>
      <c r="C85" s="101"/>
      <c r="D85" s="101"/>
      <c r="E85" s="101"/>
      <c r="F85" s="101"/>
      <c r="G85" s="101"/>
      <c r="H85" s="101"/>
      <c r="I85" s="101"/>
      <c r="J85" s="101"/>
    </row>
    <row r="86" spans="1:10" x14ac:dyDescent="0.25">
      <c r="A86" s="101"/>
      <c r="B86" s="101"/>
      <c r="C86" s="101"/>
      <c r="D86" s="101"/>
      <c r="E86" s="101"/>
      <c r="F86" s="101"/>
      <c r="G86" s="101"/>
      <c r="H86" s="101"/>
      <c r="I86" s="101"/>
      <c r="J86" s="101"/>
    </row>
    <row r="87" spans="1:10" x14ac:dyDescent="0.25">
      <c r="A87" s="101"/>
      <c r="B87" s="101"/>
      <c r="C87" s="101"/>
      <c r="D87" s="101"/>
      <c r="E87" s="101"/>
      <c r="F87" s="101"/>
      <c r="G87" s="101"/>
      <c r="H87" s="101"/>
      <c r="I87" s="101"/>
      <c r="J87" s="101"/>
    </row>
    <row r="88" spans="1:10" x14ac:dyDescent="0.25">
      <c r="A88" s="101"/>
      <c r="B88" s="101"/>
      <c r="C88" s="101"/>
      <c r="D88" s="101"/>
      <c r="E88" s="101"/>
      <c r="F88" s="101"/>
      <c r="G88" s="101"/>
      <c r="H88" s="101"/>
      <c r="I88" s="101"/>
      <c r="J88" s="101"/>
    </row>
  </sheetData>
  <mergeCells count="1">
    <mergeCell ref="A1:L1"/>
  </mergeCells>
  <dataValidations count="2">
    <dataValidation type="list" allowBlank="1" showInputMessage="1" showErrorMessage="1" sqref="G13">
      <formula1>$L$10:$L$11</formula1>
    </dataValidation>
    <dataValidation type="list" allowBlank="1" showDropDown="1" showInputMessage="1" showErrorMessage="1" sqref="J28:J32 K27">
      <formula1>"ABERTO, PAGO PARCIAL, PAGO"</formula1>
    </dataValidation>
  </dataValidations>
  <hyperlinks>
    <hyperlink ref="I11" location="PRINCIPAL!A1" display="MENU PRINCIPAL"/>
  </hyperlink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316" r:id="rId4" name="TempCombo">
          <controlPr defaultSize="0" autoLine="0" autoPict="0" r:id="rId5">
            <anchor moveWithCells="1">
              <from>
                <xdr:col>0</xdr:col>
                <xdr:colOff>123825</xdr:colOff>
                <xdr:row>0</xdr:row>
                <xdr:rowOff>123825</xdr:rowOff>
              </from>
              <to>
                <xdr:col>0</xdr:col>
                <xdr:colOff>123825</xdr:colOff>
                <xdr:row>4</xdr:row>
                <xdr:rowOff>9525</xdr:rowOff>
              </to>
            </anchor>
          </controlPr>
        </control>
      </mc:Choice>
      <mc:Fallback>
        <control shapeId="10316" r:id="rId4" name="TempCombo"/>
      </mc:Fallback>
    </mc:AlternateContent>
    <mc:AlternateContent xmlns:mc="http://schemas.openxmlformats.org/markup-compatibility/2006">
      <mc:Choice Requires="x14">
        <control shapeId="10241" r:id="rId6" name="Button 1">
          <controlPr defaultSize="0" print="0" autoFill="0" autoPict="0" macro="[0]!insere_pedido">
            <anchor moveWithCells="1" sizeWithCells="1">
              <from>
                <xdr:col>5</xdr:col>
                <xdr:colOff>228600</xdr:colOff>
                <xdr:row>13</xdr:row>
                <xdr:rowOff>161925</xdr:rowOff>
              </from>
              <to>
                <xdr:col>6</xdr:col>
                <xdr:colOff>219075</xdr:colOff>
                <xdr:row>16</xdr:row>
                <xdr:rowOff>66675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42" r:id="rId7" name="Button 2">
          <controlPr defaultSize="0" print="0" autoFill="0" autoPict="0" macro="[0]!Limpa_campos">
            <anchor moveWithCells="1" sizeWithCells="1">
              <from>
                <xdr:col>5</xdr:col>
                <xdr:colOff>85725</xdr:colOff>
                <xdr:row>17</xdr:row>
                <xdr:rowOff>76200</xdr:rowOff>
              </from>
              <to>
                <xdr:col>6</xdr:col>
                <xdr:colOff>428625</xdr:colOff>
                <xdr:row>19</xdr:row>
                <xdr:rowOff>152400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58" r:id="rId8" name="Check Box 18">
          <controlPr defaultSize="0" autoFill="0" autoLine="0" autoPict="0" macro="[0]!atual" altText="Outro Endereço">
            <anchor moveWithCells="1">
              <from>
                <xdr:col>2</xdr:col>
                <xdr:colOff>47625</xdr:colOff>
                <xdr:row>3</xdr:row>
                <xdr:rowOff>0</xdr:rowOff>
              </from>
              <to>
                <xdr:col>3</xdr:col>
                <xdr:colOff>314325</xdr:colOff>
                <xdr:row>4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5" r:id="rId9" name="Check Box 35">
          <controlPr defaultSize="0" autoFill="0" autoLine="0" autoPict="0" macro="[0]!Vendedor_Entregador" altText="Outro Endereço">
            <anchor moveWithCells="1">
              <from>
                <xdr:col>2</xdr:col>
                <xdr:colOff>47625</xdr:colOff>
                <xdr:row>12</xdr:row>
                <xdr:rowOff>0</xdr:rowOff>
              </from>
              <to>
                <xdr:col>3</xdr:col>
                <xdr:colOff>314325</xdr:colOff>
                <xdr:row>13</xdr:row>
                <xdr:rowOff>9525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78" r:id="rId10" name="Button 38">
          <controlPr defaultSize="0" print="0" autoFill="0" autoPict="0" macro="[0]!procCadastrar_Cliente">
            <anchor moveWithCells="1" sizeWithCells="1">
              <from>
                <xdr:col>7</xdr:col>
                <xdr:colOff>733425</xdr:colOff>
                <xdr:row>5</xdr:row>
                <xdr:rowOff>114300</xdr:rowOff>
              </from>
              <to>
                <xdr:col>9</xdr:col>
                <xdr:colOff>809625</xdr:colOff>
                <xdr:row>8</xdr:row>
                <xdr:rowOff>114300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290" r:id="rId11" name="Button 50">
          <controlPr defaultSize="0" print="0" autoFill="0" autoPict="0" macro="[0]!limpa_Endereco">
            <anchor moveWithCells="1" sizeWithCells="1">
              <from>
                <xdr:col>6</xdr:col>
                <xdr:colOff>533400</xdr:colOff>
                <xdr:row>10</xdr:row>
                <xdr:rowOff>28575</xdr:rowOff>
              </from>
              <to>
                <xdr:col>6</xdr:col>
                <xdr:colOff>1609725</xdr:colOff>
                <xdr:row>10</xdr:row>
                <xdr:rowOff>333375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21" r:id="rId12" name="Button 81">
          <controlPr defaultSize="0" print="0" autoFill="0" autoPict="0" macro="[0]!entrega_pelo_CEDEL">
            <anchor moveWithCells="1" sizeWithCells="1">
              <from>
                <xdr:col>2</xdr:col>
                <xdr:colOff>742950</xdr:colOff>
                <xdr:row>11</xdr:row>
                <xdr:rowOff>180975</xdr:rowOff>
              </from>
              <to>
                <xdr:col>3</xdr:col>
                <xdr:colOff>657225</xdr:colOff>
                <xdr:row>12</xdr:row>
                <xdr:rowOff>180975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Vendedores!$A$2:$A$53</xm:f>
          </x14:formula1>
          <xm:sqref>B6</xm:sqref>
        </x14:dataValidation>
        <x14:dataValidation type="list" allowBlank="1" showInputMessage="1" showErrorMessage="1">
          <x14:formula1>
            <xm:f>Clientes!$B$2:$B$553</xm:f>
          </x14:formula1>
          <xm:sqref>B8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K338"/>
  <sheetViews>
    <sheetView tabSelected="1" workbookViewId="0">
      <pane xSplit="2" ySplit="1" topLeftCell="C261" activePane="bottomRight" state="frozen"/>
      <selection pane="topRight" activeCell="C1" sqref="C1"/>
      <selection pane="bottomLeft" activeCell="A2" sqref="A2"/>
      <selection pane="bottomRight" activeCell="F274" sqref="F274"/>
    </sheetView>
  </sheetViews>
  <sheetFormatPr defaultRowHeight="15" x14ac:dyDescent="0.25"/>
  <cols>
    <col min="1" max="1" width="14.85546875" customWidth="1"/>
    <col min="2" max="2" width="28.85546875" bestFit="1" customWidth="1"/>
    <col min="3" max="3" width="22.5703125" customWidth="1"/>
    <col min="4" max="4" width="15.42578125" style="125" customWidth="1"/>
    <col min="5" max="5" width="15.7109375" customWidth="1"/>
    <col min="6" max="6" width="51.7109375" bestFit="1" customWidth="1"/>
    <col min="7" max="7" width="13.42578125" bestFit="1" customWidth="1"/>
    <col min="8" max="8" width="17.7109375" customWidth="1"/>
    <col min="9" max="9" width="10.7109375" customWidth="1"/>
    <col min="10" max="10" width="20.140625" customWidth="1"/>
    <col min="11" max="11" width="10.7109375" style="252" bestFit="1" customWidth="1"/>
  </cols>
  <sheetData>
    <row r="1" spans="1:11" ht="34.5" customHeight="1" x14ac:dyDescent="0.25">
      <c r="A1" s="100" t="s">
        <v>238</v>
      </c>
      <c r="B1" s="97" t="s">
        <v>1296</v>
      </c>
      <c r="C1" s="134" t="s">
        <v>1302</v>
      </c>
      <c r="D1" s="97" t="s">
        <v>1297</v>
      </c>
      <c r="E1" s="97" t="s">
        <v>1356</v>
      </c>
      <c r="F1" s="97" t="s">
        <v>1452</v>
      </c>
      <c r="G1" s="97" t="s">
        <v>1319</v>
      </c>
      <c r="H1" s="97" t="s">
        <v>8</v>
      </c>
      <c r="I1" s="97" t="s">
        <v>233</v>
      </c>
      <c r="J1" s="97" t="s">
        <v>1303</v>
      </c>
      <c r="K1" s="251" t="s">
        <v>1605</v>
      </c>
    </row>
    <row r="2" spans="1:11" x14ac:dyDescent="0.25">
      <c r="B2" t="s">
        <v>736</v>
      </c>
      <c r="D2" s="125" t="s">
        <v>737</v>
      </c>
      <c r="F2" t="s">
        <v>1956</v>
      </c>
      <c r="H2" t="s">
        <v>651</v>
      </c>
      <c r="I2" t="s">
        <v>739</v>
      </c>
      <c r="J2" t="s">
        <v>1266</v>
      </c>
    </row>
    <row r="3" spans="1:11" x14ac:dyDescent="0.25">
      <c r="B3" t="s">
        <v>1642</v>
      </c>
      <c r="F3" t="s">
        <v>1643</v>
      </c>
      <c r="H3" t="s">
        <v>1202</v>
      </c>
      <c r="I3" t="s">
        <v>1651</v>
      </c>
      <c r="J3" t="s">
        <v>42</v>
      </c>
      <c r="K3" s="252">
        <v>43867</v>
      </c>
    </row>
    <row r="4" spans="1:11" x14ac:dyDescent="0.25">
      <c r="B4" t="s">
        <v>1473</v>
      </c>
      <c r="D4" s="125" t="s">
        <v>1478</v>
      </c>
      <c r="F4" t="s">
        <v>2005</v>
      </c>
      <c r="H4" t="s">
        <v>84</v>
      </c>
      <c r="I4" t="s">
        <v>1483</v>
      </c>
      <c r="J4" t="s">
        <v>42</v>
      </c>
    </row>
    <row r="5" spans="1:11" x14ac:dyDescent="0.25">
      <c r="B5" t="s">
        <v>1357</v>
      </c>
      <c r="D5" s="125" t="s">
        <v>1032</v>
      </c>
      <c r="J5" t="s">
        <v>40</v>
      </c>
    </row>
    <row r="6" spans="1:11" x14ac:dyDescent="0.25">
      <c r="B6" t="s">
        <v>1472</v>
      </c>
      <c r="D6" s="125" t="s">
        <v>1476</v>
      </c>
      <c r="F6" t="s">
        <v>1482</v>
      </c>
      <c r="H6" t="s">
        <v>461</v>
      </c>
      <c r="I6" t="s">
        <v>1485</v>
      </c>
      <c r="J6" t="s">
        <v>42</v>
      </c>
    </row>
    <row r="7" spans="1:11" x14ac:dyDescent="0.25">
      <c r="B7" t="s">
        <v>1704</v>
      </c>
      <c r="D7" s="125" t="s">
        <v>1897</v>
      </c>
      <c r="F7" t="s">
        <v>1898</v>
      </c>
      <c r="H7" t="s">
        <v>441</v>
      </c>
      <c r="I7" t="s">
        <v>874</v>
      </c>
      <c r="J7" t="s">
        <v>21</v>
      </c>
      <c r="K7" s="252">
        <v>43894</v>
      </c>
    </row>
    <row r="8" spans="1:11" x14ac:dyDescent="0.25">
      <c r="B8" t="s">
        <v>1735</v>
      </c>
      <c r="J8" t="s">
        <v>1134</v>
      </c>
      <c r="K8" s="252">
        <v>43985</v>
      </c>
    </row>
    <row r="9" spans="1:11" x14ac:dyDescent="0.25">
      <c r="B9" t="s">
        <v>1471</v>
      </c>
      <c r="D9" s="125" t="s">
        <v>1477</v>
      </c>
      <c r="F9" t="s">
        <v>1481</v>
      </c>
      <c r="H9" t="s">
        <v>651</v>
      </c>
      <c r="I9" t="s">
        <v>1486</v>
      </c>
      <c r="J9" t="s">
        <v>42</v>
      </c>
    </row>
    <row r="10" spans="1:11" x14ac:dyDescent="0.25">
      <c r="B10" t="s">
        <v>1335</v>
      </c>
      <c r="D10" s="125" t="s">
        <v>707</v>
      </c>
      <c r="H10" t="s">
        <v>40</v>
      </c>
      <c r="J10" t="s">
        <v>21</v>
      </c>
    </row>
    <row r="11" spans="1:11" x14ac:dyDescent="0.25">
      <c r="B11" t="s">
        <v>1426</v>
      </c>
      <c r="D11" s="125" t="s">
        <v>924</v>
      </c>
      <c r="F11" t="s">
        <v>1957</v>
      </c>
      <c r="H11" t="s">
        <v>639</v>
      </c>
      <c r="I11" t="s">
        <v>927</v>
      </c>
      <c r="J11" t="s">
        <v>49</v>
      </c>
    </row>
    <row r="12" spans="1:11" x14ac:dyDescent="0.25">
      <c r="B12" t="s">
        <v>1670</v>
      </c>
      <c r="D12" s="125" t="s">
        <v>1671</v>
      </c>
      <c r="F12" t="s">
        <v>2006</v>
      </c>
      <c r="H12" t="s">
        <v>520</v>
      </c>
      <c r="I12" t="s">
        <v>1673</v>
      </c>
      <c r="J12" t="s">
        <v>42</v>
      </c>
      <c r="K12" s="252">
        <v>43867</v>
      </c>
    </row>
    <row r="13" spans="1:11" x14ac:dyDescent="0.25">
      <c r="B13" t="s">
        <v>338</v>
      </c>
      <c r="D13" s="125" t="s">
        <v>1208</v>
      </c>
      <c r="F13" t="s">
        <v>2007</v>
      </c>
      <c r="H13" t="s">
        <v>2008</v>
      </c>
      <c r="I13" t="s">
        <v>654</v>
      </c>
      <c r="J13" t="s">
        <v>42</v>
      </c>
    </row>
    <row r="14" spans="1:11" x14ac:dyDescent="0.25">
      <c r="B14" t="s">
        <v>1707</v>
      </c>
      <c r="D14" s="125" t="s">
        <v>1708</v>
      </c>
      <c r="F14" t="s">
        <v>1709</v>
      </c>
      <c r="H14" t="s">
        <v>1264</v>
      </c>
      <c r="I14" t="s">
        <v>1710</v>
      </c>
      <c r="J14" t="s">
        <v>411</v>
      </c>
      <c r="K14" s="252">
        <v>43894</v>
      </c>
    </row>
    <row r="15" spans="1:11" x14ac:dyDescent="0.25">
      <c r="B15" t="s">
        <v>1463</v>
      </c>
      <c r="D15" s="125" t="s">
        <v>1464</v>
      </c>
      <c r="F15" t="s">
        <v>1465</v>
      </c>
      <c r="H15" t="s">
        <v>441</v>
      </c>
      <c r="I15" t="s">
        <v>884</v>
      </c>
      <c r="J15" t="s">
        <v>42</v>
      </c>
    </row>
    <row r="16" spans="1:11" x14ac:dyDescent="0.25">
      <c r="B16" t="s">
        <v>1618</v>
      </c>
      <c r="D16" s="125" t="s">
        <v>1614</v>
      </c>
      <c r="F16" t="s">
        <v>2009</v>
      </c>
      <c r="H16" t="s">
        <v>125</v>
      </c>
      <c r="I16" t="s">
        <v>1458</v>
      </c>
      <c r="J16" t="s">
        <v>1025</v>
      </c>
      <c r="K16" s="252">
        <v>43867</v>
      </c>
    </row>
    <row r="17" spans="2:11" x14ac:dyDescent="0.25">
      <c r="B17" t="s">
        <v>1157</v>
      </c>
      <c r="D17" s="125" t="s">
        <v>1158</v>
      </c>
      <c r="E17" t="s">
        <v>1159</v>
      </c>
      <c r="F17" t="s">
        <v>1267</v>
      </c>
      <c r="H17" t="s">
        <v>461</v>
      </c>
      <c r="I17" t="s">
        <v>1161</v>
      </c>
      <c r="J17" t="s">
        <v>42</v>
      </c>
    </row>
    <row r="18" spans="2:11" x14ac:dyDescent="0.25">
      <c r="B18" t="s">
        <v>1304</v>
      </c>
      <c r="F18" t="s">
        <v>1434</v>
      </c>
      <c r="J18" t="s">
        <v>60</v>
      </c>
    </row>
    <row r="19" spans="2:11" ht="30" x14ac:dyDescent="0.25">
      <c r="B19" t="s">
        <v>1845</v>
      </c>
      <c r="D19" s="125" t="s">
        <v>1846</v>
      </c>
      <c r="F19" s="254" t="s">
        <v>2010</v>
      </c>
      <c r="H19" t="s">
        <v>1197</v>
      </c>
      <c r="I19" t="s">
        <v>1028</v>
      </c>
      <c r="J19" t="s">
        <v>1266</v>
      </c>
      <c r="K19" s="252">
        <v>44078</v>
      </c>
    </row>
    <row r="20" spans="2:11" x14ac:dyDescent="0.25">
      <c r="B20" t="s">
        <v>1358</v>
      </c>
      <c r="D20" s="125" t="s">
        <v>1049</v>
      </c>
      <c r="F20" t="s">
        <v>2011</v>
      </c>
      <c r="H20" t="s">
        <v>645</v>
      </c>
      <c r="I20" t="s">
        <v>1051</v>
      </c>
      <c r="J20" t="s">
        <v>42</v>
      </c>
    </row>
    <row r="21" spans="2:11" x14ac:dyDescent="0.25">
      <c r="B21" t="s">
        <v>1320</v>
      </c>
      <c r="D21" s="125" t="s">
        <v>839</v>
      </c>
      <c r="F21" t="s">
        <v>1336</v>
      </c>
      <c r="H21" t="s">
        <v>1131</v>
      </c>
      <c r="J21" t="s">
        <v>42</v>
      </c>
    </row>
    <row r="22" spans="2:11" x14ac:dyDescent="0.25">
      <c r="B22" t="s">
        <v>1840</v>
      </c>
      <c r="D22" s="125" t="s">
        <v>1837</v>
      </c>
      <c r="F22" s="254" t="s">
        <v>1839</v>
      </c>
      <c r="H22" t="s">
        <v>891</v>
      </c>
      <c r="I22" t="s">
        <v>1838</v>
      </c>
      <c r="J22" t="s">
        <v>49</v>
      </c>
      <c r="K22" s="252">
        <v>44078</v>
      </c>
    </row>
    <row r="23" spans="2:11" x14ac:dyDescent="0.25">
      <c r="B23" t="s">
        <v>20</v>
      </c>
      <c r="D23" s="125" t="s">
        <v>953</v>
      </c>
      <c r="F23" t="s">
        <v>1291</v>
      </c>
      <c r="H23" t="s">
        <v>462</v>
      </c>
      <c r="I23" t="s">
        <v>416</v>
      </c>
      <c r="J23" t="s">
        <v>17</v>
      </c>
    </row>
    <row r="24" spans="2:11" x14ac:dyDescent="0.25">
      <c r="B24" t="s">
        <v>1785</v>
      </c>
      <c r="D24" s="125" t="s">
        <v>1786</v>
      </c>
      <c r="F24" t="s">
        <v>2012</v>
      </c>
      <c r="H24" t="s">
        <v>115</v>
      </c>
      <c r="I24" s="252" t="s">
        <v>1788</v>
      </c>
      <c r="J24" t="s">
        <v>21</v>
      </c>
      <c r="K24" s="252">
        <v>44048</v>
      </c>
    </row>
    <row r="25" spans="2:11" x14ac:dyDescent="0.25">
      <c r="B25" t="s">
        <v>1559</v>
      </c>
      <c r="D25" s="125" t="s">
        <v>1565</v>
      </c>
      <c r="F25" t="s">
        <v>1560</v>
      </c>
      <c r="H25" t="s">
        <v>1202</v>
      </c>
      <c r="I25" t="s">
        <v>1561</v>
      </c>
      <c r="J25" t="s">
        <v>732</v>
      </c>
    </row>
    <row r="26" spans="2:11" x14ac:dyDescent="0.25">
      <c r="B26" t="s">
        <v>1703</v>
      </c>
      <c r="D26" s="125" t="s">
        <v>1834</v>
      </c>
      <c r="F26" t="s">
        <v>1835</v>
      </c>
      <c r="H26" t="s">
        <v>112</v>
      </c>
      <c r="I26" t="s">
        <v>1836</v>
      </c>
      <c r="J26" t="s">
        <v>21</v>
      </c>
      <c r="K26" s="252">
        <v>43894</v>
      </c>
    </row>
    <row r="27" spans="2:11" x14ac:dyDescent="0.25">
      <c r="B27" t="s">
        <v>1305</v>
      </c>
      <c r="D27" s="125" t="s">
        <v>1127</v>
      </c>
      <c r="F27" t="s">
        <v>1359</v>
      </c>
      <c r="H27" t="s">
        <v>125</v>
      </c>
      <c r="J27" t="s">
        <v>42</v>
      </c>
    </row>
    <row r="28" spans="2:11" x14ac:dyDescent="0.25">
      <c r="B28" t="s">
        <v>1293</v>
      </c>
      <c r="D28" s="125" t="s">
        <v>1092</v>
      </c>
      <c r="F28" t="s">
        <v>1292</v>
      </c>
      <c r="H28" t="s">
        <v>779</v>
      </c>
      <c r="I28" t="s">
        <v>1094</v>
      </c>
      <c r="J28" t="s">
        <v>42</v>
      </c>
    </row>
    <row r="29" spans="2:11" x14ac:dyDescent="0.25">
      <c r="B29" t="s">
        <v>1607</v>
      </c>
      <c r="D29" s="125" t="s">
        <v>1905</v>
      </c>
      <c r="F29" t="s">
        <v>1906</v>
      </c>
      <c r="H29" t="s">
        <v>748</v>
      </c>
      <c r="I29" t="s">
        <v>1907</v>
      </c>
      <c r="J29" t="s">
        <v>21</v>
      </c>
      <c r="K29" s="252">
        <v>43867</v>
      </c>
    </row>
    <row r="30" spans="2:11" x14ac:dyDescent="0.25">
      <c r="B30" t="s">
        <v>339</v>
      </c>
      <c r="D30" s="125" t="s">
        <v>1209</v>
      </c>
      <c r="J30" t="s">
        <v>42</v>
      </c>
    </row>
    <row r="31" spans="2:11" x14ac:dyDescent="0.25">
      <c r="B31" t="s">
        <v>340</v>
      </c>
      <c r="D31" s="125" t="s">
        <v>974</v>
      </c>
      <c r="F31" t="s">
        <v>1462</v>
      </c>
      <c r="H31" t="s">
        <v>388</v>
      </c>
      <c r="I31" t="s">
        <v>417</v>
      </c>
      <c r="J31" t="s">
        <v>42</v>
      </c>
    </row>
    <row r="32" spans="2:11" x14ac:dyDescent="0.25">
      <c r="B32" t="s">
        <v>1606</v>
      </c>
      <c r="D32" s="125" t="s">
        <v>1781</v>
      </c>
      <c r="J32" t="s">
        <v>21</v>
      </c>
      <c r="K32" s="252">
        <v>43867</v>
      </c>
    </row>
    <row r="33" spans="2:11" x14ac:dyDescent="0.25">
      <c r="B33" t="s">
        <v>1533</v>
      </c>
      <c r="D33" s="125" t="s">
        <v>1534</v>
      </c>
      <c r="F33" t="s">
        <v>2013</v>
      </c>
      <c r="H33" t="s">
        <v>1536</v>
      </c>
      <c r="I33" t="s">
        <v>1537</v>
      </c>
      <c r="J33" t="s">
        <v>732</v>
      </c>
    </row>
    <row r="34" spans="2:11" x14ac:dyDescent="0.25">
      <c r="B34" t="s">
        <v>26</v>
      </c>
      <c r="D34" s="125">
        <v>0</v>
      </c>
      <c r="F34" t="s">
        <v>27</v>
      </c>
      <c r="H34" t="s">
        <v>389</v>
      </c>
      <c r="I34" t="s">
        <v>254</v>
      </c>
      <c r="J34" t="s">
        <v>40</v>
      </c>
    </row>
    <row r="35" spans="2:11" x14ac:dyDescent="0.25">
      <c r="B35" t="s">
        <v>1255</v>
      </c>
      <c r="D35" s="125" t="s">
        <v>1210</v>
      </c>
      <c r="J35" t="s">
        <v>40</v>
      </c>
    </row>
    <row r="36" spans="2:11" x14ac:dyDescent="0.25">
      <c r="B36" t="s">
        <v>559</v>
      </c>
      <c r="D36" s="125" t="s">
        <v>560</v>
      </c>
      <c r="F36" t="s">
        <v>1401</v>
      </c>
      <c r="H36" t="s">
        <v>1196</v>
      </c>
      <c r="I36" t="s">
        <v>670</v>
      </c>
      <c r="J36" t="s">
        <v>1256</v>
      </c>
    </row>
    <row r="37" spans="2:11" x14ac:dyDescent="0.25">
      <c r="B37" t="s">
        <v>13</v>
      </c>
      <c r="D37" s="125" t="s">
        <v>1491</v>
      </c>
      <c r="F37" t="s">
        <v>1958</v>
      </c>
      <c r="H37" t="s">
        <v>1197</v>
      </c>
      <c r="I37" t="s">
        <v>1493</v>
      </c>
      <c r="J37" t="s">
        <v>40</v>
      </c>
    </row>
    <row r="38" spans="2:11" x14ac:dyDescent="0.25">
      <c r="B38" t="s">
        <v>1294</v>
      </c>
      <c r="D38" s="125" t="s">
        <v>1843</v>
      </c>
      <c r="F38" t="s">
        <v>1841</v>
      </c>
      <c r="H38" t="s">
        <v>1202</v>
      </c>
      <c r="I38" t="s">
        <v>1842</v>
      </c>
      <c r="J38" t="s">
        <v>1266</v>
      </c>
    </row>
    <row r="39" spans="2:11" x14ac:dyDescent="0.25">
      <c r="B39" t="s">
        <v>1543</v>
      </c>
      <c r="D39" s="125" t="s">
        <v>1544</v>
      </c>
      <c r="F39" t="s">
        <v>2014</v>
      </c>
      <c r="H39" t="s">
        <v>581</v>
      </c>
      <c r="I39" t="s">
        <v>1546</v>
      </c>
      <c r="J39" t="s">
        <v>823</v>
      </c>
    </row>
    <row r="40" spans="2:11" x14ac:dyDescent="0.25">
      <c r="B40" t="s">
        <v>640</v>
      </c>
      <c r="F40" t="s">
        <v>2015</v>
      </c>
      <c r="G40" t="s">
        <v>634</v>
      </c>
      <c r="H40" t="s">
        <v>461</v>
      </c>
      <c r="I40" t="s">
        <v>656</v>
      </c>
      <c r="J40" t="s">
        <v>40</v>
      </c>
    </row>
    <row r="41" spans="2:11" x14ac:dyDescent="0.25">
      <c r="B41" t="s">
        <v>1760</v>
      </c>
      <c r="D41" s="125" t="s">
        <v>1761</v>
      </c>
      <c r="F41" t="s">
        <v>1762</v>
      </c>
      <c r="H41" t="s">
        <v>723</v>
      </c>
      <c r="I41" t="s">
        <v>452</v>
      </c>
      <c r="J41" t="s">
        <v>42</v>
      </c>
      <c r="K41" s="252">
        <v>43985</v>
      </c>
    </row>
    <row r="42" spans="2:11" x14ac:dyDescent="0.25">
      <c r="B42" t="s">
        <v>1402</v>
      </c>
      <c r="D42" s="125" t="s">
        <v>1082</v>
      </c>
      <c r="F42" t="s">
        <v>2016</v>
      </c>
      <c r="H42" t="s">
        <v>549</v>
      </c>
      <c r="I42" t="s">
        <v>1084</v>
      </c>
      <c r="J42" t="s">
        <v>34</v>
      </c>
    </row>
    <row r="43" spans="2:11" x14ac:dyDescent="0.25">
      <c r="B43" t="s">
        <v>341</v>
      </c>
      <c r="D43" s="125" t="s">
        <v>1211</v>
      </c>
      <c r="F43" t="s">
        <v>1360</v>
      </c>
      <c r="H43" t="s">
        <v>460</v>
      </c>
      <c r="I43" t="s">
        <v>418</v>
      </c>
      <c r="J43" t="s">
        <v>42</v>
      </c>
    </row>
    <row r="44" spans="2:11" x14ac:dyDescent="0.25">
      <c r="B44" t="s">
        <v>1518</v>
      </c>
      <c r="D44" s="125" t="s">
        <v>1519</v>
      </c>
      <c r="F44" t="s">
        <v>2017</v>
      </c>
      <c r="H44" t="s">
        <v>406</v>
      </c>
      <c r="I44" t="s">
        <v>1521</v>
      </c>
      <c r="J44" t="s">
        <v>42</v>
      </c>
    </row>
    <row r="45" spans="2:11" x14ac:dyDescent="0.25">
      <c r="B45" t="s">
        <v>1256</v>
      </c>
      <c r="C45" t="s">
        <v>1256</v>
      </c>
      <c r="D45" s="125">
        <v>0</v>
      </c>
    </row>
    <row r="46" spans="2:11" x14ac:dyDescent="0.25">
      <c r="B46" t="s">
        <v>1321</v>
      </c>
      <c r="D46" s="125" t="s">
        <v>696</v>
      </c>
      <c r="F46" t="s">
        <v>1403</v>
      </c>
      <c r="H46" t="s">
        <v>1202</v>
      </c>
      <c r="I46" t="s">
        <v>698</v>
      </c>
      <c r="J46" t="s">
        <v>34</v>
      </c>
    </row>
    <row r="47" spans="2:11" x14ac:dyDescent="0.25">
      <c r="B47" t="s">
        <v>1552</v>
      </c>
      <c r="J47" t="s">
        <v>42</v>
      </c>
    </row>
    <row r="48" spans="2:11" x14ac:dyDescent="0.25">
      <c r="B48" t="s">
        <v>40</v>
      </c>
      <c r="C48" t="s">
        <v>40</v>
      </c>
      <c r="D48" s="125">
        <v>0</v>
      </c>
      <c r="F48" t="s">
        <v>1337</v>
      </c>
      <c r="H48" t="s">
        <v>1197</v>
      </c>
      <c r="I48" t="s">
        <v>275</v>
      </c>
      <c r="J48" t="s">
        <v>40</v>
      </c>
    </row>
    <row r="49" spans="2:11" x14ac:dyDescent="0.25">
      <c r="B49" t="s">
        <v>2018</v>
      </c>
      <c r="D49" s="125" t="s">
        <v>1212</v>
      </c>
      <c r="F49" t="s">
        <v>2019</v>
      </c>
      <c r="H49" t="s">
        <v>1197</v>
      </c>
      <c r="I49" t="s">
        <v>1028</v>
      </c>
      <c r="J49" t="s">
        <v>2020</v>
      </c>
    </row>
    <row r="50" spans="2:11" x14ac:dyDescent="0.25">
      <c r="B50" t="s">
        <v>1171</v>
      </c>
      <c r="D50" s="125" t="s">
        <v>1172</v>
      </c>
      <c r="F50" t="s">
        <v>1173</v>
      </c>
      <c r="H50" t="s">
        <v>544</v>
      </c>
      <c r="I50" t="s">
        <v>1174</v>
      </c>
      <c r="J50" t="s">
        <v>823</v>
      </c>
    </row>
    <row r="51" spans="2:11" x14ac:dyDescent="0.25">
      <c r="B51" t="s">
        <v>1183</v>
      </c>
      <c r="D51" s="125" t="s">
        <v>1213</v>
      </c>
      <c r="F51" t="s">
        <v>1322</v>
      </c>
      <c r="H51" t="s">
        <v>389</v>
      </c>
      <c r="I51" t="s">
        <v>255</v>
      </c>
      <c r="J51" t="s">
        <v>42</v>
      </c>
    </row>
    <row r="52" spans="2:11" x14ac:dyDescent="0.25">
      <c r="B52" t="s">
        <v>1579</v>
      </c>
      <c r="D52" s="125" t="s">
        <v>1580</v>
      </c>
      <c r="F52" t="s">
        <v>1581</v>
      </c>
      <c r="H52" t="s">
        <v>532</v>
      </c>
      <c r="I52" t="s">
        <v>1582</v>
      </c>
      <c r="J52" t="s">
        <v>42</v>
      </c>
    </row>
    <row r="53" spans="2:11" x14ac:dyDescent="0.25">
      <c r="B53" t="s">
        <v>528</v>
      </c>
      <c r="D53" s="125" t="s">
        <v>527</v>
      </c>
      <c r="F53" t="s">
        <v>2021</v>
      </c>
      <c r="H53" t="s">
        <v>651</v>
      </c>
      <c r="I53" t="s">
        <v>1816</v>
      </c>
      <c r="J53" t="s">
        <v>42</v>
      </c>
    </row>
    <row r="54" spans="2:11" x14ac:dyDescent="0.25">
      <c r="B54" t="s">
        <v>1596</v>
      </c>
      <c r="D54" s="125" t="s">
        <v>1597</v>
      </c>
      <c r="F54" t="s">
        <v>1598</v>
      </c>
      <c r="H54" t="s">
        <v>581</v>
      </c>
      <c r="I54" t="s">
        <v>1599</v>
      </c>
      <c r="J54" t="s">
        <v>1266</v>
      </c>
    </row>
    <row r="55" spans="2:11" x14ac:dyDescent="0.25">
      <c r="B55" t="s">
        <v>1623</v>
      </c>
      <c r="D55" s="125" t="s">
        <v>1597</v>
      </c>
      <c r="F55" t="s">
        <v>1959</v>
      </c>
      <c r="H55" t="s">
        <v>581</v>
      </c>
      <c r="I55" t="s">
        <v>1599</v>
      </c>
      <c r="J55" t="s">
        <v>1025</v>
      </c>
      <c r="K55" s="252">
        <v>43867</v>
      </c>
    </row>
    <row r="56" spans="2:11" x14ac:dyDescent="0.25">
      <c r="B56" t="s">
        <v>552</v>
      </c>
      <c r="D56" s="125" t="s">
        <v>551</v>
      </c>
      <c r="F56" t="s">
        <v>2022</v>
      </c>
      <c r="G56" t="s">
        <v>1427</v>
      </c>
      <c r="H56" t="s">
        <v>544</v>
      </c>
      <c r="I56" t="s">
        <v>667</v>
      </c>
      <c r="J56" t="s">
        <v>1256</v>
      </c>
    </row>
    <row r="57" spans="2:11" x14ac:dyDescent="0.25">
      <c r="B57" t="s">
        <v>980</v>
      </c>
      <c r="D57" s="125" t="s">
        <v>981</v>
      </c>
      <c r="F57" t="s">
        <v>2023</v>
      </c>
      <c r="H57" t="s">
        <v>544</v>
      </c>
      <c r="I57" t="s">
        <v>983</v>
      </c>
      <c r="J57" t="s">
        <v>42</v>
      </c>
    </row>
    <row r="58" spans="2:11" x14ac:dyDescent="0.25">
      <c r="B58" t="s">
        <v>343</v>
      </c>
      <c r="D58" s="125" t="s">
        <v>826</v>
      </c>
      <c r="F58" t="s">
        <v>1404</v>
      </c>
      <c r="H58" t="s">
        <v>441</v>
      </c>
      <c r="I58" t="s">
        <v>874</v>
      </c>
      <c r="J58" t="s">
        <v>42</v>
      </c>
    </row>
    <row r="59" spans="2:11" x14ac:dyDescent="0.25">
      <c r="B59" t="s">
        <v>612</v>
      </c>
      <c r="D59" s="125" t="s">
        <v>1214</v>
      </c>
      <c r="F59" t="s">
        <v>1960</v>
      </c>
      <c r="H59" t="s">
        <v>390</v>
      </c>
      <c r="I59" t="s">
        <v>252</v>
      </c>
      <c r="J59" t="s">
        <v>49</v>
      </c>
    </row>
    <row r="60" spans="2:11" x14ac:dyDescent="0.25">
      <c r="B60" t="s">
        <v>622</v>
      </c>
      <c r="D60" s="125" t="s">
        <v>623</v>
      </c>
      <c r="E60" t="s">
        <v>624</v>
      </c>
      <c r="F60" t="s">
        <v>1323</v>
      </c>
      <c r="G60" t="s">
        <v>1338</v>
      </c>
      <c r="H60" t="s">
        <v>52</v>
      </c>
      <c r="I60" t="s">
        <v>816</v>
      </c>
      <c r="J60" t="s">
        <v>823</v>
      </c>
    </row>
    <row r="61" spans="2:11" x14ac:dyDescent="0.25">
      <c r="B61" t="s">
        <v>825</v>
      </c>
      <c r="D61" s="125" t="s">
        <v>623</v>
      </c>
      <c r="E61" t="s">
        <v>624</v>
      </c>
      <c r="F61" t="s">
        <v>1306</v>
      </c>
      <c r="G61" t="s">
        <v>1324</v>
      </c>
      <c r="H61" t="s">
        <v>52</v>
      </c>
      <c r="I61" t="s">
        <v>816</v>
      </c>
      <c r="J61" t="s">
        <v>823</v>
      </c>
    </row>
    <row r="62" spans="2:11" ht="30" x14ac:dyDescent="0.25">
      <c r="B62" t="s">
        <v>1269</v>
      </c>
      <c r="D62" s="125" t="s">
        <v>1863</v>
      </c>
      <c r="F62" s="254" t="s">
        <v>2024</v>
      </c>
      <c r="H62" t="s">
        <v>84</v>
      </c>
      <c r="I62" t="s">
        <v>1865</v>
      </c>
      <c r="J62" t="s">
        <v>45</v>
      </c>
    </row>
    <row r="63" spans="2:11" x14ac:dyDescent="0.25">
      <c r="B63" t="s">
        <v>1657</v>
      </c>
      <c r="D63" s="125" t="s">
        <v>1658</v>
      </c>
      <c r="F63" t="s">
        <v>1659</v>
      </c>
      <c r="H63" t="s">
        <v>441</v>
      </c>
      <c r="I63" t="s">
        <v>884</v>
      </c>
      <c r="J63" t="s">
        <v>42</v>
      </c>
      <c r="K63" s="252">
        <v>43867</v>
      </c>
    </row>
    <row r="64" spans="2:11" x14ac:dyDescent="0.25">
      <c r="B64" t="s">
        <v>1199</v>
      </c>
      <c r="D64" s="125" t="s">
        <v>969</v>
      </c>
      <c r="F64" t="s">
        <v>1361</v>
      </c>
      <c r="H64" t="s">
        <v>52</v>
      </c>
      <c r="I64" t="s">
        <v>971</v>
      </c>
      <c r="J64" t="s">
        <v>42</v>
      </c>
    </row>
    <row r="65" spans="2:11" x14ac:dyDescent="0.25">
      <c r="B65" t="s">
        <v>1712</v>
      </c>
      <c r="D65" s="125" t="s">
        <v>1713</v>
      </c>
      <c r="F65" t="s">
        <v>1714</v>
      </c>
      <c r="H65" t="s">
        <v>532</v>
      </c>
      <c r="I65" t="s">
        <v>1715</v>
      </c>
      <c r="J65" t="s">
        <v>45</v>
      </c>
      <c r="K65" s="252">
        <v>43894</v>
      </c>
    </row>
    <row r="66" spans="2:11" x14ac:dyDescent="0.25">
      <c r="B66" t="s">
        <v>213</v>
      </c>
      <c r="D66" s="125" t="s">
        <v>1215</v>
      </c>
      <c r="F66" t="s">
        <v>85</v>
      </c>
      <c r="H66" t="s">
        <v>420</v>
      </c>
      <c r="I66" t="s">
        <v>419</v>
      </c>
      <c r="J66" t="s">
        <v>48</v>
      </c>
    </row>
    <row r="67" spans="2:11" x14ac:dyDescent="0.25">
      <c r="B67" t="s">
        <v>709</v>
      </c>
      <c r="D67" s="125" t="s">
        <v>708</v>
      </c>
      <c r="F67" t="s">
        <v>710</v>
      </c>
      <c r="H67" t="s">
        <v>1205</v>
      </c>
      <c r="I67" t="s">
        <v>711</v>
      </c>
      <c r="J67" t="s">
        <v>48</v>
      </c>
    </row>
    <row r="68" spans="2:11" x14ac:dyDescent="0.25">
      <c r="B68" t="s">
        <v>345</v>
      </c>
      <c r="D68" s="125" t="s">
        <v>1216</v>
      </c>
      <c r="G68" t="s">
        <v>1428</v>
      </c>
      <c r="J68" t="s">
        <v>21</v>
      </c>
    </row>
    <row r="69" spans="2:11" x14ac:dyDescent="0.25">
      <c r="B69" t="s">
        <v>1325</v>
      </c>
      <c r="D69" s="125" t="s">
        <v>1054</v>
      </c>
      <c r="F69" t="s">
        <v>1453</v>
      </c>
      <c r="H69" t="s">
        <v>84</v>
      </c>
      <c r="I69" t="s">
        <v>1056</v>
      </c>
      <c r="J69" t="s">
        <v>40</v>
      </c>
    </row>
    <row r="70" spans="2:11" x14ac:dyDescent="0.25">
      <c r="B70" t="s">
        <v>2025</v>
      </c>
      <c r="D70" s="125" t="s">
        <v>1217</v>
      </c>
      <c r="F70" t="s">
        <v>1961</v>
      </c>
      <c r="H70" t="s">
        <v>512</v>
      </c>
      <c r="I70" t="s">
        <v>655</v>
      </c>
      <c r="J70" t="s">
        <v>21</v>
      </c>
    </row>
    <row r="71" spans="2:11" x14ac:dyDescent="0.25">
      <c r="B71" t="s">
        <v>987</v>
      </c>
      <c r="D71" s="125" t="s">
        <v>1636</v>
      </c>
      <c r="F71" t="s">
        <v>1405</v>
      </c>
      <c r="H71" t="s">
        <v>398</v>
      </c>
      <c r="I71" t="s">
        <v>990</v>
      </c>
      <c r="J71" t="s">
        <v>42</v>
      </c>
    </row>
    <row r="72" spans="2:11" x14ac:dyDescent="0.25">
      <c r="B72" t="s">
        <v>579</v>
      </c>
      <c r="D72" s="125" t="s">
        <v>575</v>
      </c>
      <c r="F72" t="s">
        <v>568</v>
      </c>
      <c r="H72" t="s">
        <v>570</v>
      </c>
      <c r="I72" t="s">
        <v>676</v>
      </c>
      <c r="J72" t="s">
        <v>823</v>
      </c>
    </row>
    <row r="73" spans="2:11" x14ac:dyDescent="0.25">
      <c r="B73" t="s">
        <v>1339</v>
      </c>
      <c r="D73" s="125" t="s">
        <v>828</v>
      </c>
      <c r="E73" t="s">
        <v>829</v>
      </c>
      <c r="F73" t="s">
        <v>2026</v>
      </c>
      <c r="H73" t="s">
        <v>651</v>
      </c>
      <c r="I73" t="s">
        <v>831</v>
      </c>
      <c r="J73" t="s">
        <v>42</v>
      </c>
    </row>
    <row r="74" spans="2:11" x14ac:dyDescent="0.25">
      <c r="B74" t="s">
        <v>1619</v>
      </c>
      <c r="D74" s="125" t="s">
        <v>1613</v>
      </c>
      <c r="F74" t="s">
        <v>2027</v>
      </c>
      <c r="H74" t="s">
        <v>1202</v>
      </c>
      <c r="I74" t="s">
        <v>1625</v>
      </c>
      <c r="J74" t="s">
        <v>1025</v>
      </c>
      <c r="K74" s="252">
        <v>43867</v>
      </c>
    </row>
    <row r="75" spans="2:11" x14ac:dyDescent="0.25">
      <c r="B75" t="s">
        <v>1775</v>
      </c>
      <c r="D75" s="125" t="s">
        <v>1088</v>
      </c>
      <c r="F75" t="s">
        <v>1407</v>
      </c>
      <c r="H75" t="s">
        <v>570</v>
      </c>
      <c r="I75" t="s">
        <v>1090</v>
      </c>
      <c r="J75" t="s">
        <v>42</v>
      </c>
    </row>
    <row r="76" spans="2:11" x14ac:dyDescent="0.25">
      <c r="B76" t="s">
        <v>1773</v>
      </c>
      <c r="D76" s="125" t="s">
        <v>1899</v>
      </c>
      <c r="F76" t="s">
        <v>1381</v>
      </c>
      <c r="H76" t="s">
        <v>398</v>
      </c>
      <c r="I76" t="s">
        <v>431</v>
      </c>
      <c r="J76" t="s">
        <v>1134</v>
      </c>
    </row>
    <row r="77" spans="2:11" x14ac:dyDescent="0.25">
      <c r="B77" t="s">
        <v>1699</v>
      </c>
      <c r="D77" s="125" t="s">
        <v>1700</v>
      </c>
      <c r="F77" t="s">
        <v>2028</v>
      </c>
      <c r="H77" t="s">
        <v>581</v>
      </c>
      <c r="I77" t="s">
        <v>1702</v>
      </c>
      <c r="J77" t="s">
        <v>49</v>
      </c>
      <c r="K77" s="252">
        <v>43894</v>
      </c>
    </row>
    <row r="78" spans="2:11" x14ac:dyDescent="0.25">
      <c r="B78" t="s">
        <v>1340</v>
      </c>
      <c r="D78" s="125" t="s">
        <v>772</v>
      </c>
      <c r="F78" t="s">
        <v>1962</v>
      </c>
      <c r="H78" t="s">
        <v>84</v>
      </c>
      <c r="I78" t="s">
        <v>679</v>
      </c>
      <c r="J78" t="s">
        <v>60</v>
      </c>
    </row>
    <row r="79" spans="2:11" x14ac:dyDescent="0.25">
      <c r="B79" t="s">
        <v>347</v>
      </c>
      <c r="D79" s="125" t="s">
        <v>1218</v>
      </c>
      <c r="F79" t="s">
        <v>1301</v>
      </c>
      <c r="H79" t="s">
        <v>391</v>
      </c>
      <c r="I79" t="s">
        <v>421</v>
      </c>
      <c r="J79" t="s">
        <v>42</v>
      </c>
    </row>
    <row r="80" spans="2:11" x14ac:dyDescent="0.25">
      <c r="B80" t="s">
        <v>1298</v>
      </c>
      <c r="D80" s="125" t="s">
        <v>920</v>
      </c>
      <c r="F80" t="s">
        <v>2029</v>
      </c>
      <c r="H80" t="s">
        <v>1307</v>
      </c>
      <c r="I80" t="s">
        <v>919</v>
      </c>
      <c r="J80" t="s">
        <v>1256</v>
      </c>
    </row>
    <row r="81" spans="2:11" x14ac:dyDescent="0.25">
      <c r="B81" t="s">
        <v>348</v>
      </c>
      <c r="D81" s="125" t="s">
        <v>1219</v>
      </c>
      <c r="F81" t="s">
        <v>1408</v>
      </c>
      <c r="H81" t="s">
        <v>461</v>
      </c>
      <c r="I81" t="s">
        <v>422</v>
      </c>
      <c r="J81" t="s">
        <v>53</v>
      </c>
    </row>
    <row r="82" spans="2:11" x14ac:dyDescent="0.25">
      <c r="B82" t="s">
        <v>614</v>
      </c>
      <c r="D82" s="125" t="s">
        <v>1220</v>
      </c>
      <c r="F82" t="s">
        <v>1963</v>
      </c>
      <c r="H82" t="s">
        <v>393</v>
      </c>
      <c r="I82" t="s">
        <v>423</v>
      </c>
      <c r="J82" t="s">
        <v>49</v>
      </c>
    </row>
    <row r="83" spans="2:11" x14ac:dyDescent="0.25">
      <c r="B83" t="s">
        <v>1364</v>
      </c>
      <c r="D83" s="125" t="s">
        <v>942</v>
      </c>
      <c r="F83" t="s">
        <v>1964</v>
      </c>
      <c r="H83" t="s">
        <v>84</v>
      </c>
      <c r="I83" t="s">
        <v>944</v>
      </c>
      <c r="J83" t="s">
        <v>60</v>
      </c>
    </row>
    <row r="84" spans="2:11" x14ac:dyDescent="0.25">
      <c r="B84" t="s">
        <v>598</v>
      </c>
      <c r="J84" t="s">
        <v>24</v>
      </c>
    </row>
    <row r="85" spans="2:11" x14ac:dyDescent="0.25">
      <c r="B85" t="s">
        <v>1365</v>
      </c>
      <c r="D85" s="125" t="s">
        <v>688</v>
      </c>
      <c r="F85" t="s">
        <v>1965</v>
      </c>
      <c r="H85" t="s">
        <v>84</v>
      </c>
      <c r="I85" t="s">
        <v>690</v>
      </c>
      <c r="J85" t="s">
        <v>34</v>
      </c>
    </row>
    <row r="86" spans="2:11" x14ac:dyDescent="0.25">
      <c r="B86" t="s">
        <v>1666</v>
      </c>
      <c r="D86" s="125" t="s">
        <v>1667</v>
      </c>
      <c r="F86" t="s">
        <v>2030</v>
      </c>
      <c r="H86" t="s">
        <v>581</v>
      </c>
      <c r="I86" t="s">
        <v>1669</v>
      </c>
      <c r="J86" t="s">
        <v>42</v>
      </c>
      <c r="K86" s="252">
        <v>43867</v>
      </c>
    </row>
    <row r="87" spans="2:11" x14ac:dyDescent="0.25">
      <c r="B87" t="s">
        <v>1409</v>
      </c>
      <c r="D87" s="125" t="s">
        <v>1122</v>
      </c>
      <c r="F87" t="s">
        <v>1341</v>
      </c>
      <c r="H87" t="s">
        <v>570</v>
      </c>
      <c r="J87" t="s">
        <v>42</v>
      </c>
    </row>
    <row r="88" spans="2:11" x14ac:dyDescent="0.25">
      <c r="B88" t="s">
        <v>1009</v>
      </c>
      <c r="D88" s="125" t="s">
        <v>1012</v>
      </c>
      <c r="E88" t="s">
        <v>1013</v>
      </c>
      <c r="F88" t="s">
        <v>1308</v>
      </c>
      <c r="H88" t="s">
        <v>593</v>
      </c>
      <c r="I88" t="s">
        <v>1011</v>
      </c>
      <c r="J88" t="s">
        <v>42</v>
      </c>
    </row>
    <row r="89" spans="2:11" x14ac:dyDescent="0.25">
      <c r="B89" t="s">
        <v>746</v>
      </c>
      <c r="D89" s="125" t="s">
        <v>774</v>
      </c>
      <c r="F89" t="s">
        <v>1966</v>
      </c>
      <c r="H89" t="s">
        <v>748</v>
      </c>
      <c r="I89" t="s">
        <v>749</v>
      </c>
      <c r="J89" t="s">
        <v>1266</v>
      </c>
    </row>
    <row r="90" spans="2:11" x14ac:dyDescent="0.25">
      <c r="B90" t="s">
        <v>744</v>
      </c>
      <c r="D90" s="125" t="s">
        <v>1102</v>
      </c>
      <c r="J90" t="s">
        <v>1266</v>
      </c>
    </row>
    <row r="91" spans="2:11" x14ac:dyDescent="0.25">
      <c r="B91" t="s">
        <v>618</v>
      </c>
      <c r="D91" s="125" t="s">
        <v>619</v>
      </c>
      <c r="F91" t="s">
        <v>2031</v>
      </c>
      <c r="G91" t="s">
        <v>2032</v>
      </c>
      <c r="H91" t="s">
        <v>84</v>
      </c>
      <c r="I91" t="s">
        <v>453</v>
      </c>
      <c r="J91" t="s">
        <v>823</v>
      </c>
    </row>
    <row r="92" spans="2:11" x14ac:dyDescent="0.25">
      <c r="B92" t="s">
        <v>534</v>
      </c>
      <c r="J92" t="s">
        <v>42</v>
      </c>
    </row>
    <row r="93" spans="2:11" x14ac:dyDescent="0.25">
      <c r="B93" t="s">
        <v>350</v>
      </c>
      <c r="D93" s="125" t="s">
        <v>1221</v>
      </c>
      <c r="F93" t="s">
        <v>1954</v>
      </c>
      <c r="H93" t="s">
        <v>394</v>
      </c>
      <c r="I93" t="s">
        <v>424</v>
      </c>
      <c r="J93" t="s">
        <v>1256</v>
      </c>
    </row>
    <row r="94" spans="2:11" x14ac:dyDescent="0.25">
      <c r="B94" t="s">
        <v>556</v>
      </c>
      <c r="D94" s="125" t="s">
        <v>557</v>
      </c>
      <c r="F94" t="s">
        <v>1367</v>
      </c>
      <c r="H94" t="s">
        <v>544</v>
      </c>
      <c r="I94" t="s">
        <v>669</v>
      </c>
      <c r="J94" t="s">
        <v>1256</v>
      </c>
    </row>
    <row r="95" spans="2:11" x14ac:dyDescent="0.25">
      <c r="B95" t="s">
        <v>1132</v>
      </c>
      <c r="F95" t="s">
        <v>1270</v>
      </c>
      <c r="H95" t="s">
        <v>398</v>
      </c>
      <c r="I95" t="s">
        <v>990</v>
      </c>
      <c r="J95" t="s">
        <v>40</v>
      </c>
    </row>
    <row r="96" spans="2:11" x14ac:dyDescent="0.25">
      <c r="B96" t="s">
        <v>1801</v>
      </c>
      <c r="D96" s="125" t="s">
        <v>1802</v>
      </c>
      <c r="F96" t="s">
        <v>1803</v>
      </c>
      <c r="H96" t="s">
        <v>1202</v>
      </c>
      <c r="I96" t="s">
        <v>1651</v>
      </c>
      <c r="J96" t="s">
        <v>21</v>
      </c>
      <c r="K96" s="252">
        <v>44048</v>
      </c>
    </row>
    <row r="97" spans="2:11" x14ac:dyDescent="0.25">
      <c r="B97" t="s">
        <v>1169</v>
      </c>
      <c r="D97" s="125" t="s">
        <v>1170</v>
      </c>
      <c r="F97" t="s">
        <v>2033</v>
      </c>
      <c r="H97" t="s">
        <v>530</v>
      </c>
      <c r="I97" t="s">
        <v>1458</v>
      </c>
      <c r="J97" t="s">
        <v>823</v>
      </c>
    </row>
    <row r="98" spans="2:11" x14ac:dyDescent="0.25">
      <c r="B98" t="s">
        <v>1368</v>
      </c>
      <c r="F98" t="s">
        <v>1434</v>
      </c>
      <c r="J98" t="s">
        <v>60</v>
      </c>
    </row>
    <row r="99" spans="2:11" x14ac:dyDescent="0.25">
      <c r="B99" t="s">
        <v>1789</v>
      </c>
      <c r="D99" s="125" t="s">
        <v>1790</v>
      </c>
      <c r="F99" t="s">
        <v>2034</v>
      </c>
      <c r="H99" t="s">
        <v>441</v>
      </c>
      <c r="I99" t="s">
        <v>1721</v>
      </c>
      <c r="J99" t="s">
        <v>21</v>
      </c>
      <c r="K99" s="252">
        <v>44048</v>
      </c>
    </row>
    <row r="100" spans="2:11" x14ac:dyDescent="0.25">
      <c r="B100" s="174" t="s">
        <v>1934</v>
      </c>
      <c r="J100" t="s">
        <v>34</v>
      </c>
      <c r="K100" s="252">
        <v>44139</v>
      </c>
    </row>
    <row r="101" spans="2:11" x14ac:dyDescent="0.25">
      <c r="B101" t="s">
        <v>732</v>
      </c>
      <c r="D101" s="125" t="s">
        <v>733</v>
      </c>
      <c r="F101" t="s">
        <v>1866</v>
      </c>
      <c r="H101" t="s">
        <v>1799</v>
      </c>
      <c r="I101" t="s">
        <v>1867</v>
      </c>
      <c r="J101" t="s">
        <v>732</v>
      </c>
    </row>
    <row r="102" spans="2:11" x14ac:dyDescent="0.25">
      <c r="B102" t="s">
        <v>351</v>
      </c>
      <c r="D102" s="125">
        <v>0</v>
      </c>
      <c r="F102" t="s">
        <v>1967</v>
      </c>
      <c r="H102" t="s">
        <v>2035</v>
      </c>
      <c r="I102" t="s">
        <v>426</v>
      </c>
      <c r="J102" t="s">
        <v>1266</v>
      </c>
    </row>
    <row r="103" spans="2:11" x14ac:dyDescent="0.25">
      <c r="B103" t="s">
        <v>1370</v>
      </c>
      <c r="D103" s="125" t="s">
        <v>798</v>
      </c>
      <c r="F103" t="s">
        <v>1968</v>
      </c>
      <c r="H103" t="s">
        <v>784</v>
      </c>
      <c r="I103" t="s">
        <v>789</v>
      </c>
      <c r="J103" t="s">
        <v>60</v>
      </c>
    </row>
    <row r="104" spans="2:11" x14ac:dyDescent="0.25">
      <c r="B104" t="s">
        <v>25</v>
      </c>
      <c r="D104" s="125" t="s">
        <v>1222</v>
      </c>
      <c r="F104" t="s">
        <v>1411</v>
      </c>
      <c r="H104" t="s">
        <v>406</v>
      </c>
      <c r="I104" t="s">
        <v>329</v>
      </c>
      <c r="J104" t="s">
        <v>24</v>
      </c>
    </row>
    <row r="105" spans="2:11" x14ac:dyDescent="0.25">
      <c r="B105" t="s">
        <v>1271</v>
      </c>
      <c r="D105" s="125">
        <v>0</v>
      </c>
      <c r="F105" t="s">
        <v>1411</v>
      </c>
      <c r="H105" t="s">
        <v>406</v>
      </c>
      <c r="I105" t="s">
        <v>329</v>
      </c>
      <c r="J105" t="s">
        <v>1266</v>
      </c>
    </row>
    <row r="106" spans="2:11" x14ac:dyDescent="0.25">
      <c r="B106" t="s">
        <v>352</v>
      </c>
      <c r="D106" s="125" t="s">
        <v>1222</v>
      </c>
      <c r="F106" t="s">
        <v>1412</v>
      </c>
      <c r="H106" t="s">
        <v>395</v>
      </c>
      <c r="I106" t="s">
        <v>329</v>
      </c>
      <c r="J106" t="s">
        <v>42</v>
      </c>
    </row>
    <row r="107" spans="2:11" x14ac:dyDescent="0.25">
      <c r="B107" t="s">
        <v>877</v>
      </c>
      <c r="D107" s="125" t="s">
        <v>876</v>
      </c>
      <c r="F107" t="s">
        <v>1413</v>
      </c>
      <c r="H107" t="s">
        <v>441</v>
      </c>
      <c r="I107" t="s">
        <v>879</v>
      </c>
      <c r="J107" t="s">
        <v>42</v>
      </c>
    </row>
    <row r="108" spans="2:11" x14ac:dyDescent="0.25">
      <c r="B108" t="s">
        <v>48</v>
      </c>
      <c r="D108" s="125">
        <v>0</v>
      </c>
    </row>
    <row r="109" spans="2:11" x14ac:dyDescent="0.25">
      <c r="B109" t="s">
        <v>210</v>
      </c>
      <c r="D109" s="125" t="s">
        <v>1223</v>
      </c>
      <c r="J109" t="s">
        <v>40</v>
      </c>
    </row>
    <row r="110" spans="2:11" x14ac:dyDescent="0.25">
      <c r="B110" t="s">
        <v>584</v>
      </c>
      <c r="D110" s="125" t="s">
        <v>585</v>
      </c>
      <c r="J110" t="s">
        <v>584</v>
      </c>
    </row>
    <row r="111" spans="2:11" x14ac:dyDescent="0.25">
      <c r="B111" t="s">
        <v>1948</v>
      </c>
      <c r="D111" s="125" t="s">
        <v>1108</v>
      </c>
      <c r="F111" t="s">
        <v>2036</v>
      </c>
      <c r="H111" t="s">
        <v>549</v>
      </c>
      <c r="I111" t="s">
        <v>1950</v>
      </c>
      <c r="J111" t="s">
        <v>1134</v>
      </c>
      <c r="K111" s="252">
        <v>44140</v>
      </c>
    </row>
    <row r="112" spans="2:11" x14ac:dyDescent="0.25">
      <c r="B112" t="s">
        <v>1925</v>
      </c>
      <c r="D112" s="125" t="s">
        <v>1926</v>
      </c>
      <c r="F112" t="s">
        <v>1927</v>
      </c>
      <c r="H112" t="s">
        <v>2037</v>
      </c>
      <c r="I112" t="s">
        <v>1928</v>
      </c>
      <c r="J112" t="s">
        <v>411</v>
      </c>
      <c r="K112" s="252">
        <v>44139</v>
      </c>
    </row>
    <row r="113" spans="2:11" x14ac:dyDescent="0.25">
      <c r="B113" t="s">
        <v>712</v>
      </c>
      <c r="D113" s="125" t="s">
        <v>713</v>
      </c>
      <c r="F113" t="s">
        <v>714</v>
      </c>
      <c r="H113" t="s">
        <v>716</v>
      </c>
      <c r="I113" t="s">
        <v>715</v>
      </c>
      <c r="J113" t="s">
        <v>48</v>
      </c>
    </row>
    <row r="114" spans="2:11" x14ac:dyDescent="0.25">
      <c r="B114" t="s">
        <v>1588</v>
      </c>
      <c r="D114" s="125" t="s">
        <v>1589</v>
      </c>
      <c r="F114" t="s">
        <v>1590</v>
      </c>
      <c r="H114" t="s">
        <v>651</v>
      </c>
      <c r="I114" t="s">
        <v>834</v>
      </c>
      <c r="J114" t="s">
        <v>40</v>
      </c>
    </row>
    <row r="115" spans="2:11" x14ac:dyDescent="0.25">
      <c r="B115" t="s">
        <v>1439</v>
      </c>
      <c r="D115" s="125" t="s">
        <v>889</v>
      </c>
      <c r="F115" t="s">
        <v>1327</v>
      </c>
      <c r="H115" t="s">
        <v>891</v>
      </c>
      <c r="I115" t="s">
        <v>892</v>
      </c>
      <c r="J115" t="s">
        <v>42</v>
      </c>
    </row>
    <row r="116" spans="2:11" x14ac:dyDescent="0.25">
      <c r="B116" t="s">
        <v>1646</v>
      </c>
      <c r="D116" s="125" t="s">
        <v>1647</v>
      </c>
      <c r="J116" t="s">
        <v>42</v>
      </c>
      <c r="K116" s="252">
        <v>43867</v>
      </c>
    </row>
    <row r="117" spans="2:11" x14ac:dyDescent="0.25">
      <c r="B117" t="s">
        <v>1939</v>
      </c>
      <c r="D117" s="125" t="s">
        <v>1940</v>
      </c>
      <c r="F117" t="s">
        <v>1941</v>
      </c>
      <c r="H117" t="s">
        <v>84</v>
      </c>
      <c r="I117" t="s">
        <v>1942</v>
      </c>
      <c r="J117" t="s">
        <v>42</v>
      </c>
      <c r="K117" s="252">
        <v>44139</v>
      </c>
    </row>
    <row r="118" spans="2:11" x14ac:dyDescent="0.25">
      <c r="B118" t="s">
        <v>540</v>
      </c>
      <c r="D118" s="125" t="s">
        <v>539</v>
      </c>
      <c r="F118" t="s">
        <v>1372</v>
      </c>
      <c r="H118" t="s">
        <v>544</v>
      </c>
      <c r="I118" t="s">
        <v>853</v>
      </c>
      <c r="J118" t="s">
        <v>42</v>
      </c>
    </row>
    <row r="119" spans="2:11" x14ac:dyDescent="0.25">
      <c r="B119" t="s">
        <v>211</v>
      </c>
      <c r="D119" s="125" t="s">
        <v>1224</v>
      </c>
      <c r="F119" t="s">
        <v>1969</v>
      </c>
      <c r="H119" t="s">
        <v>390</v>
      </c>
      <c r="I119" t="s">
        <v>252</v>
      </c>
      <c r="J119" t="s">
        <v>48</v>
      </c>
    </row>
    <row r="120" spans="2:11" x14ac:dyDescent="0.25">
      <c r="B120" t="s">
        <v>1258</v>
      </c>
      <c r="D120" s="125" t="s">
        <v>722</v>
      </c>
      <c r="F120" t="s">
        <v>1970</v>
      </c>
      <c r="H120" t="s">
        <v>723</v>
      </c>
      <c r="I120" t="s">
        <v>725</v>
      </c>
      <c r="J120" t="s">
        <v>1256</v>
      </c>
    </row>
    <row r="121" spans="2:11" x14ac:dyDescent="0.25">
      <c r="B121" t="s">
        <v>611</v>
      </c>
      <c r="C121" t="s">
        <v>611</v>
      </c>
      <c r="D121" s="125" t="s">
        <v>1225</v>
      </c>
      <c r="F121" t="s">
        <v>1971</v>
      </c>
      <c r="H121" t="s">
        <v>390</v>
      </c>
      <c r="I121" t="s">
        <v>253</v>
      </c>
      <c r="J121" t="s">
        <v>49</v>
      </c>
    </row>
    <row r="122" spans="2:11" x14ac:dyDescent="0.25">
      <c r="B122" t="s">
        <v>1414</v>
      </c>
      <c r="D122" s="125" t="s">
        <v>1076</v>
      </c>
      <c r="F122" t="s">
        <v>1972</v>
      </c>
      <c r="H122" t="s">
        <v>651</v>
      </c>
      <c r="I122" t="s">
        <v>1078</v>
      </c>
      <c r="J122" t="s">
        <v>34</v>
      </c>
    </row>
    <row r="123" spans="2:11" x14ac:dyDescent="0.25">
      <c r="B123" t="s">
        <v>1459</v>
      </c>
      <c r="D123" s="125" t="s">
        <v>860</v>
      </c>
      <c r="E123" t="s">
        <v>861</v>
      </c>
      <c r="F123" t="s">
        <v>1973</v>
      </c>
      <c r="H123" t="s">
        <v>544</v>
      </c>
      <c r="I123" t="s">
        <v>863</v>
      </c>
      <c r="J123" t="s">
        <v>42</v>
      </c>
    </row>
    <row r="124" spans="2:11" x14ac:dyDescent="0.25">
      <c r="B124" t="s">
        <v>1142</v>
      </c>
      <c r="D124" s="125" t="s">
        <v>1143</v>
      </c>
      <c r="E124" t="s">
        <v>1144</v>
      </c>
      <c r="F124" t="s">
        <v>1184</v>
      </c>
      <c r="H124" t="s">
        <v>406</v>
      </c>
      <c r="I124" t="s">
        <v>1146</v>
      </c>
      <c r="J124" t="s">
        <v>42</v>
      </c>
    </row>
    <row r="125" spans="2:11" x14ac:dyDescent="0.25">
      <c r="B125" t="s">
        <v>1309</v>
      </c>
      <c r="D125" s="125" t="s">
        <v>946</v>
      </c>
      <c r="F125" t="s">
        <v>1974</v>
      </c>
      <c r="H125" t="s">
        <v>780</v>
      </c>
      <c r="I125" t="s">
        <v>790</v>
      </c>
      <c r="J125" t="s">
        <v>60</v>
      </c>
    </row>
    <row r="126" spans="2:11" x14ac:dyDescent="0.25">
      <c r="B126" t="s">
        <v>1725</v>
      </c>
      <c r="D126" s="125" t="s">
        <v>1736</v>
      </c>
      <c r="F126" t="s">
        <v>1737</v>
      </c>
      <c r="H126" t="s">
        <v>461</v>
      </c>
      <c r="I126" t="s">
        <v>1728</v>
      </c>
      <c r="J126" t="s">
        <v>1266</v>
      </c>
      <c r="K126" s="252">
        <v>43894</v>
      </c>
    </row>
    <row r="127" spans="2:11" x14ac:dyDescent="0.25">
      <c r="B127" t="s">
        <v>1660</v>
      </c>
      <c r="D127" s="125" t="s">
        <v>1661</v>
      </c>
      <c r="J127" t="s">
        <v>42</v>
      </c>
      <c r="K127" s="252">
        <v>43867</v>
      </c>
    </row>
    <row r="128" spans="2:11" x14ac:dyDescent="0.25">
      <c r="B128" t="s">
        <v>1804</v>
      </c>
      <c r="D128" s="125" t="s">
        <v>1805</v>
      </c>
      <c r="F128" t="s">
        <v>1806</v>
      </c>
      <c r="H128" t="s">
        <v>441</v>
      </c>
      <c r="I128" t="s">
        <v>1807</v>
      </c>
      <c r="J128" t="s">
        <v>21</v>
      </c>
      <c r="K128" s="252">
        <v>44048</v>
      </c>
    </row>
    <row r="129" spans="2:11" x14ac:dyDescent="0.25">
      <c r="B129" t="s">
        <v>1373</v>
      </c>
      <c r="D129" s="125" t="s">
        <v>1070</v>
      </c>
      <c r="F129" t="s">
        <v>2038</v>
      </c>
      <c r="H129" t="s">
        <v>84</v>
      </c>
      <c r="I129" t="s">
        <v>1072</v>
      </c>
      <c r="J129" t="s">
        <v>1266</v>
      </c>
    </row>
    <row r="130" spans="2:11" x14ac:dyDescent="0.25">
      <c r="B130" t="s">
        <v>2039</v>
      </c>
      <c r="D130" s="125" t="s">
        <v>1475</v>
      </c>
      <c r="F130" t="s">
        <v>2040</v>
      </c>
      <c r="H130" t="s">
        <v>441</v>
      </c>
      <c r="I130" t="s">
        <v>1487</v>
      </c>
      <c r="J130" t="s">
        <v>42</v>
      </c>
    </row>
    <row r="131" spans="2:11" x14ac:dyDescent="0.25">
      <c r="B131" t="s">
        <v>1295</v>
      </c>
      <c r="D131" s="125" t="s">
        <v>945</v>
      </c>
      <c r="F131" t="s">
        <v>1975</v>
      </c>
      <c r="H131" t="s">
        <v>84</v>
      </c>
      <c r="I131" t="s">
        <v>439</v>
      </c>
      <c r="J131" t="s">
        <v>60</v>
      </c>
    </row>
    <row r="132" spans="2:11" x14ac:dyDescent="0.25">
      <c r="B132" t="s">
        <v>1002</v>
      </c>
      <c r="D132" s="125" t="s">
        <v>1003</v>
      </c>
      <c r="F132" t="s">
        <v>1374</v>
      </c>
      <c r="H132" t="s">
        <v>549</v>
      </c>
      <c r="I132" t="s">
        <v>1005</v>
      </c>
      <c r="J132" t="s">
        <v>42</v>
      </c>
    </row>
    <row r="133" spans="2:11" x14ac:dyDescent="0.25">
      <c r="B133" t="s">
        <v>1259</v>
      </c>
      <c r="D133" s="125" t="s">
        <v>1226</v>
      </c>
      <c r="F133" t="s">
        <v>2041</v>
      </c>
      <c r="H133" t="s">
        <v>390</v>
      </c>
      <c r="I133" t="s">
        <v>251</v>
      </c>
      <c r="J133" t="s">
        <v>42</v>
      </c>
    </row>
    <row r="134" spans="2:11" x14ac:dyDescent="0.25">
      <c r="B134" t="s">
        <v>1260</v>
      </c>
      <c r="D134" s="125" t="s">
        <v>1148</v>
      </c>
      <c r="E134" t="s">
        <v>1149</v>
      </c>
      <c r="F134" t="s">
        <v>1200</v>
      </c>
      <c r="H134" t="s">
        <v>84</v>
      </c>
      <c r="I134" t="s">
        <v>1155</v>
      </c>
      <c r="J134" t="s">
        <v>42</v>
      </c>
    </row>
    <row r="135" spans="2:11" x14ac:dyDescent="0.25">
      <c r="B135" t="s">
        <v>1375</v>
      </c>
      <c r="D135" s="125" t="s">
        <v>895</v>
      </c>
      <c r="F135" t="s">
        <v>1415</v>
      </c>
      <c r="H135" t="s">
        <v>581</v>
      </c>
      <c r="I135" t="s">
        <v>897</v>
      </c>
      <c r="J135" t="s">
        <v>42</v>
      </c>
    </row>
    <row r="136" spans="2:11" x14ac:dyDescent="0.25">
      <c r="B136" t="s">
        <v>2042</v>
      </c>
      <c r="D136" s="125" t="s">
        <v>497</v>
      </c>
      <c r="E136" t="s">
        <v>496</v>
      </c>
      <c r="F136" t="s">
        <v>1376</v>
      </c>
      <c r="H136" t="s">
        <v>461</v>
      </c>
      <c r="I136" t="s">
        <v>659</v>
      </c>
      <c r="J136" t="s">
        <v>42</v>
      </c>
    </row>
    <row r="137" spans="2:11" x14ac:dyDescent="0.25">
      <c r="B137" t="s">
        <v>356</v>
      </c>
      <c r="D137" s="125" t="s">
        <v>1774</v>
      </c>
      <c r="F137" t="s">
        <v>1976</v>
      </c>
      <c r="H137" t="s">
        <v>1378</v>
      </c>
      <c r="I137" t="s">
        <v>702</v>
      </c>
      <c r="J137" t="s">
        <v>21</v>
      </c>
    </row>
    <row r="138" spans="2:11" x14ac:dyDescent="0.25">
      <c r="B138" t="s">
        <v>1379</v>
      </c>
      <c r="H138" t="s">
        <v>40</v>
      </c>
      <c r="J138" t="s">
        <v>21</v>
      </c>
    </row>
    <row r="139" spans="2:11" x14ac:dyDescent="0.25">
      <c r="B139" t="s">
        <v>1272</v>
      </c>
      <c r="D139" s="125" t="s">
        <v>1227</v>
      </c>
      <c r="F139" t="s">
        <v>1273</v>
      </c>
      <c r="G139" t="s">
        <v>1342</v>
      </c>
      <c r="H139" t="s">
        <v>1196</v>
      </c>
      <c r="I139" t="s">
        <v>652</v>
      </c>
      <c r="J139" t="s">
        <v>42</v>
      </c>
    </row>
    <row r="140" spans="2:11" x14ac:dyDescent="0.25">
      <c r="B140" t="s">
        <v>1885</v>
      </c>
      <c r="D140" s="125" t="s">
        <v>1888</v>
      </c>
      <c r="F140" t="s">
        <v>1882</v>
      </c>
      <c r="H140" t="s">
        <v>1884</v>
      </c>
      <c r="I140" t="s">
        <v>1883</v>
      </c>
      <c r="J140" t="s">
        <v>42</v>
      </c>
      <c r="K140" s="252">
        <v>44111</v>
      </c>
    </row>
    <row r="141" spans="2:11" x14ac:dyDescent="0.25">
      <c r="B141" t="s">
        <v>1752</v>
      </c>
      <c r="D141" s="125" t="s">
        <v>1753</v>
      </c>
      <c r="F141" t="s">
        <v>2043</v>
      </c>
      <c r="H141" t="s">
        <v>461</v>
      </c>
      <c r="I141" t="s">
        <v>1755</v>
      </c>
      <c r="J141" t="s">
        <v>411</v>
      </c>
      <c r="K141" s="252">
        <v>43985</v>
      </c>
    </row>
    <row r="142" spans="2:11" x14ac:dyDescent="0.25">
      <c r="B142" t="s">
        <v>1620</v>
      </c>
      <c r="D142" s="125" t="s">
        <v>1615</v>
      </c>
      <c r="F142" t="s">
        <v>2044</v>
      </c>
      <c r="H142" t="s">
        <v>1378</v>
      </c>
      <c r="I142" t="s">
        <v>1627</v>
      </c>
      <c r="J142" t="s">
        <v>1025</v>
      </c>
      <c r="K142" s="252">
        <v>43867</v>
      </c>
    </row>
    <row r="143" spans="2:11" x14ac:dyDescent="0.25">
      <c r="B143" t="s">
        <v>1274</v>
      </c>
      <c r="D143" s="125" t="s">
        <v>1228</v>
      </c>
      <c r="F143" t="s">
        <v>2045</v>
      </c>
      <c r="H143" t="s">
        <v>84</v>
      </c>
      <c r="I143" t="s">
        <v>428</v>
      </c>
      <c r="J143" t="s">
        <v>49</v>
      </c>
    </row>
    <row r="144" spans="2:11" x14ac:dyDescent="0.25">
      <c r="B144" t="s">
        <v>1275</v>
      </c>
      <c r="D144" s="125" t="s">
        <v>1152</v>
      </c>
      <c r="E144" t="s">
        <v>1154</v>
      </c>
      <c r="F144" t="s">
        <v>1153</v>
      </c>
      <c r="H144" t="s">
        <v>461</v>
      </c>
      <c r="I144" t="s">
        <v>1156</v>
      </c>
      <c r="J144" t="s">
        <v>42</v>
      </c>
    </row>
    <row r="145" spans="2:11" x14ac:dyDescent="0.25">
      <c r="B145" t="s">
        <v>1895</v>
      </c>
      <c r="D145" s="125" t="s">
        <v>1180</v>
      </c>
      <c r="F145" t="s">
        <v>1276</v>
      </c>
      <c r="H145" t="s">
        <v>398</v>
      </c>
      <c r="I145" t="s">
        <v>1181</v>
      </c>
      <c r="J145" t="s">
        <v>823</v>
      </c>
    </row>
    <row r="146" spans="2:11" x14ac:dyDescent="0.25">
      <c r="B146" t="s">
        <v>1874</v>
      </c>
      <c r="D146" s="125" t="s">
        <v>1875</v>
      </c>
      <c r="F146" t="s">
        <v>2046</v>
      </c>
      <c r="H146" t="s">
        <v>520</v>
      </c>
      <c r="I146" t="s">
        <v>1877</v>
      </c>
      <c r="J146" t="s">
        <v>732</v>
      </c>
      <c r="K146" s="252">
        <v>44111</v>
      </c>
    </row>
    <row r="147" spans="2:11" x14ac:dyDescent="0.25">
      <c r="B147" t="s">
        <v>1025</v>
      </c>
      <c r="D147" s="125">
        <v>0</v>
      </c>
    </row>
    <row r="148" spans="2:11" x14ac:dyDescent="0.25">
      <c r="B148" t="s">
        <v>1908</v>
      </c>
      <c r="D148" s="125" t="s">
        <v>1909</v>
      </c>
      <c r="F148" t="s">
        <v>2047</v>
      </c>
      <c r="H148" t="s">
        <v>1378</v>
      </c>
      <c r="I148" t="s">
        <v>1627</v>
      </c>
      <c r="J148" t="s">
        <v>21</v>
      </c>
      <c r="K148" s="252">
        <v>44111</v>
      </c>
    </row>
    <row r="149" spans="2:11" x14ac:dyDescent="0.25">
      <c r="B149" t="s">
        <v>1441</v>
      </c>
      <c r="D149" s="125" t="s">
        <v>871</v>
      </c>
      <c r="F149" t="s">
        <v>1328</v>
      </c>
      <c r="G149" t="s">
        <v>1343</v>
      </c>
      <c r="H149" t="s">
        <v>112</v>
      </c>
      <c r="I149" t="s">
        <v>873</v>
      </c>
      <c r="J149" t="s">
        <v>42</v>
      </c>
    </row>
    <row r="150" spans="2:11" x14ac:dyDescent="0.25">
      <c r="B150" t="s">
        <v>1855</v>
      </c>
      <c r="D150" s="125" t="s">
        <v>1856</v>
      </c>
      <c r="F150" t="s">
        <v>1977</v>
      </c>
      <c r="H150" t="s">
        <v>461</v>
      </c>
      <c r="I150" t="s">
        <v>1858</v>
      </c>
      <c r="J150" t="s">
        <v>411</v>
      </c>
      <c r="K150" s="252">
        <v>44078</v>
      </c>
    </row>
    <row r="151" spans="2:11" x14ac:dyDescent="0.25">
      <c r="B151" t="s">
        <v>1380</v>
      </c>
      <c r="D151" s="125" t="s">
        <v>771</v>
      </c>
      <c r="F151" t="s">
        <v>1978</v>
      </c>
      <c r="H151" t="s">
        <v>779</v>
      </c>
      <c r="I151" t="s">
        <v>788</v>
      </c>
      <c r="J151" t="s">
        <v>60</v>
      </c>
    </row>
    <row r="152" spans="2:11" x14ac:dyDescent="0.25">
      <c r="B152" t="s">
        <v>1496</v>
      </c>
      <c r="D152" s="125" t="s">
        <v>1497</v>
      </c>
      <c r="F152" t="s">
        <v>1505</v>
      </c>
      <c r="H152" t="s">
        <v>1450</v>
      </c>
      <c r="I152" t="s">
        <v>1504</v>
      </c>
      <c r="J152" t="s">
        <v>823</v>
      </c>
    </row>
    <row r="153" spans="2:11" x14ac:dyDescent="0.25">
      <c r="B153" t="s">
        <v>1109</v>
      </c>
      <c r="D153" s="125" t="s">
        <v>1110</v>
      </c>
      <c r="F153" t="s">
        <v>1979</v>
      </c>
      <c r="H153" t="s">
        <v>1185</v>
      </c>
      <c r="I153" t="s">
        <v>1112</v>
      </c>
      <c r="J153" t="s">
        <v>40</v>
      </c>
    </row>
    <row r="154" spans="2:11" x14ac:dyDescent="0.25">
      <c r="B154" t="s">
        <v>1344</v>
      </c>
      <c r="D154" s="125" t="s">
        <v>1020</v>
      </c>
      <c r="F154" t="s">
        <v>2048</v>
      </c>
      <c r="H154" t="s">
        <v>581</v>
      </c>
      <c r="I154" t="s">
        <v>1018</v>
      </c>
      <c r="J154" t="s">
        <v>48</v>
      </c>
    </row>
    <row r="155" spans="2:11" x14ac:dyDescent="0.25">
      <c r="B155" t="s">
        <v>1730</v>
      </c>
      <c r="D155" s="125" t="s">
        <v>643</v>
      </c>
      <c r="F155" t="s">
        <v>1203</v>
      </c>
      <c r="G155" t="s">
        <v>1204</v>
      </c>
      <c r="H155" t="s">
        <v>645</v>
      </c>
      <c r="I155" t="s">
        <v>685</v>
      </c>
      <c r="J155" t="s">
        <v>40</v>
      </c>
    </row>
    <row r="156" spans="2:11" x14ac:dyDescent="0.25">
      <c r="B156" t="s">
        <v>1683</v>
      </c>
      <c r="D156" s="125" t="s">
        <v>1687</v>
      </c>
      <c r="F156" t="s">
        <v>2049</v>
      </c>
      <c r="H156" t="s">
        <v>112</v>
      </c>
      <c r="I156" t="s">
        <v>1685</v>
      </c>
      <c r="J156" t="s">
        <v>1134</v>
      </c>
      <c r="K156" s="252">
        <v>43894</v>
      </c>
    </row>
    <row r="157" spans="2:11" x14ac:dyDescent="0.25">
      <c r="B157" t="s">
        <v>1694</v>
      </c>
      <c r="J157" t="s">
        <v>1134</v>
      </c>
      <c r="K157" s="252">
        <v>43894</v>
      </c>
    </row>
    <row r="158" spans="2:11" x14ac:dyDescent="0.25">
      <c r="B158" t="s">
        <v>1662</v>
      </c>
      <c r="D158" s="125" t="s">
        <v>1663</v>
      </c>
      <c r="F158" t="s">
        <v>1664</v>
      </c>
      <c r="H158" t="s">
        <v>581</v>
      </c>
      <c r="I158" t="s">
        <v>1665</v>
      </c>
      <c r="J158" t="s">
        <v>42</v>
      </c>
      <c r="K158" s="252">
        <v>43867</v>
      </c>
    </row>
    <row r="159" spans="2:11" x14ac:dyDescent="0.25">
      <c r="B159" t="s">
        <v>2050</v>
      </c>
      <c r="D159" s="125" t="s">
        <v>805</v>
      </c>
      <c r="H159" t="s">
        <v>40</v>
      </c>
      <c r="J159" t="s">
        <v>21</v>
      </c>
    </row>
    <row r="160" spans="2:11" x14ac:dyDescent="0.25">
      <c r="B160" t="s">
        <v>1747</v>
      </c>
      <c r="D160" s="125" t="s">
        <v>1748</v>
      </c>
      <c r="F160" t="s">
        <v>1749</v>
      </c>
      <c r="H160" t="s">
        <v>1750</v>
      </c>
      <c r="I160" t="s">
        <v>1751</v>
      </c>
      <c r="J160" t="s">
        <v>411</v>
      </c>
      <c r="K160" s="252">
        <v>43985</v>
      </c>
    </row>
    <row r="161" spans="2:11" x14ac:dyDescent="0.25">
      <c r="B161" t="s">
        <v>90</v>
      </c>
      <c r="D161" s="125" t="s">
        <v>806</v>
      </c>
      <c r="H161" t="s">
        <v>40</v>
      </c>
      <c r="J161" t="s">
        <v>21</v>
      </c>
    </row>
    <row r="162" spans="2:11" x14ac:dyDescent="0.25">
      <c r="B162" t="s">
        <v>1706</v>
      </c>
      <c r="J162" t="s">
        <v>21</v>
      </c>
      <c r="K162" s="252">
        <v>43894</v>
      </c>
    </row>
    <row r="163" spans="2:11" x14ac:dyDescent="0.25">
      <c r="B163" t="s">
        <v>229</v>
      </c>
      <c r="D163" s="125">
        <v>0</v>
      </c>
      <c r="G163" t="s">
        <v>19</v>
      </c>
      <c r="J163" t="s">
        <v>229</v>
      </c>
    </row>
    <row r="164" spans="2:11" x14ac:dyDescent="0.25">
      <c r="B164" t="s">
        <v>1930</v>
      </c>
      <c r="D164" s="125" t="s">
        <v>1931</v>
      </c>
      <c r="F164" t="s">
        <v>1932</v>
      </c>
      <c r="H164" t="s">
        <v>52</v>
      </c>
      <c r="I164" t="s">
        <v>1933</v>
      </c>
      <c r="J164" t="s">
        <v>411</v>
      </c>
      <c r="K164" s="252">
        <v>44139</v>
      </c>
    </row>
    <row r="165" spans="2:11" x14ac:dyDescent="0.25">
      <c r="B165" t="s">
        <v>60</v>
      </c>
      <c r="F165" t="s">
        <v>1434</v>
      </c>
      <c r="J165" t="s">
        <v>60</v>
      </c>
    </row>
    <row r="166" spans="2:11" x14ac:dyDescent="0.25">
      <c r="B166" t="s">
        <v>1731</v>
      </c>
      <c r="D166" s="125" t="s">
        <v>1732</v>
      </c>
      <c r="F166" t="s">
        <v>1733</v>
      </c>
      <c r="H166" t="s">
        <v>112</v>
      </c>
      <c r="I166" t="s">
        <v>421</v>
      </c>
      <c r="J166" t="s">
        <v>411</v>
      </c>
      <c r="K166" s="252">
        <v>43894</v>
      </c>
    </row>
    <row r="167" spans="2:11" x14ac:dyDescent="0.25">
      <c r="B167" t="s">
        <v>506</v>
      </c>
      <c r="D167" s="125" t="s">
        <v>503</v>
      </c>
      <c r="F167" t="s">
        <v>1416</v>
      </c>
      <c r="H167" t="s">
        <v>505</v>
      </c>
      <c r="I167" t="s">
        <v>660</v>
      </c>
      <c r="J167" t="s">
        <v>42</v>
      </c>
    </row>
    <row r="168" spans="2:11" x14ac:dyDescent="0.25">
      <c r="B168" t="s">
        <v>1868</v>
      </c>
      <c r="J168" t="s">
        <v>1134</v>
      </c>
      <c r="K168" s="252">
        <v>44078</v>
      </c>
    </row>
    <row r="169" spans="2:11" x14ac:dyDescent="0.25">
      <c r="B169" t="s">
        <v>478</v>
      </c>
      <c r="D169" s="125" t="s">
        <v>1229</v>
      </c>
      <c r="G169" t="s">
        <v>12</v>
      </c>
      <c r="J169" t="s">
        <v>45</v>
      </c>
    </row>
    <row r="170" spans="2:11" x14ac:dyDescent="0.25">
      <c r="B170" t="s">
        <v>360</v>
      </c>
      <c r="D170" s="125" t="s">
        <v>1230</v>
      </c>
      <c r="F170" t="s">
        <v>1430</v>
      </c>
      <c r="H170" t="s">
        <v>397</v>
      </c>
      <c r="I170" t="s">
        <v>429</v>
      </c>
      <c r="J170" t="s">
        <v>42</v>
      </c>
    </row>
    <row r="171" spans="2:11" x14ac:dyDescent="0.25">
      <c r="B171" t="s">
        <v>1345</v>
      </c>
      <c r="D171" s="125" t="s">
        <v>1038</v>
      </c>
      <c r="F171" t="s">
        <v>1454</v>
      </c>
      <c r="H171" t="s">
        <v>639</v>
      </c>
      <c r="I171" t="s">
        <v>1039</v>
      </c>
      <c r="J171" t="s">
        <v>42</v>
      </c>
    </row>
    <row r="172" spans="2:11" x14ac:dyDescent="0.25">
      <c r="B172" t="s">
        <v>1780</v>
      </c>
      <c r="J172" t="s">
        <v>21</v>
      </c>
      <c r="K172" s="252">
        <v>44048</v>
      </c>
    </row>
    <row r="173" spans="2:11" ht="30" x14ac:dyDescent="0.25">
      <c r="B173" t="s">
        <v>1622</v>
      </c>
      <c r="D173" s="125" t="s">
        <v>1617</v>
      </c>
      <c r="F173" s="254" t="s">
        <v>2051</v>
      </c>
      <c r="H173" t="s">
        <v>115</v>
      </c>
      <c r="I173" t="s">
        <v>445</v>
      </c>
      <c r="J173" t="s">
        <v>1025</v>
      </c>
      <c r="K173" s="252">
        <v>43867</v>
      </c>
    </row>
    <row r="174" spans="2:11" x14ac:dyDescent="0.25">
      <c r="B174" t="s">
        <v>1261</v>
      </c>
      <c r="D174" s="125" t="s">
        <v>1231</v>
      </c>
      <c r="F174" t="s">
        <v>1442</v>
      </c>
      <c r="G174" t="s">
        <v>1431</v>
      </c>
      <c r="H174" t="s">
        <v>387</v>
      </c>
      <c r="I174" t="s">
        <v>430</v>
      </c>
      <c r="J174" t="s">
        <v>823</v>
      </c>
    </row>
    <row r="175" spans="2:11" x14ac:dyDescent="0.25">
      <c r="B175" t="s">
        <v>1517</v>
      </c>
      <c r="J175" t="s">
        <v>42</v>
      </c>
    </row>
    <row r="176" spans="2:11" x14ac:dyDescent="0.25">
      <c r="B176" t="s">
        <v>1310</v>
      </c>
      <c r="H176" t="s">
        <v>741</v>
      </c>
      <c r="J176" t="s">
        <v>1266</v>
      </c>
    </row>
    <row r="177" spans="2:11" x14ac:dyDescent="0.25">
      <c r="B177" t="s">
        <v>1692</v>
      </c>
      <c r="D177" s="125" t="s">
        <v>1693</v>
      </c>
      <c r="J177" t="s">
        <v>1134</v>
      </c>
      <c r="K177" s="252">
        <v>43894</v>
      </c>
    </row>
    <row r="178" spans="2:11" x14ac:dyDescent="0.25">
      <c r="B178" t="s">
        <v>1134</v>
      </c>
      <c r="D178" s="125" t="s">
        <v>1135</v>
      </c>
      <c r="F178" t="s">
        <v>1136</v>
      </c>
      <c r="H178" t="s">
        <v>549</v>
      </c>
      <c r="I178" t="s">
        <v>1005</v>
      </c>
      <c r="J178" t="s">
        <v>1025</v>
      </c>
    </row>
    <row r="179" spans="2:11" x14ac:dyDescent="0.25">
      <c r="B179" t="s">
        <v>1346</v>
      </c>
      <c r="H179" t="s">
        <v>40</v>
      </c>
      <c r="J179" t="s">
        <v>21</v>
      </c>
    </row>
    <row r="180" spans="2:11" x14ac:dyDescent="0.25">
      <c r="B180" t="s">
        <v>1262</v>
      </c>
      <c r="D180" s="125">
        <v>0</v>
      </c>
      <c r="J180" t="s">
        <v>42</v>
      </c>
    </row>
    <row r="181" spans="2:11" x14ac:dyDescent="0.25">
      <c r="B181" t="s">
        <v>1277</v>
      </c>
      <c r="D181" s="125" t="s">
        <v>508</v>
      </c>
      <c r="E181" t="s">
        <v>509</v>
      </c>
      <c r="F181" t="s">
        <v>1347</v>
      </c>
      <c r="G181" t="s">
        <v>1432</v>
      </c>
      <c r="H181" t="s">
        <v>512</v>
      </c>
      <c r="I181" t="s">
        <v>424</v>
      </c>
      <c r="J181" t="s">
        <v>42</v>
      </c>
    </row>
    <row r="182" spans="2:11" x14ac:dyDescent="0.25">
      <c r="B182" t="s">
        <v>1887</v>
      </c>
      <c r="D182" s="125" t="s">
        <v>1890</v>
      </c>
      <c r="F182" t="s">
        <v>1893</v>
      </c>
      <c r="H182" t="s">
        <v>115</v>
      </c>
      <c r="I182" t="s">
        <v>1894</v>
      </c>
      <c r="J182" t="s">
        <v>42</v>
      </c>
      <c r="K182" s="252">
        <v>44111</v>
      </c>
    </row>
    <row r="183" spans="2:11" x14ac:dyDescent="0.25">
      <c r="B183" t="s">
        <v>1278</v>
      </c>
      <c r="D183" s="125" t="s">
        <v>1757</v>
      </c>
      <c r="F183" t="s">
        <v>1758</v>
      </c>
      <c r="H183" t="s">
        <v>2035</v>
      </c>
      <c r="I183" t="s">
        <v>1759</v>
      </c>
      <c r="J183" t="s">
        <v>42</v>
      </c>
    </row>
    <row r="184" spans="2:11" x14ac:dyDescent="0.25">
      <c r="B184" t="s">
        <v>1311</v>
      </c>
      <c r="D184" s="125" t="s">
        <v>1044</v>
      </c>
      <c r="F184" t="s">
        <v>1329</v>
      </c>
      <c r="H184" t="s">
        <v>570</v>
      </c>
      <c r="I184" t="s">
        <v>1047</v>
      </c>
      <c r="J184" t="s">
        <v>42</v>
      </c>
    </row>
    <row r="185" spans="2:11" x14ac:dyDescent="0.25">
      <c r="B185" t="s">
        <v>1498</v>
      </c>
      <c r="D185" s="125" t="s">
        <v>1499</v>
      </c>
      <c r="F185" t="s">
        <v>1500</v>
      </c>
      <c r="H185" t="s">
        <v>1205</v>
      </c>
      <c r="I185" t="s">
        <v>663</v>
      </c>
      <c r="J185" t="s">
        <v>823</v>
      </c>
    </row>
    <row r="186" spans="2:11" x14ac:dyDescent="0.25">
      <c r="B186" t="s">
        <v>1466</v>
      </c>
      <c r="D186" s="125" t="s">
        <v>1467</v>
      </c>
      <c r="F186" t="s">
        <v>2052</v>
      </c>
      <c r="H186" t="s">
        <v>441</v>
      </c>
      <c r="I186" t="s">
        <v>1487</v>
      </c>
      <c r="J186" t="s">
        <v>42</v>
      </c>
    </row>
    <row r="187" spans="2:11" x14ac:dyDescent="0.25">
      <c r="B187" t="s">
        <v>804</v>
      </c>
      <c r="D187" s="125" t="s">
        <v>803</v>
      </c>
    </row>
    <row r="188" spans="2:11" x14ac:dyDescent="0.25">
      <c r="B188" t="s">
        <v>1592</v>
      </c>
      <c r="D188" s="125" t="s">
        <v>1593</v>
      </c>
      <c r="F188" t="s">
        <v>1723</v>
      </c>
      <c r="H188" t="s">
        <v>112</v>
      </c>
      <c r="I188" t="s">
        <v>1724</v>
      </c>
      <c r="J188" t="s">
        <v>1266</v>
      </c>
    </row>
    <row r="189" spans="2:11" x14ac:dyDescent="0.25">
      <c r="B189" t="s">
        <v>1312</v>
      </c>
      <c r="D189" s="125" t="s">
        <v>846</v>
      </c>
      <c r="F189" t="s">
        <v>1980</v>
      </c>
      <c r="H189" t="s">
        <v>461</v>
      </c>
      <c r="I189" t="s">
        <v>848</v>
      </c>
      <c r="J189" t="s">
        <v>42</v>
      </c>
    </row>
    <row r="190" spans="2:11" x14ac:dyDescent="0.25">
      <c r="B190" t="s">
        <v>1515</v>
      </c>
      <c r="D190" s="125" t="s">
        <v>1232</v>
      </c>
      <c r="F190" t="s">
        <v>1981</v>
      </c>
      <c r="H190" t="s">
        <v>433</v>
      </c>
      <c r="I190" t="s">
        <v>434</v>
      </c>
      <c r="J190" t="s">
        <v>1266</v>
      </c>
    </row>
    <row r="191" spans="2:11" x14ac:dyDescent="0.25">
      <c r="B191" t="s">
        <v>1514</v>
      </c>
      <c r="D191" s="125" t="s">
        <v>1513</v>
      </c>
      <c r="F191" t="s">
        <v>2053</v>
      </c>
      <c r="H191" t="s">
        <v>461</v>
      </c>
      <c r="I191" t="s">
        <v>1512</v>
      </c>
      <c r="J191" t="s">
        <v>42</v>
      </c>
    </row>
    <row r="192" spans="2:11" x14ac:dyDescent="0.25">
      <c r="B192" t="s">
        <v>1279</v>
      </c>
      <c r="D192" s="125" t="s">
        <v>1233</v>
      </c>
      <c r="F192" t="s">
        <v>2054</v>
      </c>
      <c r="H192" t="s">
        <v>112</v>
      </c>
      <c r="I192" t="s">
        <v>435</v>
      </c>
      <c r="J192" t="s">
        <v>40</v>
      </c>
    </row>
    <row r="193" spans="2:11" x14ac:dyDescent="0.25">
      <c r="B193" t="s">
        <v>1507</v>
      </c>
      <c r="D193" s="125" t="s">
        <v>1508</v>
      </c>
      <c r="F193" t="s">
        <v>1982</v>
      </c>
      <c r="H193" t="s">
        <v>112</v>
      </c>
      <c r="I193" t="s">
        <v>435</v>
      </c>
      <c r="J193" t="s">
        <v>40</v>
      </c>
    </row>
    <row r="194" spans="2:11" x14ac:dyDescent="0.25">
      <c r="B194" t="s">
        <v>11</v>
      </c>
      <c r="D194" s="125" t="s">
        <v>882</v>
      </c>
      <c r="F194" t="s">
        <v>1382</v>
      </c>
      <c r="H194" t="s">
        <v>441</v>
      </c>
      <c r="I194" t="s">
        <v>884</v>
      </c>
      <c r="J194" t="s">
        <v>42</v>
      </c>
    </row>
    <row r="195" spans="2:11" x14ac:dyDescent="0.25">
      <c r="B195" t="s">
        <v>1551</v>
      </c>
      <c r="J195" t="s">
        <v>42</v>
      </c>
    </row>
    <row r="196" spans="2:11" x14ac:dyDescent="0.25">
      <c r="B196" t="s">
        <v>1280</v>
      </c>
      <c r="D196" s="125" t="s">
        <v>1163</v>
      </c>
      <c r="E196" t="s">
        <v>1165</v>
      </c>
      <c r="F196" t="s">
        <v>1281</v>
      </c>
      <c r="H196" t="s">
        <v>723</v>
      </c>
      <c r="I196" t="s">
        <v>1166</v>
      </c>
      <c r="J196" t="s">
        <v>42</v>
      </c>
    </row>
    <row r="197" spans="2:11" x14ac:dyDescent="0.25">
      <c r="B197" t="s">
        <v>1916</v>
      </c>
      <c r="D197" s="125" t="s">
        <v>1917</v>
      </c>
      <c r="F197" t="s">
        <v>2055</v>
      </c>
      <c r="H197" t="s">
        <v>461</v>
      </c>
      <c r="I197" t="s">
        <v>1919</v>
      </c>
      <c r="J197" t="s">
        <v>1134</v>
      </c>
      <c r="K197" s="252">
        <v>44139</v>
      </c>
    </row>
    <row r="198" spans="2:11" ht="30" x14ac:dyDescent="0.25">
      <c r="B198" t="s">
        <v>1443</v>
      </c>
      <c r="F198" s="254" t="s">
        <v>1983</v>
      </c>
      <c r="H198" t="s">
        <v>1197</v>
      </c>
      <c r="I198" t="s">
        <v>1028</v>
      </c>
      <c r="J198" t="s">
        <v>40</v>
      </c>
    </row>
    <row r="199" spans="2:11" x14ac:dyDescent="0.25">
      <c r="B199" t="s">
        <v>366</v>
      </c>
      <c r="D199" s="125" t="s">
        <v>1234</v>
      </c>
      <c r="F199" t="s">
        <v>2056</v>
      </c>
      <c r="H199" t="s">
        <v>84</v>
      </c>
      <c r="I199" t="s">
        <v>436</v>
      </c>
      <c r="J199" t="s">
        <v>42</v>
      </c>
    </row>
    <row r="200" spans="2:11" x14ac:dyDescent="0.25">
      <c r="B200" t="s">
        <v>647</v>
      </c>
      <c r="D200" s="125" t="s">
        <v>1235</v>
      </c>
      <c r="F200" t="s">
        <v>2091</v>
      </c>
      <c r="G200" t="s">
        <v>438</v>
      </c>
      <c r="H200" t="s">
        <v>84</v>
      </c>
      <c r="I200" t="s">
        <v>439</v>
      </c>
      <c r="J200" t="s">
        <v>40</v>
      </c>
    </row>
    <row r="201" spans="2:11" x14ac:dyDescent="0.25">
      <c r="B201" t="s">
        <v>1186</v>
      </c>
      <c r="D201" s="125" t="s">
        <v>1236</v>
      </c>
      <c r="F201" t="s">
        <v>2057</v>
      </c>
      <c r="H201" t="s">
        <v>387</v>
      </c>
      <c r="I201" t="s">
        <v>440</v>
      </c>
      <c r="J201" t="s">
        <v>42</v>
      </c>
    </row>
    <row r="202" spans="2:11" x14ac:dyDescent="0.25">
      <c r="B202" t="s">
        <v>1566</v>
      </c>
      <c r="D202" s="125" t="s">
        <v>1564</v>
      </c>
      <c r="F202" t="s">
        <v>1984</v>
      </c>
      <c r="H202" t="s">
        <v>1378</v>
      </c>
      <c r="I202" t="s">
        <v>1563</v>
      </c>
      <c r="J202" t="s">
        <v>732</v>
      </c>
    </row>
    <row r="203" spans="2:11" x14ac:dyDescent="0.25">
      <c r="B203" t="s">
        <v>367</v>
      </c>
      <c r="D203" s="125" t="s">
        <v>1237</v>
      </c>
      <c r="F203" t="s">
        <v>2058</v>
      </c>
      <c r="H203" t="s">
        <v>392</v>
      </c>
      <c r="I203" t="s">
        <v>656</v>
      </c>
      <c r="J203" t="s">
        <v>42</v>
      </c>
    </row>
    <row r="204" spans="2:11" x14ac:dyDescent="0.25">
      <c r="B204" t="s">
        <v>1313</v>
      </c>
      <c r="D204" s="125" t="s">
        <v>865</v>
      </c>
      <c r="E204" t="s">
        <v>866</v>
      </c>
      <c r="F204" t="s">
        <v>1348</v>
      </c>
      <c r="H204" t="s">
        <v>1197</v>
      </c>
      <c r="I204" t="s">
        <v>275</v>
      </c>
      <c r="J204" t="s">
        <v>42</v>
      </c>
    </row>
    <row r="205" spans="2:11" x14ac:dyDescent="0.25">
      <c r="B205" t="s">
        <v>1383</v>
      </c>
      <c r="D205" s="125" t="s">
        <v>727</v>
      </c>
      <c r="F205" t="s">
        <v>1985</v>
      </c>
      <c r="H205" t="s">
        <v>723</v>
      </c>
      <c r="I205" t="s">
        <v>729</v>
      </c>
      <c r="J205" t="s">
        <v>1256</v>
      </c>
    </row>
    <row r="206" spans="2:11" x14ac:dyDescent="0.25">
      <c r="B206" t="s">
        <v>1644</v>
      </c>
      <c r="D206" s="125" t="s">
        <v>1645</v>
      </c>
      <c r="J206" t="s">
        <v>42</v>
      </c>
      <c r="K206" s="252">
        <v>43867</v>
      </c>
    </row>
    <row r="207" spans="2:11" x14ac:dyDescent="0.25">
      <c r="B207" t="s">
        <v>1953</v>
      </c>
    </row>
    <row r="208" spans="2:11" x14ac:dyDescent="0.25">
      <c r="B208" t="s">
        <v>1384</v>
      </c>
      <c r="D208" s="125" t="s">
        <v>841</v>
      </c>
      <c r="E208" t="s">
        <v>842</v>
      </c>
      <c r="F208" t="s">
        <v>1986</v>
      </c>
      <c r="H208" t="s">
        <v>1205</v>
      </c>
      <c r="I208" t="s">
        <v>844</v>
      </c>
      <c r="J208" t="s">
        <v>42</v>
      </c>
    </row>
    <row r="209" spans="2:11" x14ac:dyDescent="0.25">
      <c r="B209" t="s">
        <v>1385</v>
      </c>
      <c r="D209" s="125" t="s">
        <v>1125</v>
      </c>
      <c r="F209" t="s">
        <v>1349</v>
      </c>
      <c r="H209" t="s">
        <v>459</v>
      </c>
      <c r="J209" t="s">
        <v>42</v>
      </c>
    </row>
    <row r="210" spans="2:11" x14ac:dyDescent="0.25">
      <c r="B210" t="s">
        <v>1187</v>
      </c>
      <c r="D210" s="125" t="s">
        <v>573</v>
      </c>
      <c r="F210" t="s">
        <v>2059</v>
      </c>
      <c r="H210" t="s">
        <v>1263</v>
      </c>
      <c r="I210" t="s">
        <v>674</v>
      </c>
      <c r="J210" t="s">
        <v>823</v>
      </c>
    </row>
    <row r="211" spans="2:11" x14ac:dyDescent="0.25">
      <c r="B211" t="s">
        <v>588</v>
      </c>
      <c r="D211" s="125" t="s">
        <v>1079</v>
      </c>
      <c r="E211" t="s">
        <v>589</v>
      </c>
      <c r="F211" t="s">
        <v>1770</v>
      </c>
      <c r="H211" t="s">
        <v>1771</v>
      </c>
      <c r="I211" t="s">
        <v>1772</v>
      </c>
      <c r="J211" t="s">
        <v>34</v>
      </c>
    </row>
    <row r="212" spans="2:11" x14ac:dyDescent="0.25">
      <c r="B212" t="s">
        <v>368</v>
      </c>
      <c r="D212" s="125" t="s">
        <v>574</v>
      </c>
      <c r="F212" t="s">
        <v>817</v>
      </c>
      <c r="H212" t="s">
        <v>532</v>
      </c>
      <c r="I212" t="s">
        <v>675</v>
      </c>
      <c r="J212" t="s">
        <v>823</v>
      </c>
    </row>
    <row r="213" spans="2:11" x14ac:dyDescent="0.25">
      <c r="B213" s="145" t="s">
        <v>1778</v>
      </c>
      <c r="J213" t="s">
        <v>21</v>
      </c>
      <c r="K213" s="252">
        <v>44048</v>
      </c>
    </row>
    <row r="214" spans="2:11" x14ac:dyDescent="0.25">
      <c r="B214" t="s">
        <v>35</v>
      </c>
      <c r="D214" s="125">
        <v>0</v>
      </c>
      <c r="F214" t="s">
        <v>1987</v>
      </c>
      <c r="G214" t="s">
        <v>399</v>
      </c>
      <c r="J214" t="s">
        <v>823</v>
      </c>
    </row>
    <row r="215" spans="2:11" x14ac:dyDescent="0.25">
      <c r="B215" t="s">
        <v>203</v>
      </c>
      <c r="D215" s="125" t="s">
        <v>1238</v>
      </c>
      <c r="F215" t="s">
        <v>2060</v>
      </c>
      <c r="H215" t="s">
        <v>441</v>
      </c>
      <c r="I215" t="s">
        <v>442</v>
      </c>
      <c r="J215" t="s">
        <v>40</v>
      </c>
    </row>
    <row r="216" spans="2:11" x14ac:dyDescent="0.25">
      <c r="B216" t="s">
        <v>591</v>
      </c>
      <c r="D216" s="125" t="s">
        <v>590</v>
      </c>
      <c r="F216" t="s">
        <v>2061</v>
      </c>
      <c r="H216" t="s">
        <v>593</v>
      </c>
      <c r="I216" t="s">
        <v>678</v>
      </c>
      <c r="J216" t="s">
        <v>34</v>
      </c>
    </row>
    <row r="217" spans="2:11" x14ac:dyDescent="0.25">
      <c r="B217" t="s">
        <v>1387</v>
      </c>
      <c r="D217" s="125" t="s">
        <v>1030</v>
      </c>
      <c r="J217" t="s">
        <v>40</v>
      </c>
    </row>
    <row r="218" spans="2:11" x14ac:dyDescent="0.25">
      <c r="B218" t="s">
        <v>1288</v>
      </c>
      <c r="D218" s="125" t="s">
        <v>832</v>
      </c>
      <c r="F218" t="s">
        <v>1388</v>
      </c>
      <c r="H218" t="s">
        <v>651</v>
      </c>
      <c r="I218" t="s">
        <v>834</v>
      </c>
      <c r="J218" t="s">
        <v>42</v>
      </c>
    </row>
    <row r="219" spans="2:11" x14ac:dyDescent="0.25">
      <c r="B219" t="s">
        <v>576</v>
      </c>
      <c r="D219" s="125" t="s">
        <v>571</v>
      </c>
      <c r="F219" t="s">
        <v>1201</v>
      </c>
      <c r="H219" t="s">
        <v>569</v>
      </c>
      <c r="I219" t="s">
        <v>672</v>
      </c>
      <c r="J219" t="s">
        <v>823</v>
      </c>
    </row>
    <row r="220" spans="2:11" x14ac:dyDescent="0.25">
      <c r="B220" t="s">
        <v>1859</v>
      </c>
      <c r="D220" s="125" t="s">
        <v>571</v>
      </c>
      <c r="F220" t="s">
        <v>1988</v>
      </c>
      <c r="H220" t="s">
        <v>461</v>
      </c>
      <c r="I220" t="s">
        <v>1922</v>
      </c>
      <c r="J220" t="s">
        <v>411</v>
      </c>
      <c r="K220" s="252">
        <v>44078</v>
      </c>
    </row>
    <row r="221" spans="2:11" x14ac:dyDescent="0.25">
      <c r="B221" t="s">
        <v>1943</v>
      </c>
      <c r="D221" s="125" t="s">
        <v>1944</v>
      </c>
      <c r="F221" t="s">
        <v>1947</v>
      </c>
      <c r="H221" t="s">
        <v>1945</v>
      </c>
      <c r="I221" t="s">
        <v>1946</v>
      </c>
      <c r="J221" t="s">
        <v>42</v>
      </c>
      <c r="K221" s="252">
        <v>44139</v>
      </c>
    </row>
    <row r="222" spans="2:11" x14ac:dyDescent="0.25">
      <c r="B222" t="s">
        <v>1289</v>
      </c>
      <c r="D222" s="125" t="s">
        <v>1115</v>
      </c>
      <c r="F222" t="s">
        <v>1389</v>
      </c>
      <c r="H222" t="s">
        <v>1264</v>
      </c>
      <c r="I222" t="s">
        <v>1118</v>
      </c>
      <c r="J222" t="s">
        <v>42</v>
      </c>
    </row>
    <row r="223" spans="2:11" x14ac:dyDescent="0.25">
      <c r="B223" t="s">
        <v>209</v>
      </c>
      <c r="D223" s="125" t="s">
        <v>1239</v>
      </c>
      <c r="F223" t="s">
        <v>2062</v>
      </c>
      <c r="H223" t="s">
        <v>115</v>
      </c>
      <c r="I223" t="s">
        <v>443</v>
      </c>
      <c r="J223" t="s">
        <v>40</v>
      </c>
    </row>
    <row r="224" spans="2:11" x14ac:dyDescent="0.25">
      <c r="B224" t="s">
        <v>1538</v>
      </c>
      <c r="D224" s="125" t="s">
        <v>1239</v>
      </c>
      <c r="F224" t="s">
        <v>2063</v>
      </c>
      <c r="H224" t="s">
        <v>1263</v>
      </c>
      <c r="I224" t="s">
        <v>1540</v>
      </c>
      <c r="J224" t="s">
        <v>40</v>
      </c>
    </row>
    <row r="225" spans="2:11" x14ac:dyDescent="0.25">
      <c r="B225" t="s">
        <v>513</v>
      </c>
      <c r="D225" s="125" t="s">
        <v>514</v>
      </c>
      <c r="F225" t="s">
        <v>2064</v>
      </c>
      <c r="H225" t="s">
        <v>1455</v>
      </c>
      <c r="I225" t="s">
        <v>661</v>
      </c>
      <c r="J225" t="s">
        <v>42</v>
      </c>
    </row>
    <row r="226" spans="2:11" x14ac:dyDescent="0.25">
      <c r="B226" t="s">
        <v>1331</v>
      </c>
      <c r="D226" s="125" t="s">
        <v>1041</v>
      </c>
      <c r="F226" t="s">
        <v>2065</v>
      </c>
      <c r="H226" t="s">
        <v>461</v>
      </c>
      <c r="I226" t="s">
        <v>656</v>
      </c>
      <c r="J226" t="s">
        <v>42</v>
      </c>
    </row>
    <row r="227" spans="2:11" x14ac:dyDescent="0.25">
      <c r="B227" t="s">
        <v>948</v>
      </c>
      <c r="D227" s="125" t="s">
        <v>951</v>
      </c>
      <c r="F227" t="s">
        <v>1444</v>
      </c>
      <c r="H227" t="s">
        <v>520</v>
      </c>
      <c r="I227" t="s">
        <v>950</v>
      </c>
      <c r="J227" t="s">
        <v>45</v>
      </c>
    </row>
    <row r="228" spans="2:11" x14ac:dyDescent="0.25">
      <c r="B228" t="s">
        <v>562</v>
      </c>
      <c r="D228" s="125" t="s">
        <v>1698</v>
      </c>
      <c r="E228" t="s">
        <v>564</v>
      </c>
      <c r="F228" t="s">
        <v>1697</v>
      </c>
      <c r="H228" t="s">
        <v>566</v>
      </c>
      <c r="I228" t="s">
        <v>671</v>
      </c>
      <c r="J228" t="s">
        <v>1134</v>
      </c>
    </row>
    <row r="229" spans="2:11" x14ac:dyDescent="0.25">
      <c r="B229" t="s">
        <v>1314</v>
      </c>
      <c r="F229" t="s">
        <v>2066</v>
      </c>
      <c r="H229" t="s">
        <v>780</v>
      </c>
      <c r="I229" t="s">
        <v>793</v>
      </c>
      <c r="J229" t="s">
        <v>60</v>
      </c>
    </row>
    <row r="230" spans="2:11" x14ac:dyDescent="0.25">
      <c r="B230" t="s">
        <v>369</v>
      </c>
      <c r="D230" s="125" t="s">
        <v>1240</v>
      </c>
      <c r="F230" t="s">
        <v>2067</v>
      </c>
      <c r="H230" t="s">
        <v>400</v>
      </c>
      <c r="I230" t="s">
        <v>444</v>
      </c>
      <c r="J230" t="s">
        <v>42</v>
      </c>
    </row>
    <row r="231" spans="2:11" x14ac:dyDescent="0.25">
      <c r="B231" t="s">
        <v>960</v>
      </c>
      <c r="D231" s="125">
        <v>0</v>
      </c>
      <c r="H231" t="s">
        <v>40</v>
      </c>
      <c r="J231" t="s">
        <v>21</v>
      </c>
    </row>
    <row r="232" spans="2:11" x14ac:dyDescent="0.25">
      <c r="B232" t="s">
        <v>1188</v>
      </c>
      <c r="D232" s="125" t="s">
        <v>1241</v>
      </c>
      <c r="F232" t="s">
        <v>1350</v>
      </c>
      <c r="H232" t="s">
        <v>401</v>
      </c>
      <c r="I232" t="s">
        <v>445</v>
      </c>
      <c r="J232" t="s">
        <v>42</v>
      </c>
    </row>
    <row r="233" spans="2:11" x14ac:dyDescent="0.25">
      <c r="B233" t="s">
        <v>819</v>
      </c>
      <c r="D233" s="125" t="s">
        <v>820</v>
      </c>
      <c r="F233" t="s">
        <v>1989</v>
      </c>
      <c r="H233" t="s">
        <v>84</v>
      </c>
      <c r="I233" t="s">
        <v>824</v>
      </c>
      <c r="J233" t="s">
        <v>823</v>
      </c>
    </row>
    <row r="234" spans="2:11" x14ac:dyDescent="0.25">
      <c r="B234" t="s">
        <v>1391</v>
      </c>
      <c r="D234" s="125" t="s">
        <v>910</v>
      </c>
      <c r="F234" t="s">
        <v>2068</v>
      </c>
      <c r="H234" t="s">
        <v>913</v>
      </c>
      <c r="I234" t="s">
        <v>912</v>
      </c>
      <c r="J234" t="s">
        <v>42</v>
      </c>
    </row>
    <row r="235" spans="2:11" x14ac:dyDescent="0.25">
      <c r="B235" t="s">
        <v>1792</v>
      </c>
      <c r="D235" s="125" t="s">
        <v>1793</v>
      </c>
      <c r="F235" t="s">
        <v>1794</v>
      </c>
      <c r="H235" t="s">
        <v>1307</v>
      </c>
      <c r="I235" t="s">
        <v>1795</v>
      </c>
      <c r="J235" t="s">
        <v>21</v>
      </c>
      <c r="K235" s="252">
        <v>44048</v>
      </c>
    </row>
    <row r="236" spans="2:11" x14ac:dyDescent="0.25">
      <c r="B236" t="s">
        <v>1189</v>
      </c>
      <c r="D236" s="125" t="s">
        <v>517</v>
      </c>
      <c r="F236" t="s">
        <v>1315</v>
      </c>
      <c r="H236" t="s">
        <v>520</v>
      </c>
      <c r="I236" t="s">
        <v>662</v>
      </c>
      <c r="J236" t="s">
        <v>42</v>
      </c>
    </row>
    <row r="237" spans="2:11" x14ac:dyDescent="0.25">
      <c r="B237" t="s">
        <v>1570</v>
      </c>
      <c r="D237" s="125" t="s">
        <v>1571</v>
      </c>
      <c r="F237" t="s">
        <v>1572</v>
      </c>
      <c r="H237" t="s">
        <v>716</v>
      </c>
      <c r="I237" t="s">
        <v>1573</v>
      </c>
      <c r="J237" t="s">
        <v>823</v>
      </c>
    </row>
    <row r="238" spans="2:11" x14ac:dyDescent="0.25">
      <c r="B238" t="s">
        <v>594</v>
      </c>
      <c r="C238" t="s">
        <v>34</v>
      </c>
      <c r="D238" s="125" t="s">
        <v>1449</v>
      </c>
      <c r="F238" t="s">
        <v>1445</v>
      </c>
      <c r="H238" t="s">
        <v>112</v>
      </c>
      <c r="I238" t="s">
        <v>413</v>
      </c>
      <c r="J238" t="s">
        <v>34</v>
      </c>
    </row>
    <row r="239" spans="2:11" x14ac:dyDescent="0.25">
      <c r="B239" t="s">
        <v>1603</v>
      </c>
      <c r="F239" t="s">
        <v>1604</v>
      </c>
      <c r="J239" t="s">
        <v>40</v>
      </c>
      <c r="K239" s="252">
        <v>43867</v>
      </c>
    </row>
    <row r="240" spans="2:11" x14ac:dyDescent="0.25">
      <c r="B240" t="s">
        <v>1680</v>
      </c>
      <c r="D240" s="125" t="s">
        <v>1691</v>
      </c>
      <c r="F240" t="s">
        <v>1914</v>
      </c>
      <c r="H240" t="s">
        <v>645</v>
      </c>
      <c r="I240" t="s">
        <v>1681</v>
      </c>
      <c r="J240" t="s">
        <v>1134</v>
      </c>
      <c r="K240" s="252">
        <v>43894</v>
      </c>
    </row>
    <row r="241" spans="2:11" x14ac:dyDescent="0.25">
      <c r="B241" t="s">
        <v>1435</v>
      </c>
      <c r="D241" s="125" t="s">
        <v>939</v>
      </c>
      <c r="F241" t="s">
        <v>1990</v>
      </c>
      <c r="H241" t="s">
        <v>544</v>
      </c>
      <c r="I241" t="s">
        <v>936</v>
      </c>
      <c r="J241" t="s">
        <v>60</v>
      </c>
    </row>
    <row r="242" spans="2:11" x14ac:dyDescent="0.25">
      <c r="B242" t="s">
        <v>615</v>
      </c>
      <c r="D242" s="125" t="s">
        <v>1242</v>
      </c>
      <c r="F242" t="s">
        <v>1955</v>
      </c>
      <c r="H242" t="s">
        <v>1205</v>
      </c>
      <c r="I242" t="s">
        <v>735</v>
      </c>
      <c r="J242" t="s">
        <v>49</v>
      </c>
    </row>
    <row r="243" spans="2:11" x14ac:dyDescent="0.25">
      <c r="B243" t="s">
        <v>649</v>
      </c>
      <c r="D243" s="125" t="s">
        <v>1243</v>
      </c>
      <c r="F243" t="s">
        <v>51</v>
      </c>
      <c r="H243" t="s">
        <v>52</v>
      </c>
      <c r="I243" t="s">
        <v>447</v>
      </c>
      <c r="J243" t="s">
        <v>40</v>
      </c>
    </row>
    <row r="244" spans="2:11" x14ac:dyDescent="0.25">
      <c r="B244" t="s">
        <v>963</v>
      </c>
      <c r="D244" s="125" t="s">
        <v>1243</v>
      </c>
      <c r="F244" t="s">
        <v>1991</v>
      </c>
      <c r="H244" t="s">
        <v>651</v>
      </c>
      <c r="I244" t="s">
        <v>653</v>
      </c>
      <c r="J244" t="s">
        <v>40</v>
      </c>
    </row>
    <row r="245" spans="2:11" x14ac:dyDescent="0.25">
      <c r="B245" t="s">
        <v>1446</v>
      </c>
      <c r="D245" s="125" t="s">
        <v>903</v>
      </c>
      <c r="F245" t="s">
        <v>1290</v>
      </c>
      <c r="H245" t="s">
        <v>520</v>
      </c>
      <c r="I245" t="s">
        <v>905</v>
      </c>
      <c r="J245" t="s">
        <v>42</v>
      </c>
    </row>
    <row r="246" spans="2:11" x14ac:dyDescent="0.25">
      <c r="B246" t="s">
        <v>373</v>
      </c>
      <c r="D246" s="125" t="s">
        <v>1244</v>
      </c>
      <c r="F246" t="s">
        <v>1351</v>
      </c>
      <c r="H246" t="s">
        <v>84</v>
      </c>
      <c r="I246" t="s">
        <v>448</v>
      </c>
      <c r="J246" t="s">
        <v>42</v>
      </c>
    </row>
    <row r="247" spans="2:11" x14ac:dyDescent="0.25">
      <c r="B247" t="s">
        <v>750</v>
      </c>
      <c r="D247" s="125" t="s">
        <v>751</v>
      </c>
      <c r="F247" t="s">
        <v>1992</v>
      </c>
      <c r="H247" t="s">
        <v>1282</v>
      </c>
      <c r="I247" t="s">
        <v>754</v>
      </c>
      <c r="J247" t="s">
        <v>1266</v>
      </c>
    </row>
    <row r="248" spans="2:11" x14ac:dyDescent="0.25">
      <c r="B248" t="s">
        <v>1524</v>
      </c>
      <c r="D248" s="125" t="s">
        <v>751</v>
      </c>
      <c r="F248" t="s">
        <v>1993</v>
      </c>
      <c r="H248" t="s">
        <v>1282</v>
      </c>
      <c r="I248" t="s">
        <v>1526</v>
      </c>
      <c r="J248" t="s">
        <v>1266</v>
      </c>
    </row>
    <row r="249" spans="2:11" x14ac:dyDescent="0.25">
      <c r="B249" t="s">
        <v>1451</v>
      </c>
      <c r="D249" s="125" t="s">
        <v>627</v>
      </c>
      <c r="F249" t="s">
        <v>2069</v>
      </c>
      <c r="H249" t="s">
        <v>1450</v>
      </c>
      <c r="I249" t="s">
        <v>1182</v>
      </c>
      <c r="J249" t="s">
        <v>823</v>
      </c>
    </row>
    <row r="250" spans="2:11" x14ac:dyDescent="0.25">
      <c r="B250" t="s">
        <v>23</v>
      </c>
      <c r="D250" s="125">
        <v>0</v>
      </c>
      <c r="G250" t="s">
        <v>19</v>
      </c>
      <c r="J250" t="s">
        <v>24</v>
      </c>
    </row>
    <row r="251" spans="2:11" x14ac:dyDescent="0.25">
      <c r="B251" t="s">
        <v>741</v>
      </c>
      <c r="D251" s="125" t="s">
        <v>742</v>
      </c>
      <c r="H251" t="s">
        <v>40</v>
      </c>
      <c r="J251" t="s">
        <v>1266</v>
      </c>
    </row>
    <row r="252" spans="2:11" x14ac:dyDescent="0.25">
      <c r="B252" t="s">
        <v>1332</v>
      </c>
      <c r="D252" s="125" t="s">
        <v>777</v>
      </c>
      <c r="F252" t="s">
        <v>1994</v>
      </c>
      <c r="H252" t="s">
        <v>581</v>
      </c>
      <c r="I252" t="s">
        <v>787</v>
      </c>
      <c r="J252" t="s">
        <v>60</v>
      </c>
    </row>
    <row r="253" spans="2:11" x14ac:dyDescent="0.25">
      <c r="B253" t="s">
        <v>1393</v>
      </c>
      <c r="D253" s="125" t="s">
        <v>773</v>
      </c>
      <c r="F253" t="s">
        <v>2070</v>
      </c>
      <c r="H253" t="s">
        <v>84</v>
      </c>
      <c r="I253" t="s">
        <v>792</v>
      </c>
      <c r="J253" t="s">
        <v>60</v>
      </c>
    </row>
    <row r="254" spans="2:11" x14ac:dyDescent="0.25">
      <c r="B254" t="s">
        <v>1489</v>
      </c>
      <c r="J254" t="s">
        <v>24</v>
      </c>
    </row>
    <row r="255" spans="2:11" x14ac:dyDescent="0.25">
      <c r="B255" t="s">
        <v>1574</v>
      </c>
      <c r="D255" s="125" t="s">
        <v>1575</v>
      </c>
      <c r="F255" t="s">
        <v>1814</v>
      </c>
      <c r="H255" t="s">
        <v>84</v>
      </c>
      <c r="I255" t="s">
        <v>1577</v>
      </c>
      <c r="J255" t="s">
        <v>823</v>
      </c>
    </row>
    <row r="256" spans="2:11" x14ac:dyDescent="0.25">
      <c r="B256" t="s">
        <v>1621</v>
      </c>
      <c r="D256" s="125" t="s">
        <v>1616</v>
      </c>
      <c r="F256" t="s">
        <v>1995</v>
      </c>
      <c r="H256" t="s">
        <v>570</v>
      </c>
      <c r="I256" t="s">
        <v>1629</v>
      </c>
      <c r="J256" t="s">
        <v>1025</v>
      </c>
      <c r="K256" s="252">
        <v>43867</v>
      </c>
    </row>
    <row r="257" spans="2:11" x14ac:dyDescent="0.25">
      <c r="B257" t="s">
        <v>1206</v>
      </c>
      <c r="D257" s="125" t="s">
        <v>537</v>
      </c>
      <c r="F257" t="s">
        <v>1421</v>
      </c>
      <c r="H257" t="s">
        <v>1202</v>
      </c>
      <c r="I257" t="s">
        <v>665</v>
      </c>
      <c r="J257" t="s">
        <v>42</v>
      </c>
    </row>
    <row r="258" spans="2:11" x14ac:dyDescent="0.25">
      <c r="B258" t="s">
        <v>1436</v>
      </c>
      <c r="D258" s="125" t="s">
        <v>1099</v>
      </c>
      <c r="F258" t="s">
        <v>2071</v>
      </c>
      <c r="H258" t="s">
        <v>84</v>
      </c>
      <c r="I258" t="s">
        <v>1767</v>
      </c>
      <c r="J258" t="s">
        <v>1756</v>
      </c>
      <c r="K258" s="252">
        <v>43985</v>
      </c>
    </row>
    <row r="259" spans="2:11" x14ac:dyDescent="0.25">
      <c r="B259" t="s">
        <v>1547</v>
      </c>
      <c r="D259" s="125" t="s">
        <v>1548</v>
      </c>
      <c r="F259" t="s">
        <v>1996</v>
      </c>
      <c r="H259" t="s">
        <v>1191</v>
      </c>
      <c r="I259" t="s">
        <v>1550</v>
      </c>
      <c r="J259" t="s">
        <v>823</v>
      </c>
    </row>
    <row r="260" spans="2:11" x14ac:dyDescent="0.25">
      <c r="B260" t="s">
        <v>630</v>
      </c>
      <c r="D260" s="125" t="s">
        <v>1245</v>
      </c>
      <c r="F260" t="s">
        <v>1955</v>
      </c>
      <c r="H260" t="s">
        <v>1205</v>
      </c>
      <c r="I260" t="s">
        <v>735</v>
      </c>
      <c r="J260" t="s">
        <v>40</v>
      </c>
    </row>
    <row r="261" spans="2:11" x14ac:dyDescent="0.25">
      <c r="B261" t="s">
        <v>1495</v>
      </c>
      <c r="J261" t="s">
        <v>823</v>
      </c>
    </row>
    <row r="262" spans="2:11" x14ac:dyDescent="0.25">
      <c r="B262" t="s">
        <v>374</v>
      </c>
      <c r="D262" s="125" t="s">
        <v>1246</v>
      </c>
      <c r="F262" t="s">
        <v>2072</v>
      </c>
      <c r="H262" t="s">
        <v>402</v>
      </c>
      <c r="I262" t="s">
        <v>658</v>
      </c>
      <c r="J262" t="s">
        <v>1266</v>
      </c>
    </row>
    <row r="263" spans="2:11" x14ac:dyDescent="0.25">
      <c r="B263" t="s">
        <v>1584</v>
      </c>
      <c r="D263" s="125" t="s">
        <v>1585</v>
      </c>
      <c r="F263" t="s">
        <v>2073</v>
      </c>
      <c r="H263" t="s">
        <v>651</v>
      </c>
      <c r="I263" t="s">
        <v>1587</v>
      </c>
      <c r="J263" t="s">
        <v>40</v>
      </c>
    </row>
    <row r="264" spans="2:11" x14ac:dyDescent="0.25">
      <c r="B264" t="s">
        <v>375</v>
      </c>
      <c r="D264" s="125" t="s">
        <v>1065</v>
      </c>
      <c r="H264" t="s">
        <v>40</v>
      </c>
      <c r="J264" t="s">
        <v>21</v>
      </c>
    </row>
    <row r="265" spans="2:11" x14ac:dyDescent="0.25">
      <c r="B265" t="s">
        <v>1316</v>
      </c>
      <c r="D265" s="125" t="s">
        <v>717</v>
      </c>
      <c r="F265" t="s">
        <v>1997</v>
      </c>
      <c r="H265" t="s">
        <v>112</v>
      </c>
      <c r="I265" t="s">
        <v>720</v>
      </c>
      <c r="J265" t="s">
        <v>1256</v>
      </c>
    </row>
    <row r="266" spans="2:11" x14ac:dyDescent="0.25">
      <c r="B266" t="s">
        <v>1283</v>
      </c>
      <c r="D266" s="125">
        <v>0</v>
      </c>
      <c r="J266" t="s">
        <v>21</v>
      </c>
    </row>
    <row r="267" spans="2:11" x14ac:dyDescent="0.25">
      <c r="B267" t="s">
        <v>597</v>
      </c>
      <c r="D267" s="125" t="s">
        <v>703</v>
      </c>
      <c r="F267" t="s">
        <v>1998</v>
      </c>
      <c r="H267" t="s">
        <v>84</v>
      </c>
      <c r="I267" t="s">
        <v>679</v>
      </c>
      <c r="J267" t="s">
        <v>21</v>
      </c>
    </row>
    <row r="268" spans="2:11" x14ac:dyDescent="0.25">
      <c r="B268" t="s">
        <v>2074</v>
      </c>
      <c r="D268" s="125" t="s">
        <v>1638</v>
      </c>
      <c r="F268" t="s">
        <v>1447</v>
      </c>
      <c r="H268" t="s">
        <v>461</v>
      </c>
      <c r="I268" t="s">
        <v>908</v>
      </c>
      <c r="J268" t="s">
        <v>42</v>
      </c>
    </row>
    <row r="269" spans="2:11" x14ac:dyDescent="0.25">
      <c r="B269" t="s">
        <v>2075</v>
      </c>
      <c r="D269" s="125" t="s">
        <v>1638</v>
      </c>
      <c r="F269" t="s">
        <v>1639</v>
      </c>
      <c r="H269" t="s">
        <v>461</v>
      </c>
      <c r="I269" t="s">
        <v>908</v>
      </c>
      <c r="J269" t="s">
        <v>42</v>
      </c>
      <c r="K269" s="252">
        <v>43867</v>
      </c>
    </row>
    <row r="270" spans="2:11" x14ac:dyDescent="0.25">
      <c r="B270" t="s">
        <v>607</v>
      </c>
      <c r="D270" s="125" t="s">
        <v>606</v>
      </c>
      <c r="F270" t="s">
        <v>1395</v>
      </c>
      <c r="H270" t="s">
        <v>1191</v>
      </c>
      <c r="I270" t="s">
        <v>681</v>
      </c>
      <c r="J270" t="s">
        <v>48</v>
      </c>
    </row>
    <row r="271" spans="2:11" x14ac:dyDescent="0.25">
      <c r="B271" t="s">
        <v>1674</v>
      </c>
      <c r="D271" s="125" t="s">
        <v>1675</v>
      </c>
      <c r="F271" t="s">
        <v>1676</v>
      </c>
      <c r="H271" t="s">
        <v>459</v>
      </c>
      <c r="I271" t="s">
        <v>1677</v>
      </c>
      <c r="J271" t="s">
        <v>42</v>
      </c>
      <c r="K271" s="252">
        <v>43867</v>
      </c>
    </row>
    <row r="272" spans="2:11" x14ac:dyDescent="0.25">
      <c r="B272" t="s">
        <v>1022</v>
      </c>
      <c r="D272" s="125" t="s">
        <v>1021</v>
      </c>
      <c r="F272" t="s">
        <v>1023</v>
      </c>
      <c r="H272" t="s">
        <v>780</v>
      </c>
      <c r="I272" t="s">
        <v>1024</v>
      </c>
      <c r="J272" t="s">
        <v>48</v>
      </c>
    </row>
    <row r="273" spans="2:11" x14ac:dyDescent="0.25">
      <c r="B273" t="s">
        <v>1192</v>
      </c>
      <c r="D273" s="125" t="s">
        <v>1247</v>
      </c>
      <c r="J273" t="s">
        <v>40</v>
      </c>
    </row>
    <row r="274" spans="2:11" x14ac:dyDescent="0.25">
      <c r="B274" t="s">
        <v>1583</v>
      </c>
      <c r="D274" s="125" t="s">
        <v>1696</v>
      </c>
      <c r="F274" t="s">
        <v>2091</v>
      </c>
      <c r="H274" t="s">
        <v>84</v>
      </c>
      <c r="I274" t="s">
        <v>439</v>
      </c>
      <c r="J274" t="s">
        <v>1134</v>
      </c>
    </row>
    <row r="275" spans="2:11" x14ac:dyDescent="0.25">
      <c r="B275" s="145" t="s">
        <v>1779</v>
      </c>
      <c r="J275" t="s">
        <v>21</v>
      </c>
      <c r="K275" s="252">
        <v>44048</v>
      </c>
    </row>
    <row r="276" spans="2:11" x14ac:dyDescent="0.25">
      <c r="B276" t="s">
        <v>1299</v>
      </c>
      <c r="D276" s="125" t="s">
        <v>899</v>
      </c>
      <c r="F276" t="s">
        <v>1818</v>
      </c>
      <c r="H276" t="s">
        <v>651</v>
      </c>
      <c r="I276" t="s">
        <v>1819</v>
      </c>
      <c r="J276" t="s">
        <v>42</v>
      </c>
    </row>
    <row r="277" spans="2:11" x14ac:dyDescent="0.25">
      <c r="B277" t="s">
        <v>546</v>
      </c>
      <c r="D277" s="125" t="s">
        <v>583</v>
      </c>
      <c r="F277" t="s">
        <v>1999</v>
      </c>
      <c r="H277" t="s">
        <v>549</v>
      </c>
      <c r="I277" t="s">
        <v>666</v>
      </c>
      <c r="J277" t="s">
        <v>1256</v>
      </c>
    </row>
    <row r="278" spans="2:11" x14ac:dyDescent="0.25">
      <c r="B278" t="s">
        <v>546</v>
      </c>
      <c r="D278" s="125" t="s">
        <v>837</v>
      </c>
      <c r="E278" t="s">
        <v>838</v>
      </c>
      <c r="F278" t="s">
        <v>2076</v>
      </c>
      <c r="G278" t="s">
        <v>1352</v>
      </c>
      <c r="H278" t="s">
        <v>1193</v>
      </c>
      <c r="I278" t="s">
        <v>450</v>
      </c>
      <c r="J278" t="s">
        <v>42</v>
      </c>
    </row>
    <row r="279" spans="2:11" x14ac:dyDescent="0.25">
      <c r="B279" t="s">
        <v>1397</v>
      </c>
      <c r="D279" s="125" t="s">
        <v>855</v>
      </c>
      <c r="E279" t="s">
        <v>856</v>
      </c>
      <c r="F279" t="s">
        <v>2000</v>
      </c>
      <c r="H279" t="s">
        <v>52</v>
      </c>
      <c r="I279" t="s">
        <v>858</v>
      </c>
      <c r="J279" t="s">
        <v>42</v>
      </c>
    </row>
    <row r="280" spans="2:11" x14ac:dyDescent="0.25">
      <c r="B280" t="s">
        <v>1878</v>
      </c>
      <c r="D280" s="125" t="s">
        <v>1879</v>
      </c>
      <c r="J280" t="s">
        <v>34</v>
      </c>
      <c r="K280" s="252">
        <v>44111</v>
      </c>
    </row>
    <row r="281" spans="2:11" x14ac:dyDescent="0.25">
      <c r="B281" t="s">
        <v>1437</v>
      </c>
      <c r="D281" s="125" t="s">
        <v>1060</v>
      </c>
      <c r="F281" t="s">
        <v>2077</v>
      </c>
      <c r="H281" t="s">
        <v>1194</v>
      </c>
      <c r="I281" t="s">
        <v>1063</v>
      </c>
      <c r="J281" t="s">
        <v>1266</v>
      </c>
    </row>
    <row r="282" spans="2:11" x14ac:dyDescent="0.25">
      <c r="B282" t="s">
        <v>553</v>
      </c>
      <c r="D282" s="125" t="s">
        <v>554</v>
      </c>
      <c r="F282" t="s">
        <v>2078</v>
      </c>
      <c r="H282" t="s">
        <v>1205</v>
      </c>
      <c r="I282" t="s">
        <v>668</v>
      </c>
      <c r="J282" t="s">
        <v>1256</v>
      </c>
    </row>
    <row r="283" spans="2:11" x14ac:dyDescent="0.25">
      <c r="B283" t="s">
        <v>1438</v>
      </c>
      <c r="D283" s="125" t="s">
        <v>775</v>
      </c>
      <c r="F283" t="s">
        <v>2079</v>
      </c>
      <c r="H283" t="s">
        <v>84</v>
      </c>
      <c r="I283" t="s">
        <v>786</v>
      </c>
      <c r="J283" t="s">
        <v>60</v>
      </c>
    </row>
    <row r="284" spans="2:11" x14ac:dyDescent="0.25">
      <c r="B284" t="s">
        <v>1808</v>
      </c>
      <c r="D284" s="125" t="s">
        <v>1809</v>
      </c>
      <c r="F284" t="s">
        <v>2080</v>
      </c>
      <c r="H284" t="s">
        <v>112</v>
      </c>
      <c r="I284" t="s">
        <v>1810</v>
      </c>
      <c r="J284" t="s">
        <v>45</v>
      </c>
      <c r="K284" s="252">
        <v>44048</v>
      </c>
    </row>
    <row r="285" spans="2:11" x14ac:dyDescent="0.25">
      <c r="B285" t="s">
        <v>1198</v>
      </c>
      <c r="D285" s="125" t="s">
        <v>1248</v>
      </c>
      <c r="F285" t="s">
        <v>1424</v>
      </c>
      <c r="H285" t="s">
        <v>397</v>
      </c>
      <c r="I285" t="s">
        <v>452</v>
      </c>
      <c r="J285" t="s">
        <v>42</v>
      </c>
    </row>
    <row r="286" spans="2:11" x14ac:dyDescent="0.25">
      <c r="B286" t="s">
        <v>547</v>
      </c>
      <c r="D286" s="125" t="s">
        <v>521</v>
      </c>
      <c r="F286" t="s">
        <v>1764</v>
      </c>
      <c r="H286" t="s">
        <v>581</v>
      </c>
      <c r="I286" t="s">
        <v>1765</v>
      </c>
      <c r="J286" t="s">
        <v>42</v>
      </c>
    </row>
    <row r="287" spans="2:11" x14ac:dyDescent="0.25">
      <c r="B287" t="s">
        <v>1353</v>
      </c>
      <c r="D287" s="125" t="s">
        <v>930</v>
      </c>
      <c r="H287" t="s">
        <v>40</v>
      </c>
      <c r="J287" t="s">
        <v>45</v>
      </c>
    </row>
    <row r="288" spans="2:11" x14ac:dyDescent="0.25">
      <c r="B288" t="s">
        <v>216</v>
      </c>
      <c r="D288" s="125" t="s">
        <v>1249</v>
      </c>
      <c r="F288" t="s">
        <v>2081</v>
      </c>
      <c r="H288" t="s">
        <v>396</v>
      </c>
      <c r="I288" t="s">
        <v>453</v>
      </c>
      <c r="J288" t="s">
        <v>34</v>
      </c>
    </row>
    <row r="289" spans="2:11" x14ac:dyDescent="0.25">
      <c r="B289" t="s">
        <v>984</v>
      </c>
      <c r="D289" s="125" t="s">
        <v>985</v>
      </c>
      <c r="F289" t="s">
        <v>2082</v>
      </c>
      <c r="H289" t="s">
        <v>84</v>
      </c>
      <c r="I289" t="s">
        <v>453</v>
      </c>
      <c r="J289" t="s">
        <v>42</v>
      </c>
    </row>
    <row r="290" spans="2:11" x14ac:dyDescent="0.25">
      <c r="B290" t="s">
        <v>379</v>
      </c>
      <c r="D290" s="125" t="s">
        <v>1250</v>
      </c>
      <c r="F290" t="s">
        <v>1425</v>
      </c>
      <c r="G290" t="s">
        <v>887</v>
      </c>
      <c r="H290" t="s">
        <v>1195</v>
      </c>
      <c r="I290" t="s">
        <v>257</v>
      </c>
      <c r="J290" t="s">
        <v>42</v>
      </c>
    </row>
    <row r="291" spans="2:11" x14ac:dyDescent="0.25">
      <c r="B291" t="s">
        <v>1354</v>
      </c>
      <c r="D291" s="125" t="s">
        <v>800</v>
      </c>
      <c r="F291" t="s">
        <v>2001</v>
      </c>
      <c r="H291" t="s">
        <v>544</v>
      </c>
      <c r="I291" t="s">
        <v>802</v>
      </c>
      <c r="J291" t="s">
        <v>60</v>
      </c>
    </row>
    <row r="292" spans="2:11" x14ac:dyDescent="0.25">
      <c r="B292" t="s">
        <v>1448</v>
      </c>
      <c r="D292" s="125" t="s">
        <v>850</v>
      </c>
      <c r="F292" t="s">
        <v>2083</v>
      </c>
      <c r="H292" t="s">
        <v>84</v>
      </c>
      <c r="I292" t="s">
        <v>436</v>
      </c>
      <c r="J292" t="s">
        <v>42</v>
      </c>
    </row>
    <row r="293" spans="2:11" x14ac:dyDescent="0.25">
      <c r="B293" t="s">
        <v>610</v>
      </c>
      <c r="D293" s="125" t="s">
        <v>1251</v>
      </c>
      <c r="F293" t="s">
        <v>2002</v>
      </c>
      <c r="G293" t="s">
        <v>456</v>
      </c>
      <c r="H293" t="s">
        <v>396</v>
      </c>
      <c r="I293" t="s">
        <v>454</v>
      </c>
      <c r="J293" t="s">
        <v>48</v>
      </c>
    </row>
    <row r="294" spans="2:11" x14ac:dyDescent="0.25">
      <c r="B294" t="s">
        <v>333</v>
      </c>
      <c r="C294" t="s">
        <v>334</v>
      </c>
      <c r="D294" s="125" t="s">
        <v>480</v>
      </c>
      <c r="E294" t="s">
        <v>337</v>
      </c>
      <c r="F294" t="s">
        <v>2003</v>
      </c>
      <c r="H294" t="s">
        <v>335</v>
      </c>
      <c r="I294" t="s">
        <v>336</v>
      </c>
      <c r="J294" t="s">
        <v>34</v>
      </c>
    </row>
    <row r="295" spans="2:11" x14ac:dyDescent="0.25">
      <c r="B295" t="s">
        <v>734</v>
      </c>
      <c r="J295" t="s">
        <v>40</v>
      </c>
    </row>
    <row r="296" spans="2:11" x14ac:dyDescent="0.25">
      <c r="B296" t="s">
        <v>600</v>
      </c>
      <c r="D296" s="125" t="s">
        <v>603</v>
      </c>
      <c r="F296" t="s">
        <v>1284</v>
      </c>
      <c r="H296" t="s">
        <v>602</v>
      </c>
      <c r="I296" t="s">
        <v>680</v>
      </c>
      <c r="J296" t="s">
        <v>600</v>
      </c>
    </row>
    <row r="297" spans="2:11" x14ac:dyDescent="0.25">
      <c r="B297" t="s">
        <v>16</v>
      </c>
      <c r="D297" s="125">
        <v>0</v>
      </c>
    </row>
    <row r="298" spans="2:11" x14ac:dyDescent="0.25">
      <c r="B298" t="s">
        <v>1824</v>
      </c>
      <c r="D298" s="125" t="s">
        <v>1826</v>
      </c>
      <c r="F298" t="s">
        <v>1830</v>
      </c>
      <c r="H298" t="s">
        <v>1205</v>
      </c>
      <c r="I298" t="s">
        <v>1831</v>
      </c>
      <c r="J298" t="s">
        <v>42</v>
      </c>
      <c r="K298" s="252">
        <v>44048</v>
      </c>
    </row>
    <row r="299" spans="2:11" x14ac:dyDescent="0.25">
      <c r="B299" t="s">
        <v>1741</v>
      </c>
      <c r="D299" s="125" t="s">
        <v>1742</v>
      </c>
      <c r="F299" t="s">
        <v>1743</v>
      </c>
      <c r="H299" t="s">
        <v>784</v>
      </c>
      <c r="I299" t="s">
        <v>1744</v>
      </c>
      <c r="J299" t="s">
        <v>411</v>
      </c>
      <c r="K299" s="252">
        <v>43985</v>
      </c>
    </row>
    <row r="300" spans="2:11" x14ac:dyDescent="0.25">
      <c r="B300" t="s">
        <v>1285</v>
      </c>
      <c r="D300" s="125" t="s">
        <v>641</v>
      </c>
      <c r="F300" t="s">
        <v>2015</v>
      </c>
      <c r="G300" t="s">
        <v>634</v>
      </c>
      <c r="H300" t="s">
        <v>461</v>
      </c>
      <c r="I300" t="s">
        <v>656</v>
      </c>
      <c r="J300" t="s">
        <v>40</v>
      </c>
    </row>
    <row r="301" spans="2:11" x14ac:dyDescent="0.25">
      <c r="B301" t="s">
        <v>1286</v>
      </c>
      <c r="D301" s="125">
        <v>0</v>
      </c>
      <c r="J301" t="s">
        <v>1266</v>
      </c>
    </row>
    <row r="302" spans="2:11" x14ac:dyDescent="0.25">
      <c r="B302" t="s">
        <v>2084</v>
      </c>
      <c r="D302" s="125" t="s">
        <v>1782</v>
      </c>
      <c r="F302" t="s">
        <v>1783</v>
      </c>
      <c r="H302" t="s">
        <v>441</v>
      </c>
      <c r="I302" t="s">
        <v>1784</v>
      </c>
      <c r="J302" t="s">
        <v>21</v>
      </c>
      <c r="K302" s="252">
        <v>43894</v>
      </c>
    </row>
    <row r="303" spans="2:11" x14ac:dyDescent="0.25">
      <c r="B303" t="s">
        <v>1014</v>
      </c>
      <c r="D303" s="125" t="s">
        <v>1252</v>
      </c>
      <c r="F303" t="s">
        <v>2085</v>
      </c>
      <c r="H303" t="s">
        <v>544</v>
      </c>
      <c r="I303" t="s">
        <v>1016</v>
      </c>
      <c r="J303" t="s">
        <v>48</v>
      </c>
    </row>
    <row r="304" spans="2:11" x14ac:dyDescent="0.25">
      <c r="B304" t="s">
        <v>215</v>
      </c>
      <c r="D304" s="125" t="s">
        <v>1252</v>
      </c>
      <c r="F304" t="s">
        <v>2086</v>
      </c>
      <c r="H304" t="s">
        <v>402</v>
      </c>
      <c r="I304" t="s">
        <v>457</v>
      </c>
      <c r="J304" t="s">
        <v>48</v>
      </c>
    </row>
    <row r="305" spans="2:11" x14ac:dyDescent="0.25">
      <c r="B305" t="s">
        <v>1318</v>
      </c>
      <c r="H305" t="s">
        <v>40</v>
      </c>
      <c r="J305" t="s">
        <v>40</v>
      </c>
    </row>
    <row r="306" spans="2:11" x14ac:dyDescent="0.25">
      <c r="B306" t="s">
        <v>1333</v>
      </c>
      <c r="D306" s="125" t="s">
        <v>769</v>
      </c>
      <c r="F306" t="s">
        <v>2087</v>
      </c>
      <c r="H306" t="s">
        <v>1207</v>
      </c>
      <c r="I306" t="s">
        <v>796</v>
      </c>
      <c r="J306" t="s">
        <v>60</v>
      </c>
    </row>
    <row r="307" spans="2:11" x14ac:dyDescent="0.25">
      <c r="B307" t="s">
        <v>577</v>
      </c>
      <c r="D307" s="125" t="s">
        <v>572</v>
      </c>
      <c r="F307" t="s">
        <v>580</v>
      </c>
      <c r="H307" t="s">
        <v>581</v>
      </c>
      <c r="I307" t="s">
        <v>673</v>
      </c>
      <c r="J307" t="s">
        <v>823</v>
      </c>
    </row>
    <row r="308" spans="2:11" x14ac:dyDescent="0.25">
      <c r="B308" t="s">
        <v>1796</v>
      </c>
      <c r="D308" s="125" t="s">
        <v>1797</v>
      </c>
      <c r="F308" t="s">
        <v>1798</v>
      </c>
      <c r="H308" t="s">
        <v>1799</v>
      </c>
      <c r="I308" t="s">
        <v>1800</v>
      </c>
      <c r="J308" t="s">
        <v>21</v>
      </c>
      <c r="K308" s="252">
        <v>44048</v>
      </c>
    </row>
    <row r="309" spans="2:11" x14ac:dyDescent="0.25">
      <c r="B309" t="s">
        <v>1900</v>
      </c>
      <c r="D309" s="125" t="s">
        <v>1910</v>
      </c>
      <c r="F309" t="s">
        <v>2088</v>
      </c>
      <c r="H309" t="s">
        <v>1903</v>
      </c>
      <c r="I309" t="s">
        <v>1902</v>
      </c>
      <c r="J309" t="s">
        <v>21</v>
      </c>
      <c r="K309" s="252">
        <v>44111</v>
      </c>
    </row>
    <row r="310" spans="2:11" x14ac:dyDescent="0.25">
      <c r="B310" t="s">
        <v>1848</v>
      </c>
      <c r="D310" s="125" t="s">
        <v>1849</v>
      </c>
      <c r="F310" t="s">
        <v>1851</v>
      </c>
      <c r="H310" t="s">
        <v>460</v>
      </c>
      <c r="I310" t="s">
        <v>1850</v>
      </c>
      <c r="J310" t="s">
        <v>1266</v>
      </c>
      <c r="K310" s="252">
        <v>44078</v>
      </c>
    </row>
    <row r="311" spans="2:11" x14ac:dyDescent="0.25">
      <c r="B311" t="s">
        <v>1469</v>
      </c>
      <c r="D311" s="125" t="s">
        <v>1474</v>
      </c>
      <c r="F311" t="s">
        <v>1479</v>
      </c>
      <c r="H311" t="s">
        <v>441</v>
      </c>
      <c r="I311" t="s">
        <v>884</v>
      </c>
      <c r="J311" t="s">
        <v>42</v>
      </c>
    </row>
    <row r="312" spans="2:11" x14ac:dyDescent="0.25">
      <c r="B312" t="s">
        <v>37</v>
      </c>
      <c r="D312" s="125" t="s">
        <v>1253</v>
      </c>
      <c r="F312" t="s">
        <v>1265</v>
      </c>
      <c r="H312" t="s">
        <v>459</v>
      </c>
      <c r="I312" t="s">
        <v>458</v>
      </c>
      <c r="J312" t="s">
        <v>47</v>
      </c>
    </row>
    <row r="313" spans="2:11" x14ac:dyDescent="0.25">
      <c r="B313" t="s">
        <v>1555</v>
      </c>
      <c r="D313" s="125" t="s">
        <v>1556</v>
      </c>
      <c r="F313" t="s">
        <v>1640</v>
      </c>
      <c r="H313" t="s">
        <v>461</v>
      </c>
      <c r="I313" t="s">
        <v>1641</v>
      </c>
      <c r="J313" t="s">
        <v>42</v>
      </c>
    </row>
    <row r="314" spans="2:11" x14ac:dyDescent="0.25">
      <c r="B314" t="s">
        <v>996</v>
      </c>
      <c r="D314" s="125" t="s">
        <v>997</v>
      </c>
      <c r="E314" t="s">
        <v>1000</v>
      </c>
      <c r="F314" t="s">
        <v>1334</v>
      </c>
      <c r="H314" t="s">
        <v>544</v>
      </c>
      <c r="I314" t="s">
        <v>999</v>
      </c>
      <c r="J314" t="s">
        <v>42</v>
      </c>
    </row>
    <row r="315" spans="2:11" x14ac:dyDescent="0.25">
      <c r="B315" t="s">
        <v>1648</v>
      </c>
      <c r="D315" s="125" t="s">
        <v>1649</v>
      </c>
      <c r="F315" t="s">
        <v>1650</v>
      </c>
      <c r="H315" t="s">
        <v>84</v>
      </c>
      <c r="I315" t="s">
        <v>1652</v>
      </c>
      <c r="J315" t="s">
        <v>42</v>
      </c>
      <c r="K315" s="252">
        <v>43867</v>
      </c>
    </row>
    <row r="316" spans="2:11" x14ac:dyDescent="0.25">
      <c r="B316" t="s">
        <v>635</v>
      </c>
      <c r="D316" s="125" t="s">
        <v>1033</v>
      </c>
      <c r="F316" t="s">
        <v>1287</v>
      </c>
      <c r="G316" t="s">
        <v>638</v>
      </c>
      <c r="H316" t="s">
        <v>639</v>
      </c>
      <c r="I316" t="s">
        <v>684</v>
      </c>
      <c r="J316" t="s">
        <v>40</v>
      </c>
    </row>
    <row r="317" spans="2:11" x14ac:dyDescent="0.25">
      <c r="B317" t="s">
        <v>1823</v>
      </c>
      <c r="D317" s="125" t="s">
        <v>1825</v>
      </c>
      <c r="F317" t="s">
        <v>2089</v>
      </c>
      <c r="H317" t="s">
        <v>1828</v>
      </c>
      <c r="I317" t="s">
        <v>1829</v>
      </c>
      <c r="J317" t="s">
        <v>42</v>
      </c>
      <c r="K317" s="252">
        <v>44048</v>
      </c>
    </row>
    <row r="318" spans="2:11" x14ac:dyDescent="0.25">
      <c r="B318" t="s">
        <v>1719</v>
      </c>
      <c r="D318" s="125" t="s">
        <v>1729</v>
      </c>
      <c r="F318" t="s">
        <v>2090</v>
      </c>
      <c r="H318" t="s">
        <v>441</v>
      </c>
      <c r="I318" t="s">
        <v>1721</v>
      </c>
      <c r="J318" t="s">
        <v>1134</v>
      </c>
      <c r="K318" s="252">
        <v>43894</v>
      </c>
    </row>
    <row r="319" spans="2:11" x14ac:dyDescent="0.25">
      <c r="B319" t="s">
        <v>991</v>
      </c>
      <c r="D319" s="125" t="s">
        <v>992</v>
      </c>
      <c r="E319" t="s">
        <v>993</v>
      </c>
      <c r="F319" t="s">
        <v>1398</v>
      </c>
      <c r="G319" t="s">
        <v>1343</v>
      </c>
      <c r="H319" t="s">
        <v>52</v>
      </c>
      <c r="I319" t="s">
        <v>995</v>
      </c>
      <c r="J319" t="s">
        <v>42</v>
      </c>
    </row>
    <row r="320" spans="2:11" x14ac:dyDescent="0.25">
      <c r="B320" t="s">
        <v>1717</v>
      </c>
      <c r="D320" s="125" t="s">
        <v>1654</v>
      </c>
      <c r="F320" t="s">
        <v>1655</v>
      </c>
      <c r="H320" t="s">
        <v>84</v>
      </c>
      <c r="I320" t="s">
        <v>1656</v>
      </c>
      <c r="J320" t="s">
        <v>42</v>
      </c>
      <c r="K320" s="252">
        <v>43867</v>
      </c>
    </row>
    <row r="321" spans="2:11" x14ac:dyDescent="0.25">
      <c r="B321" t="s">
        <v>1820</v>
      </c>
      <c r="D321" s="125" t="s">
        <v>1654</v>
      </c>
      <c r="F321" t="s">
        <v>1821</v>
      </c>
      <c r="H321" t="s">
        <v>1822</v>
      </c>
      <c r="I321" t="s">
        <v>990</v>
      </c>
      <c r="J321" t="s">
        <v>42</v>
      </c>
      <c r="K321" s="252">
        <v>43867</v>
      </c>
    </row>
    <row r="322" spans="2:11" x14ac:dyDescent="0.25">
      <c r="B322" t="s">
        <v>214</v>
      </c>
      <c r="D322" s="125" t="s">
        <v>1034</v>
      </c>
      <c r="F322" t="s">
        <v>1355</v>
      </c>
      <c r="H322" t="s">
        <v>1195</v>
      </c>
      <c r="I322" t="s">
        <v>256</v>
      </c>
      <c r="J322" t="s">
        <v>48</v>
      </c>
    </row>
    <row r="323" spans="2:11" x14ac:dyDescent="0.25">
      <c r="B323" t="s">
        <v>381</v>
      </c>
      <c r="D323" s="125">
        <v>0</v>
      </c>
      <c r="J323" t="s">
        <v>21</v>
      </c>
    </row>
    <row r="324" spans="2:11" x14ac:dyDescent="0.25">
      <c r="B324" t="s">
        <v>1688</v>
      </c>
      <c r="D324" s="125" t="s">
        <v>1689</v>
      </c>
      <c r="F324" t="s">
        <v>1745</v>
      </c>
      <c r="H324" t="s">
        <v>84</v>
      </c>
      <c r="I324" t="s">
        <v>1746</v>
      </c>
      <c r="J324" t="s">
        <v>411</v>
      </c>
      <c r="K324" s="252">
        <v>43894</v>
      </c>
    </row>
    <row r="325" spans="2:11" x14ac:dyDescent="0.25">
      <c r="B325" t="s">
        <v>1399</v>
      </c>
      <c r="D325" s="125" t="s">
        <v>692</v>
      </c>
      <c r="F325" t="s">
        <v>2004</v>
      </c>
      <c r="H325" t="s">
        <v>84</v>
      </c>
      <c r="I325" t="s">
        <v>694</v>
      </c>
      <c r="J325" t="s">
        <v>34</v>
      </c>
    </row>
    <row r="326" spans="2:11" x14ac:dyDescent="0.25">
      <c r="B326" t="s">
        <v>966</v>
      </c>
      <c r="D326" s="125" t="s">
        <v>1073</v>
      </c>
      <c r="H326" t="s">
        <v>40</v>
      </c>
      <c r="J326" t="s">
        <v>40</v>
      </c>
    </row>
    <row r="327" spans="2:11" x14ac:dyDescent="0.25">
      <c r="B327" t="s">
        <v>531</v>
      </c>
      <c r="D327" s="125" t="s">
        <v>533</v>
      </c>
      <c r="F327" t="s">
        <v>1300</v>
      </c>
      <c r="H327" t="s">
        <v>532</v>
      </c>
      <c r="I327" t="s">
        <v>664</v>
      </c>
      <c r="J327" t="s">
        <v>42</v>
      </c>
    </row>
    <row r="328" spans="2:11" x14ac:dyDescent="0.25">
      <c r="B328" t="s">
        <v>1886</v>
      </c>
      <c r="D328" s="125" t="s">
        <v>1889</v>
      </c>
      <c r="F328" t="s">
        <v>1891</v>
      </c>
      <c r="H328" t="s">
        <v>716</v>
      </c>
      <c r="I328" t="s">
        <v>1892</v>
      </c>
      <c r="J328" t="s">
        <v>42</v>
      </c>
      <c r="K328" s="252">
        <v>44111</v>
      </c>
    </row>
    <row r="329" spans="2:11" x14ac:dyDescent="0.25">
      <c r="B329" t="s">
        <v>382</v>
      </c>
      <c r="D329" s="125">
        <v>0</v>
      </c>
      <c r="J329" t="s">
        <v>21</v>
      </c>
    </row>
    <row r="330" spans="2:11" x14ac:dyDescent="0.25">
      <c r="K330" s="252">
        <v>44139</v>
      </c>
    </row>
    <row r="331" spans="2:11" x14ac:dyDescent="0.25">
      <c r="K331" s="252">
        <v>44139</v>
      </c>
    </row>
    <row r="332" spans="2:11" x14ac:dyDescent="0.25">
      <c r="K332" s="252">
        <v>44139</v>
      </c>
    </row>
    <row r="333" spans="2:11" x14ac:dyDescent="0.25">
      <c r="K333" s="252">
        <v>44139</v>
      </c>
    </row>
    <row r="334" spans="2:11" x14ac:dyDescent="0.25">
      <c r="K334" s="252">
        <v>44139</v>
      </c>
    </row>
    <row r="335" spans="2:11" x14ac:dyDescent="0.25">
      <c r="K335" s="252">
        <v>44139</v>
      </c>
    </row>
    <row r="336" spans="2:11" x14ac:dyDescent="0.25">
      <c r="K336" s="252">
        <v>44139</v>
      </c>
    </row>
    <row r="337" spans="11:11" x14ac:dyDescent="0.25">
      <c r="K337" s="252">
        <v>44139</v>
      </c>
    </row>
    <row r="338" spans="11:11" x14ac:dyDescent="0.25">
      <c r="K338" s="252">
        <v>44139</v>
      </c>
    </row>
  </sheetData>
  <hyperlinks>
    <hyperlink ref="A1" location="PRINCIPAL!A1" display="Menu Principal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5"/>
  <dimension ref="A1:AB2029"/>
  <sheetViews>
    <sheetView topLeftCell="H1" zoomScale="105" zoomScaleNormal="112" workbookViewId="0">
      <selection activeCell="L2" sqref="L2:P2"/>
    </sheetView>
  </sheetViews>
  <sheetFormatPr defaultColWidth="18" defaultRowHeight="39.950000000000003" customHeight="1" x14ac:dyDescent="0.25"/>
  <cols>
    <col min="3" max="3" width="18" style="104"/>
    <col min="7" max="7" width="62.5703125" customWidth="1"/>
    <col min="17" max="17" width="18" style="156"/>
    <col min="19" max="19" width="18" style="156"/>
    <col min="22" max="22" width="18" style="180"/>
    <col min="24" max="24" width="18" style="180"/>
    <col min="28" max="28" width="18" style="180"/>
  </cols>
  <sheetData>
    <row r="1" spans="1:17" s="216" customFormat="1" ht="39.950000000000003" customHeight="1" x14ac:dyDescent="0.25">
      <c r="A1" s="231" t="s">
        <v>236</v>
      </c>
      <c r="B1" s="216" t="s">
        <v>246</v>
      </c>
      <c r="C1" s="216" t="s">
        <v>244</v>
      </c>
      <c r="D1" s="216" t="s">
        <v>245</v>
      </c>
      <c r="E1" s="216" t="s">
        <v>237</v>
      </c>
      <c r="F1" s="216" t="s">
        <v>247</v>
      </c>
      <c r="G1" s="216" t="s">
        <v>220</v>
      </c>
      <c r="H1" s="216" t="s">
        <v>262</v>
      </c>
      <c r="I1" s="216" t="s">
        <v>233</v>
      </c>
      <c r="J1" s="216" t="s">
        <v>263</v>
      </c>
      <c r="K1" s="216" t="s">
        <v>261</v>
      </c>
      <c r="L1" s="216" t="s">
        <v>217</v>
      </c>
      <c r="M1" s="216" t="s">
        <v>248</v>
      </c>
      <c r="N1" s="216" t="s">
        <v>240</v>
      </c>
      <c r="O1" s="216" t="s">
        <v>407</v>
      </c>
      <c r="P1" s="216" t="s">
        <v>264</v>
      </c>
      <c r="Q1" s="178" t="s">
        <v>409</v>
      </c>
    </row>
    <row r="2" spans="1:17" s="216" customFormat="1" ht="39.950000000000003" customHeight="1" x14ac:dyDescent="0.25">
      <c r="A2" s="231"/>
      <c r="B2" s="240">
        <v>1673</v>
      </c>
      <c r="C2" s="241">
        <v>44140</v>
      </c>
      <c r="D2" s="242" t="s">
        <v>1953</v>
      </c>
      <c r="E2" s="240" t="s">
        <v>1953</v>
      </c>
      <c r="F2" s="240">
        <v>0</v>
      </c>
      <c r="G2" s="240">
        <v>0</v>
      </c>
      <c r="H2" s="240">
        <v>0</v>
      </c>
      <c r="I2" s="243">
        <v>0</v>
      </c>
      <c r="J2" s="243"/>
      <c r="K2" s="243"/>
      <c r="L2" s="240" t="s">
        <v>3</v>
      </c>
      <c r="M2" s="244">
        <v>1</v>
      </c>
      <c r="N2" s="245">
        <v>35</v>
      </c>
      <c r="O2" s="243">
        <v>35</v>
      </c>
      <c r="P2" s="243"/>
      <c r="Q2" s="244"/>
    </row>
    <row r="3" spans="1:17" s="216" customFormat="1" ht="39.950000000000003" customHeight="1" x14ac:dyDescent="0.25">
      <c r="A3" s="231"/>
      <c r="B3" s="240">
        <v>1673</v>
      </c>
      <c r="C3" s="241">
        <v>44140</v>
      </c>
      <c r="D3" s="242" t="s">
        <v>1953</v>
      </c>
      <c r="E3" s="240" t="s">
        <v>1953</v>
      </c>
      <c r="F3" s="240">
        <v>0</v>
      </c>
      <c r="G3" s="240">
        <v>0</v>
      </c>
      <c r="H3" s="240">
        <v>0</v>
      </c>
      <c r="I3" s="243">
        <v>0</v>
      </c>
      <c r="J3" s="243"/>
      <c r="K3" s="243"/>
      <c r="L3" s="240" t="s">
        <v>219</v>
      </c>
      <c r="M3" s="244">
        <v>1</v>
      </c>
      <c r="N3" s="245">
        <v>35</v>
      </c>
      <c r="O3" s="243">
        <v>35</v>
      </c>
      <c r="P3" s="243"/>
      <c r="Q3" s="244"/>
    </row>
    <row r="4" spans="1:17" s="216" customFormat="1" ht="39.950000000000003" customHeight="1" x14ac:dyDescent="0.25">
      <c r="A4" s="231"/>
      <c r="B4" s="240">
        <v>1673</v>
      </c>
      <c r="C4" s="241">
        <v>44140</v>
      </c>
      <c r="D4" s="242" t="s">
        <v>1953</v>
      </c>
      <c r="E4" s="240" t="s">
        <v>1953</v>
      </c>
      <c r="F4" s="240">
        <v>0</v>
      </c>
      <c r="G4" s="240">
        <v>0</v>
      </c>
      <c r="H4" s="240">
        <v>0</v>
      </c>
      <c r="I4" s="243">
        <v>0</v>
      </c>
      <c r="J4" s="243"/>
      <c r="K4" s="243"/>
      <c r="L4" s="240" t="s">
        <v>1</v>
      </c>
      <c r="M4" s="244">
        <v>3</v>
      </c>
      <c r="N4" s="245">
        <v>35</v>
      </c>
      <c r="O4" s="243">
        <v>105</v>
      </c>
      <c r="P4" s="243"/>
      <c r="Q4" s="244"/>
    </row>
    <row r="5" spans="1:17" s="216" customFormat="1" ht="39.950000000000003" customHeight="1" x14ac:dyDescent="0.25">
      <c r="A5" s="231"/>
      <c r="B5" s="240">
        <v>1672</v>
      </c>
      <c r="C5" s="241">
        <v>44140</v>
      </c>
      <c r="D5" s="242" t="s">
        <v>1934</v>
      </c>
      <c r="E5" s="240" t="s">
        <v>1948</v>
      </c>
      <c r="F5" s="240" t="s">
        <v>1108</v>
      </c>
      <c r="G5" s="240" t="s">
        <v>1949</v>
      </c>
      <c r="H5" s="240" t="s">
        <v>549</v>
      </c>
      <c r="I5" s="243" t="s">
        <v>1950</v>
      </c>
      <c r="J5" s="243" t="s">
        <v>1134</v>
      </c>
      <c r="K5" s="243"/>
      <c r="L5" s="240" t="s">
        <v>219</v>
      </c>
      <c r="M5" s="244">
        <v>1</v>
      </c>
      <c r="N5" s="245">
        <v>35</v>
      </c>
      <c r="O5" s="243">
        <v>35</v>
      </c>
      <c r="P5" s="243"/>
      <c r="Q5" s="180" t="str">
        <f>IF(PEDIDOS[[#This Row],[Valor do item pago]]=PEDIDOS[[#This Row],[Total Item ]],"PAGO", "")</f>
        <v/>
      </c>
    </row>
    <row r="6" spans="1:17" s="216" customFormat="1" ht="39.950000000000003" customHeight="1" x14ac:dyDescent="0.25">
      <c r="A6" s="231"/>
      <c r="B6" s="240">
        <v>1671</v>
      </c>
      <c r="C6" s="241">
        <v>44140</v>
      </c>
      <c r="D6" s="242" t="s">
        <v>1934</v>
      </c>
      <c r="E6" s="240" t="s">
        <v>1951</v>
      </c>
      <c r="F6" s="240">
        <v>0</v>
      </c>
      <c r="G6" s="240">
        <v>0</v>
      </c>
      <c r="H6" s="240">
        <v>0</v>
      </c>
      <c r="I6" s="243">
        <v>0</v>
      </c>
      <c r="J6" s="243" t="s">
        <v>1134</v>
      </c>
      <c r="K6" s="243"/>
      <c r="L6" s="240" t="s">
        <v>0</v>
      </c>
      <c r="M6" s="244">
        <v>1</v>
      </c>
      <c r="N6" s="245">
        <v>35</v>
      </c>
      <c r="O6" s="243">
        <v>35</v>
      </c>
      <c r="P6" s="243"/>
      <c r="Q6" s="180" t="str">
        <f>IF(PEDIDOS[[#This Row],[Valor do item pago]]=PEDIDOS[[#This Row],[Total Item ]],"PAGO", "")</f>
        <v/>
      </c>
    </row>
    <row r="7" spans="1:17" s="216" customFormat="1" ht="39.950000000000003" customHeight="1" x14ac:dyDescent="0.25">
      <c r="A7" s="231"/>
      <c r="B7" s="240">
        <v>1671</v>
      </c>
      <c r="C7" s="241">
        <v>44140</v>
      </c>
      <c r="D7" s="242" t="s">
        <v>1934</v>
      </c>
      <c r="E7" s="240" t="s">
        <v>1192</v>
      </c>
      <c r="F7" s="240">
        <v>0</v>
      </c>
      <c r="G7" s="240">
        <v>0</v>
      </c>
      <c r="H7" s="240">
        <v>0</v>
      </c>
      <c r="I7" s="243">
        <v>0</v>
      </c>
      <c r="J7" s="243" t="s">
        <v>1952</v>
      </c>
      <c r="K7" s="243"/>
      <c r="L7" s="240" t="s">
        <v>0</v>
      </c>
      <c r="M7" s="244">
        <v>1</v>
      </c>
      <c r="N7" s="245">
        <v>35</v>
      </c>
      <c r="O7" s="243">
        <v>35</v>
      </c>
      <c r="P7" s="243"/>
      <c r="Q7" s="180" t="str">
        <f>IF(PEDIDOS[[#This Row],[Valor do item pago]]=PEDIDOS[[#This Row],[Total Item ]],"PAGO", "")</f>
        <v/>
      </c>
    </row>
    <row r="8" spans="1:17" s="216" customFormat="1" ht="39.950000000000003" customHeight="1" x14ac:dyDescent="0.25">
      <c r="A8" s="231"/>
      <c r="B8" s="240">
        <v>1670</v>
      </c>
      <c r="C8" s="241">
        <v>44140</v>
      </c>
      <c r="D8" s="242" t="s">
        <v>34</v>
      </c>
      <c r="E8" s="240" t="s">
        <v>90</v>
      </c>
      <c r="F8" s="240" t="s">
        <v>806</v>
      </c>
      <c r="G8" s="240">
        <v>0</v>
      </c>
      <c r="H8" s="240" t="s">
        <v>40</v>
      </c>
      <c r="I8" s="243">
        <v>0</v>
      </c>
      <c r="J8" s="243"/>
      <c r="K8" s="243" t="s">
        <v>40</v>
      </c>
      <c r="L8" s="240" t="s">
        <v>1</v>
      </c>
      <c r="M8" s="244">
        <v>2</v>
      </c>
      <c r="N8" s="245">
        <v>35</v>
      </c>
      <c r="O8" s="243">
        <v>70</v>
      </c>
      <c r="P8" s="243"/>
      <c r="Q8" s="180" t="str">
        <f>IF(PEDIDOS[[#This Row],[Valor do item pago]]=PEDIDOS[[#This Row],[Total Item ]],"PAGO", "")</f>
        <v/>
      </c>
    </row>
    <row r="9" spans="1:17" s="216" customFormat="1" ht="39.950000000000003" customHeight="1" x14ac:dyDescent="0.25">
      <c r="A9" s="231"/>
      <c r="B9" s="240">
        <v>1669</v>
      </c>
      <c r="C9" s="241">
        <v>44140</v>
      </c>
      <c r="D9" s="242" t="s">
        <v>11</v>
      </c>
      <c r="E9" s="240" t="s">
        <v>1299</v>
      </c>
      <c r="F9" s="240" t="s">
        <v>899</v>
      </c>
      <c r="G9" s="240" t="s">
        <v>1818</v>
      </c>
      <c r="H9" s="240" t="s">
        <v>651</v>
      </c>
      <c r="I9" s="243" t="s">
        <v>1819</v>
      </c>
      <c r="J9" s="243"/>
      <c r="K9" s="243"/>
      <c r="L9" s="240" t="s">
        <v>219</v>
      </c>
      <c r="M9" s="244">
        <v>1</v>
      </c>
      <c r="N9" s="245">
        <v>35</v>
      </c>
      <c r="O9" s="243">
        <v>35</v>
      </c>
      <c r="P9" s="243"/>
      <c r="Q9" s="180" t="str">
        <f>IF(PEDIDOS[[#This Row],[Valor do item pago]]=PEDIDOS[[#This Row],[Total Item ]],"PAGO", "")</f>
        <v/>
      </c>
    </row>
    <row r="10" spans="1:17" s="216" customFormat="1" ht="39.950000000000003" customHeight="1" x14ac:dyDescent="0.25">
      <c r="A10" s="231"/>
      <c r="B10" s="240">
        <v>1668</v>
      </c>
      <c r="C10" s="241">
        <v>44139</v>
      </c>
      <c r="D10" s="242" t="s">
        <v>11</v>
      </c>
      <c r="E10" s="240" t="s">
        <v>1943</v>
      </c>
      <c r="F10" s="240" t="s">
        <v>1944</v>
      </c>
      <c r="G10" s="240" t="s">
        <v>1947</v>
      </c>
      <c r="H10" s="240" t="s">
        <v>1945</v>
      </c>
      <c r="I10" s="243" t="s">
        <v>1946</v>
      </c>
      <c r="J10" s="243"/>
      <c r="K10" s="243"/>
      <c r="L10" s="240" t="s">
        <v>1</v>
      </c>
      <c r="M10" s="244">
        <v>1</v>
      </c>
      <c r="N10" s="245">
        <v>35</v>
      </c>
      <c r="O10" s="243">
        <v>35</v>
      </c>
      <c r="P10" s="243">
        <v>35</v>
      </c>
      <c r="Q10" s="180" t="str">
        <f>IF(PEDIDOS[[#This Row],[Valor do item pago]]=PEDIDOS[[#This Row],[Total Item ]],"PAGO", "")</f>
        <v>PAGO</v>
      </c>
    </row>
    <row r="11" spans="1:17" s="216" customFormat="1" ht="39.950000000000003" customHeight="1" x14ac:dyDescent="0.25">
      <c r="A11" s="231"/>
      <c r="B11" s="240">
        <v>1667</v>
      </c>
      <c r="C11" s="241">
        <v>44139</v>
      </c>
      <c r="D11" s="242" t="s">
        <v>1134</v>
      </c>
      <c r="E11" s="240" t="s">
        <v>1692</v>
      </c>
      <c r="F11" s="240" t="s">
        <v>1693</v>
      </c>
      <c r="G11" s="240">
        <v>0</v>
      </c>
      <c r="H11" s="240">
        <v>0</v>
      </c>
      <c r="I11" s="243">
        <v>0</v>
      </c>
      <c r="J11" s="243"/>
      <c r="K11" s="243" t="s">
        <v>40</v>
      </c>
      <c r="L11" s="240" t="s">
        <v>3</v>
      </c>
      <c r="M11" s="244">
        <v>1</v>
      </c>
      <c r="N11" s="245">
        <v>35</v>
      </c>
      <c r="O11" s="243">
        <v>35</v>
      </c>
      <c r="P11" s="243"/>
      <c r="Q11" s="180" t="str">
        <f>IF(PEDIDOS[[#This Row],[Valor do item pago]]=PEDIDOS[[#This Row],[Total Item ]],"PAGO", "")</f>
        <v/>
      </c>
    </row>
    <row r="12" spans="1:17" s="216" customFormat="1" ht="39.950000000000003" customHeight="1" x14ac:dyDescent="0.25">
      <c r="A12" s="231"/>
      <c r="B12" s="240">
        <v>1667</v>
      </c>
      <c r="C12" s="241">
        <v>44139</v>
      </c>
      <c r="D12" s="242" t="s">
        <v>1134</v>
      </c>
      <c r="E12" s="240" t="s">
        <v>1692</v>
      </c>
      <c r="F12" s="240" t="s">
        <v>1693</v>
      </c>
      <c r="G12" s="240">
        <v>0</v>
      </c>
      <c r="H12" s="240">
        <v>0</v>
      </c>
      <c r="I12" s="243">
        <v>0</v>
      </c>
      <c r="J12" s="243"/>
      <c r="K12" s="243" t="s">
        <v>40</v>
      </c>
      <c r="L12" s="240" t="s">
        <v>1</v>
      </c>
      <c r="M12" s="244">
        <v>1</v>
      </c>
      <c r="N12" s="245">
        <v>35</v>
      </c>
      <c r="O12" s="243">
        <v>35</v>
      </c>
      <c r="P12" s="243"/>
      <c r="Q12" s="180" t="str">
        <f>IF(PEDIDOS[[#This Row],[Valor do item pago]]=PEDIDOS[[#This Row],[Total Item ]],"PAGO", "")</f>
        <v/>
      </c>
    </row>
    <row r="13" spans="1:17" s="216" customFormat="1" ht="39.950000000000003" customHeight="1" x14ac:dyDescent="0.25">
      <c r="A13" s="231"/>
      <c r="B13" s="240">
        <v>1666</v>
      </c>
      <c r="C13" s="241">
        <v>44139</v>
      </c>
      <c r="D13" s="242" t="s">
        <v>732</v>
      </c>
      <c r="E13" s="240" t="s">
        <v>732</v>
      </c>
      <c r="F13" s="240" t="s">
        <v>733</v>
      </c>
      <c r="G13" s="240" t="s">
        <v>1866</v>
      </c>
      <c r="H13" s="240" t="s">
        <v>1799</v>
      </c>
      <c r="I13" s="243" t="s">
        <v>1867</v>
      </c>
      <c r="J13" s="243"/>
      <c r="K13" s="243" t="s">
        <v>732</v>
      </c>
      <c r="L13" s="240" t="s">
        <v>219</v>
      </c>
      <c r="M13" s="244">
        <v>1</v>
      </c>
      <c r="N13" s="245">
        <v>35</v>
      </c>
      <c r="O13" s="243">
        <v>35</v>
      </c>
      <c r="P13" s="243"/>
      <c r="Q13" s="180" t="str">
        <f>IF(PEDIDOS[[#This Row],[Valor do item pago]]=PEDIDOS[[#This Row],[Total Item ]],"PAGO", "")</f>
        <v/>
      </c>
    </row>
    <row r="14" spans="1:17" s="216" customFormat="1" ht="39.950000000000003" customHeight="1" x14ac:dyDescent="0.25">
      <c r="A14" s="231"/>
      <c r="B14" s="240">
        <v>1666</v>
      </c>
      <c r="C14" s="241">
        <v>44139</v>
      </c>
      <c r="D14" s="242" t="s">
        <v>732</v>
      </c>
      <c r="E14" s="240" t="s">
        <v>732</v>
      </c>
      <c r="F14" s="240" t="s">
        <v>733</v>
      </c>
      <c r="G14" s="240" t="s">
        <v>1866</v>
      </c>
      <c r="H14" s="240" t="s">
        <v>1799</v>
      </c>
      <c r="I14" s="243" t="s">
        <v>1867</v>
      </c>
      <c r="J14" s="243"/>
      <c r="K14" s="243" t="s">
        <v>732</v>
      </c>
      <c r="L14" s="240" t="s">
        <v>1</v>
      </c>
      <c r="M14" s="244">
        <v>1</v>
      </c>
      <c r="N14" s="245">
        <v>35</v>
      </c>
      <c r="O14" s="243">
        <v>35</v>
      </c>
      <c r="P14" s="243"/>
      <c r="Q14" s="180" t="str">
        <f>IF(PEDIDOS[[#This Row],[Valor do item pago]]=PEDIDOS[[#This Row],[Total Item ]],"PAGO", "")</f>
        <v/>
      </c>
    </row>
    <row r="15" spans="1:17" s="216" customFormat="1" ht="39.950000000000003" customHeight="1" x14ac:dyDescent="0.25">
      <c r="A15" s="231"/>
      <c r="B15" s="240">
        <v>1666</v>
      </c>
      <c r="C15" s="241">
        <v>44139</v>
      </c>
      <c r="D15" s="242" t="s">
        <v>732</v>
      </c>
      <c r="E15" s="240" t="s">
        <v>732</v>
      </c>
      <c r="F15" s="240" t="s">
        <v>733</v>
      </c>
      <c r="G15" s="240" t="s">
        <v>1866</v>
      </c>
      <c r="H15" s="240" t="s">
        <v>1799</v>
      </c>
      <c r="I15" s="243" t="s">
        <v>1867</v>
      </c>
      <c r="J15" s="243"/>
      <c r="K15" s="243" t="s">
        <v>732</v>
      </c>
      <c r="L15" s="240" t="s">
        <v>0</v>
      </c>
      <c r="M15" s="244">
        <v>1</v>
      </c>
      <c r="N15" s="245">
        <v>35</v>
      </c>
      <c r="O15" s="243">
        <v>35</v>
      </c>
      <c r="P15" s="243"/>
      <c r="Q15" s="180" t="str">
        <f>IF(PEDIDOS[[#This Row],[Valor do item pago]]=PEDIDOS[[#This Row],[Total Item ]],"PAGO", "")</f>
        <v/>
      </c>
    </row>
    <row r="16" spans="1:17" s="216" customFormat="1" ht="39.950000000000003" customHeight="1" x14ac:dyDescent="0.25">
      <c r="A16" s="231"/>
      <c r="B16" s="240">
        <v>1665</v>
      </c>
      <c r="C16" s="241">
        <v>44139</v>
      </c>
      <c r="D16" s="242" t="s">
        <v>11</v>
      </c>
      <c r="E16" s="240" t="s">
        <v>1939</v>
      </c>
      <c r="F16" s="240" t="s">
        <v>1940</v>
      </c>
      <c r="G16" s="240" t="s">
        <v>1941</v>
      </c>
      <c r="H16" s="240" t="s">
        <v>84</v>
      </c>
      <c r="I16" s="243" t="s">
        <v>1942</v>
      </c>
      <c r="J16" s="243"/>
      <c r="K16" s="243"/>
      <c r="L16" s="240" t="s">
        <v>1</v>
      </c>
      <c r="M16" s="244">
        <v>1</v>
      </c>
      <c r="N16" s="245">
        <v>35</v>
      </c>
      <c r="O16" s="243">
        <v>35</v>
      </c>
      <c r="P16" s="243"/>
      <c r="Q16" s="180" t="str">
        <f>IF(PEDIDOS[[#This Row],[Valor do item pago]]=PEDIDOS[[#This Row],[Total Item ]],"PAGO", "")</f>
        <v/>
      </c>
    </row>
    <row r="17" spans="1:17" s="216" customFormat="1" ht="39.950000000000003" customHeight="1" x14ac:dyDescent="0.25">
      <c r="A17" s="231"/>
      <c r="B17" s="240">
        <v>1664</v>
      </c>
      <c r="C17" s="241">
        <v>44139</v>
      </c>
      <c r="D17" s="242" t="s">
        <v>11</v>
      </c>
      <c r="E17" s="240" t="s">
        <v>25</v>
      </c>
      <c r="F17" s="240" t="s">
        <v>1222</v>
      </c>
      <c r="G17" s="240" t="s">
        <v>1411</v>
      </c>
      <c r="H17" s="240" t="s">
        <v>406</v>
      </c>
      <c r="I17" s="243" t="s">
        <v>329</v>
      </c>
      <c r="J17" s="243" t="s">
        <v>1938</v>
      </c>
      <c r="K17" s="243"/>
      <c r="L17" s="240" t="s">
        <v>219</v>
      </c>
      <c r="M17" s="244">
        <v>1</v>
      </c>
      <c r="N17" s="245">
        <v>35</v>
      </c>
      <c r="O17" s="243">
        <v>35</v>
      </c>
      <c r="P17" s="243"/>
      <c r="Q17" s="180" t="str">
        <f>IF(PEDIDOS[[#This Row],[Valor do item pago]]=PEDIDOS[[#This Row],[Total Item ]],"PAGO", "")</f>
        <v/>
      </c>
    </row>
    <row r="18" spans="1:17" s="216" customFormat="1" ht="39.950000000000003" customHeight="1" x14ac:dyDescent="0.25">
      <c r="A18" s="231"/>
      <c r="B18" s="240">
        <v>1663</v>
      </c>
      <c r="C18" s="241">
        <v>44139</v>
      </c>
      <c r="D18" s="242" t="s">
        <v>11</v>
      </c>
      <c r="E18" s="240" t="s">
        <v>1288</v>
      </c>
      <c r="F18" s="240" t="s">
        <v>832</v>
      </c>
      <c r="G18" s="240" t="s">
        <v>1388</v>
      </c>
      <c r="H18" s="240" t="s">
        <v>651</v>
      </c>
      <c r="I18" s="243" t="s">
        <v>834</v>
      </c>
      <c r="J18" s="243" t="s">
        <v>1937</v>
      </c>
      <c r="K18" s="243"/>
      <c r="L18" s="240" t="s">
        <v>219</v>
      </c>
      <c r="M18" s="244">
        <v>2</v>
      </c>
      <c r="N18" s="245">
        <v>35</v>
      </c>
      <c r="O18" s="243">
        <v>70</v>
      </c>
      <c r="P18" s="243"/>
      <c r="Q18" s="180" t="str">
        <f>IF(PEDIDOS[[#This Row],[Valor do item pago]]=PEDIDOS[[#This Row],[Total Item ]],"PAGO", "")</f>
        <v/>
      </c>
    </row>
    <row r="19" spans="1:17" s="216" customFormat="1" ht="39.950000000000003" customHeight="1" x14ac:dyDescent="0.25">
      <c r="A19" s="231"/>
      <c r="B19" s="240">
        <v>1662</v>
      </c>
      <c r="C19" s="241">
        <v>44139</v>
      </c>
      <c r="D19" s="242" t="s">
        <v>11</v>
      </c>
      <c r="E19" s="240" t="s">
        <v>11</v>
      </c>
      <c r="F19" s="240" t="s">
        <v>882</v>
      </c>
      <c r="G19" s="240" t="s">
        <v>1382</v>
      </c>
      <c r="H19" s="240" t="s">
        <v>441</v>
      </c>
      <c r="I19" s="243" t="s">
        <v>884</v>
      </c>
      <c r="J19" s="243"/>
      <c r="K19" s="243"/>
      <c r="L19" s="240" t="s">
        <v>1</v>
      </c>
      <c r="M19" s="244">
        <v>2</v>
      </c>
      <c r="N19" s="245">
        <v>35</v>
      </c>
      <c r="O19" s="243">
        <v>70</v>
      </c>
      <c r="P19" s="243">
        <v>70</v>
      </c>
      <c r="Q19" s="180" t="str">
        <f>IF(PEDIDOS[[#This Row],[Valor do item pago]]=PEDIDOS[[#This Row],[Total Item ]],"PAGO", "")</f>
        <v>PAGO</v>
      </c>
    </row>
    <row r="20" spans="1:17" s="216" customFormat="1" ht="39.950000000000003" customHeight="1" x14ac:dyDescent="0.25">
      <c r="A20" s="231"/>
      <c r="B20" s="240">
        <v>1661</v>
      </c>
      <c r="C20" s="241">
        <v>44139</v>
      </c>
      <c r="D20" s="242" t="s">
        <v>11</v>
      </c>
      <c r="E20" s="240" t="s">
        <v>25</v>
      </c>
      <c r="F20" s="240" t="s">
        <v>1222</v>
      </c>
      <c r="G20" s="240" t="s">
        <v>1411</v>
      </c>
      <c r="H20" s="240" t="s">
        <v>406</v>
      </c>
      <c r="I20" s="243" t="s">
        <v>329</v>
      </c>
      <c r="J20" s="243" t="s">
        <v>1936</v>
      </c>
      <c r="K20" s="243"/>
      <c r="L20" s="240" t="s">
        <v>219</v>
      </c>
      <c r="M20" s="244">
        <v>1</v>
      </c>
      <c r="N20" s="245">
        <v>35</v>
      </c>
      <c r="O20" s="243">
        <v>35</v>
      </c>
      <c r="P20" s="243">
        <v>35</v>
      </c>
      <c r="Q20" s="180" t="str">
        <f>IF(PEDIDOS[[#This Row],[Valor do item pago]]=PEDIDOS[[#This Row],[Total Item ]],"PAGO", "")</f>
        <v>PAGO</v>
      </c>
    </row>
    <row r="21" spans="1:17" s="216" customFormat="1" ht="39.950000000000003" customHeight="1" x14ac:dyDescent="0.25">
      <c r="A21" s="231"/>
      <c r="B21" s="240">
        <v>1660</v>
      </c>
      <c r="C21" s="241">
        <v>44139</v>
      </c>
      <c r="D21" s="242" t="s">
        <v>11</v>
      </c>
      <c r="E21" s="240" t="s">
        <v>1824</v>
      </c>
      <c r="F21" s="240" t="s">
        <v>1826</v>
      </c>
      <c r="G21" s="240" t="s">
        <v>1830</v>
      </c>
      <c r="H21" s="240" t="s">
        <v>1205</v>
      </c>
      <c r="I21" s="243" t="s">
        <v>1831</v>
      </c>
      <c r="J21" s="243"/>
      <c r="K21" s="243"/>
      <c r="L21" s="240" t="s">
        <v>219</v>
      </c>
      <c r="M21" s="244">
        <v>1</v>
      </c>
      <c r="N21" s="245">
        <v>35</v>
      </c>
      <c r="O21" s="243">
        <v>35</v>
      </c>
      <c r="P21" s="243">
        <v>35</v>
      </c>
      <c r="Q21" s="180" t="str">
        <f>IF(PEDIDOS[[#This Row],[Valor do item pago]]=PEDIDOS[[#This Row],[Total Item ]],"PAGO", "")</f>
        <v>PAGO</v>
      </c>
    </row>
    <row r="22" spans="1:17" s="216" customFormat="1" ht="39.950000000000003" customHeight="1" x14ac:dyDescent="0.25">
      <c r="A22" s="231"/>
      <c r="B22" s="240">
        <v>1659</v>
      </c>
      <c r="C22" s="241">
        <v>44139</v>
      </c>
      <c r="D22" s="242" t="s">
        <v>11</v>
      </c>
      <c r="E22" s="240" t="s">
        <v>1823</v>
      </c>
      <c r="F22" s="240" t="s">
        <v>1825</v>
      </c>
      <c r="G22" s="240" t="s">
        <v>1827</v>
      </c>
      <c r="H22" s="240" t="s">
        <v>1828</v>
      </c>
      <c r="I22" s="243" t="s">
        <v>1829</v>
      </c>
      <c r="J22" s="243"/>
      <c r="K22" s="243"/>
      <c r="L22" s="240" t="s">
        <v>219</v>
      </c>
      <c r="M22" s="244">
        <v>1</v>
      </c>
      <c r="N22" s="245">
        <v>35</v>
      </c>
      <c r="O22" s="243">
        <v>35</v>
      </c>
      <c r="P22" s="243">
        <v>35</v>
      </c>
      <c r="Q22" s="180" t="str">
        <f>IF(PEDIDOS[[#This Row],[Valor do item pago]]=PEDIDOS[[#This Row],[Total Item ]],"PAGO", "")</f>
        <v>PAGO</v>
      </c>
    </row>
    <row r="23" spans="1:17" s="216" customFormat="1" ht="39.950000000000003" customHeight="1" x14ac:dyDescent="0.25">
      <c r="A23" s="231"/>
      <c r="B23" s="240">
        <v>1658</v>
      </c>
      <c r="C23" s="241">
        <v>44139</v>
      </c>
      <c r="D23" s="242" t="s">
        <v>11</v>
      </c>
      <c r="E23" s="240" t="s">
        <v>1775</v>
      </c>
      <c r="F23" s="240" t="s">
        <v>1088</v>
      </c>
      <c r="G23" s="240" t="s">
        <v>1407</v>
      </c>
      <c r="H23" s="240" t="s">
        <v>570</v>
      </c>
      <c r="I23" s="243" t="s">
        <v>1090</v>
      </c>
      <c r="J23" s="243"/>
      <c r="K23" s="243"/>
      <c r="L23" s="240" t="s">
        <v>219</v>
      </c>
      <c r="M23" s="244">
        <v>1</v>
      </c>
      <c r="N23" s="245">
        <v>35</v>
      </c>
      <c r="O23" s="243">
        <v>35</v>
      </c>
      <c r="P23" s="243">
        <v>35</v>
      </c>
      <c r="Q23" s="180" t="str">
        <f>IF(PEDIDOS[[#This Row],[Valor do item pago]]=PEDIDOS[[#This Row],[Total Item ]],"PAGO", "")</f>
        <v>PAGO</v>
      </c>
    </row>
    <row r="24" spans="1:17" s="216" customFormat="1" ht="39.950000000000003" customHeight="1" x14ac:dyDescent="0.25">
      <c r="A24" s="231"/>
      <c r="B24" s="240">
        <v>1657</v>
      </c>
      <c r="C24" s="241">
        <v>44139</v>
      </c>
      <c r="D24" s="242" t="s">
        <v>11</v>
      </c>
      <c r="E24" s="240" t="s">
        <v>1199</v>
      </c>
      <c r="F24" s="240" t="s">
        <v>969</v>
      </c>
      <c r="G24" s="240" t="s">
        <v>1361</v>
      </c>
      <c r="H24" s="240" t="s">
        <v>52</v>
      </c>
      <c r="I24" s="243" t="s">
        <v>971</v>
      </c>
      <c r="J24" s="243"/>
      <c r="K24" s="243"/>
      <c r="L24" s="240" t="s">
        <v>219</v>
      </c>
      <c r="M24" s="244">
        <v>1</v>
      </c>
      <c r="N24" s="245">
        <v>35</v>
      </c>
      <c r="O24" s="243">
        <v>35</v>
      </c>
      <c r="P24" s="243">
        <v>35</v>
      </c>
      <c r="Q24" s="180" t="str">
        <f>IF(PEDIDOS[[#This Row],[Valor do item pago]]=PEDIDOS[[#This Row],[Total Item ]],"PAGO", "")</f>
        <v>PAGO</v>
      </c>
    </row>
    <row r="25" spans="1:17" s="216" customFormat="1" ht="39.950000000000003" customHeight="1" x14ac:dyDescent="0.25">
      <c r="A25" s="231"/>
      <c r="B25" s="240">
        <v>1656</v>
      </c>
      <c r="C25" s="241">
        <v>44139</v>
      </c>
      <c r="D25" s="242" t="s">
        <v>11</v>
      </c>
      <c r="E25" s="240" t="s">
        <v>1262</v>
      </c>
      <c r="F25" s="240">
        <v>0</v>
      </c>
      <c r="G25" s="240">
        <v>0</v>
      </c>
      <c r="H25" s="240">
        <v>0</v>
      </c>
      <c r="I25" s="243">
        <v>0</v>
      </c>
      <c r="J25" s="243"/>
      <c r="K25" s="243"/>
      <c r="L25" s="240" t="s">
        <v>1</v>
      </c>
      <c r="M25" s="244">
        <v>1</v>
      </c>
      <c r="N25" s="245">
        <v>35</v>
      </c>
      <c r="O25" s="243">
        <v>35</v>
      </c>
      <c r="P25" s="243">
        <v>35</v>
      </c>
      <c r="Q25" s="180" t="str">
        <f>IF(PEDIDOS[[#This Row],[Valor do item pago]]=PEDIDOS[[#This Row],[Total Item ]],"PAGO", "")</f>
        <v>PAGO</v>
      </c>
    </row>
    <row r="26" spans="1:17" s="216" customFormat="1" ht="39.950000000000003" customHeight="1" x14ac:dyDescent="0.25">
      <c r="A26" s="231"/>
      <c r="B26" s="240">
        <v>1655</v>
      </c>
      <c r="C26" s="241">
        <v>44139</v>
      </c>
      <c r="D26" s="242" t="s">
        <v>11</v>
      </c>
      <c r="E26" s="240" t="s">
        <v>528</v>
      </c>
      <c r="F26" s="240" t="s">
        <v>527</v>
      </c>
      <c r="G26" s="240" t="s">
        <v>1815</v>
      </c>
      <c r="H26" s="240" t="s">
        <v>651</v>
      </c>
      <c r="I26" s="243" t="s">
        <v>1816</v>
      </c>
      <c r="J26" s="243"/>
      <c r="K26" s="243"/>
      <c r="L26" s="240" t="s">
        <v>219</v>
      </c>
      <c r="M26" s="244">
        <v>1</v>
      </c>
      <c r="N26" s="245">
        <v>35</v>
      </c>
      <c r="O26" s="243">
        <v>35</v>
      </c>
      <c r="P26" s="243"/>
      <c r="Q26" s="180" t="str">
        <f>IF(PEDIDOS[[#This Row],[Valor do item pago]]=PEDIDOS[[#This Row],[Total Item ]],"PAGO", "")</f>
        <v/>
      </c>
    </row>
    <row r="27" spans="1:17" s="216" customFormat="1" ht="39.950000000000003" customHeight="1" x14ac:dyDescent="0.25">
      <c r="A27" s="231"/>
      <c r="B27" s="240">
        <v>1654</v>
      </c>
      <c r="C27" s="241">
        <v>44139</v>
      </c>
      <c r="D27" s="242" t="s">
        <v>11</v>
      </c>
      <c r="E27" s="240" t="s">
        <v>367</v>
      </c>
      <c r="F27" s="240" t="s">
        <v>1237</v>
      </c>
      <c r="G27" s="240" t="s">
        <v>1418</v>
      </c>
      <c r="H27" s="240" t="s">
        <v>392</v>
      </c>
      <c r="I27" s="243" t="s">
        <v>656</v>
      </c>
      <c r="J27" s="243"/>
      <c r="K27" s="243"/>
      <c r="L27" s="240" t="s">
        <v>219</v>
      </c>
      <c r="M27" s="244">
        <v>1</v>
      </c>
      <c r="N27" s="245">
        <v>35</v>
      </c>
      <c r="O27" s="243">
        <v>35</v>
      </c>
      <c r="P27" s="243"/>
      <c r="Q27" s="180" t="str">
        <f>IF(PEDIDOS[[#This Row],[Valor do item pago]]=PEDIDOS[[#This Row],[Total Item ]],"PAGO", "")</f>
        <v/>
      </c>
    </row>
    <row r="28" spans="1:17" s="216" customFormat="1" ht="39.950000000000003" customHeight="1" x14ac:dyDescent="0.25">
      <c r="A28" s="231"/>
      <c r="B28" s="240">
        <v>1654</v>
      </c>
      <c r="C28" s="241">
        <v>44139</v>
      </c>
      <c r="D28" s="242" t="s">
        <v>11</v>
      </c>
      <c r="E28" s="240" t="s">
        <v>367</v>
      </c>
      <c r="F28" s="240" t="s">
        <v>1237</v>
      </c>
      <c r="G28" s="240" t="s">
        <v>1418</v>
      </c>
      <c r="H28" s="240" t="s">
        <v>392</v>
      </c>
      <c r="I28" s="243" t="s">
        <v>656</v>
      </c>
      <c r="J28" s="243"/>
      <c r="K28" s="243"/>
      <c r="L28" s="240" t="s">
        <v>0</v>
      </c>
      <c r="M28" s="244">
        <v>1</v>
      </c>
      <c r="N28" s="245">
        <v>35</v>
      </c>
      <c r="O28" s="243">
        <v>35</v>
      </c>
      <c r="P28" s="243"/>
      <c r="Q28" s="180" t="str">
        <f>IF(PEDIDOS[[#This Row],[Valor do item pago]]=PEDIDOS[[#This Row],[Total Item ]],"PAGO", "")</f>
        <v/>
      </c>
    </row>
    <row r="29" spans="1:17" s="216" customFormat="1" ht="39.950000000000003" customHeight="1" x14ac:dyDescent="0.25">
      <c r="A29" s="231"/>
      <c r="B29" s="240">
        <v>1653</v>
      </c>
      <c r="C29" s="241">
        <v>44139</v>
      </c>
      <c r="D29" s="242" t="s">
        <v>34</v>
      </c>
      <c r="E29" s="240" t="s">
        <v>588</v>
      </c>
      <c r="F29" s="240" t="s">
        <v>1079</v>
      </c>
      <c r="G29" s="240" t="s">
        <v>1770</v>
      </c>
      <c r="H29" s="240" t="s">
        <v>1771</v>
      </c>
      <c r="I29" s="243" t="s">
        <v>1772</v>
      </c>
      <c r="J29" s="243"/>
      <c r="K29" s="243"/>
      <c r="L29" s="240" t="s">
        <v>219</v>
      </c>
      <c r="M29" s="244">
        <v>1</v>
      </c>
      <c r="N29" s="245">
        <v>35</v>
      </c>
      <c r="O29" s="243">
        <v>35</v>
      </c>
      <c r="P29" s="243">
        <v>35</v>
      </c>
      <c r="Q29" s="180" t="str">
        <f>IF(PEDIDOS[[#This Row],[Valor do item pago]]=PEDIDOS[[#This Row],[Total Item ]],"PAGO", "")</f>
        <v>PAGO</v>
      </c>
    </row>
    <row r="30" spans="1:17" s="216" customFormat="1" ht="39.950000000000003" customHeight="1" x14ac:dyDescent="0.25">
      <c r="A30" s="231"/>
      <c r="B30" s="240">
        <v>1652</v>
      </c>
      <c r="C30" s="241">
        <v>44139</v>
      </c>
      <c r="D30" s="242" t="s">
        <v>11</v>
      </c>
      <c r="E30" s="240" t="s">
        <v>1278</v>
      </c>
      <c r="F30" s="240" t="s">
        <v>1757</v>
      </c>
      <c r="G30" s="240" t="s">
        <v>1758</v>
      </c>
      <c r="H30" s="240" t="s">
        <v>1257</v>
      </c>
      <c r="I30" s="243" t="s">
        <v>1759</v>
      </c>
      <c r="J30" s="243"/>
      <c r="K30" s="243"/>
      <c r="L30" s="240" t="s">
        <v>0</v>
      </c>
      <c r="M30" s="244">
        <v>1</v>
      </c>
      <c r="N30" s="245">
        <v>35</v>
      </c>
      <c r="O30" s="243">
        <v>35</v>
      </c>
      <c r="P30" s="243"/>
      <c r="Q30" s="180" t="str">
        <f>IF(PEDIDOS[[#This Row],[Valor do item pago]]=PEDIDOS[[#This Row],[Total Item ]],"PAGO", "")</f>
        <v/>
      </c>
    </row>
    <row r="31" spans="1:17" s="216" customFormat="1" ht="39.950000000000003" customHeight="1" x14ac:dyDescent="0.25">
      <c r="A31" s="231"/>
      <c r="B31" s="240">
        <v>1651</v>
      </c>
      <c r="C31" s="241">
        <v>44139</v>
      </c>
      <c r="D31" s="242" t="s">
        <v>11</v>
      </c>
      <c r="E31" s="240" t="s">
        <v>379</v>
      </c>
      <c r="F31" s="240" t="s">
        <v>1250</v>
      </c>
      <c r="G31" s="240" t="s">
        <v>1425</v>
      </c>
      <c r="H31" s="240" t="s">
        <v>1195</v>
      </c>
      <c r="I31" s="243" t="s">
        <v>257</v>
      </c>
      <c r="J31" s="243"/>
      <c r="K31" s="243"/>
      <c r="L31" s="240" t="s">
        <v>1</v>
      </c>
      <c r="M31" s="244">
        <v>1</v>
      </c>
      <c r="N31" s="245">
        <v>35</v>
      </c>
      <c r="O31" s="243">
        <v>35</v>
      </c>
      <c r="P31" s="243"/>
      <c r="Q31" s="180" t="str">
        <f>IF(PEDIDOS[[#This Row],[Valor do item pago]]=PEDIDOS[[#This Row],[Total Item ]],"PAGO", "")</f>
        <v/>
      </c>
    </row>
    <row r="32" spans="1:17" s="216" customFormat="1" ht="39.950000000000003" customHeight="1" x14ac:dyDescent="0.25">
      <c r="A32" s="231"/>
      <c r="B32" s="240">
        <v>1650</v>
      </c>
      <c r="C32" s="241">
        <v>44139</v>
      </c>
      <c r="D32" s="242" t="s">
        <v>11</v>
      </c>
      <c r="E32" s="240" t="s">
        <v>1009</v>
      </c>
      <c r="F32" s="240" t="s">
        <v>1012</v>
      </c>
      <c r="G32" s="240" t="s">
        <v>1308</v>
      </c>
      <c r="H32" s="240" t="s">
        <v>593</v>
      </c>
      <c r="I32" s="243" t="s">
        <v>1011</v>
      </c>
      <c r="J32" s="243"/>
      <c r="K32" s="243"/>
      <c r="L32" s="240" t="s">
        <v>1</v>
      </c>
      <c r="M32" s="244">
        <v>1</v>
      </c>
      <c r="N32" s="245">
        <v>35</v>
      </c>
      <c r="O32" s="243">
        <v>35</v>
      </c>
      <c r="P32" s="243"/>
      <c r="Q32" s="180" t="str">
        <f>IF(PEDIDOS[[#This Row],[Valor do item pago]]=PEDIDOS[[#This Row],[Total Item ]],"PAGO", "")</f>
        <v/>
      </c>
    </row>
    <row r="33" spans="1:17" s="216" customFormat="1" ht="39.950000000000003" customHeight="1" x14ac:dyDescent="0.25">
      <c r="A33" s="231"/>
      <c r="B33" s="240">
        <v>1649</v>
      </c>
      <c r="C33" s="241">
        <v>44139</v>
      </c>
      <c r="D33" s="242" t="s">
        <v>11</v>
      </c>
      <c r="E33" s="240" t="s">
        <v>1887</v>
      </c>
      <c r="F33" s="240" t="s">
        <v>1890</v>
      </c>
      <c r="G33" s="240" t="s">
        <v>1893</v>
      </c>
      <c r="H33" s="240" t="s">
        <v>115</v>
      </c>
      <c r="I33" s="243" t="s">
        <v>1894</v>
      </c>
      <c r="J33" s="243"/>
      <c r="K33" s="243"/>
      <c r="L33" s="240" t="s">
        <v>1</v>
      </c>
      <c r="M33" s="244">
        <v>1</v>
      </c>
      <c r="N33" s="245">
        <v>35</v>
      </c>
      <c r="O33" s="243">
        <v>35</v>
      </c>
      <c r="P33" s="243"/>
      <c r="Q33" s="180" t="str">
        <f>IF(PEDIDOS[[#This Row],[Valor do item pago]]=PEDIDOS[[#This Row],[Total Item ]],"PAGO", "")</f>
        <v/>
      </c>
    </row>
    <row r="34" spans="1:17" s="216" customFormat="1" ht="39.950000000000003" customHeight="1" x14ac:dyDescent="0.25">
      <c r="A34" s="231"/>
      <c r="B34" s="240">
        <v>1648</v>
      </c>
      <c r="C34" s="241">
        <v>44139</v>
      </c>
      <c r="D34" s="242" t="s">
        <v>11</v>
      </c>
      <c r="E34" s="240" t="s">
        <v>1272</v>
      </c>
      <c r="F34" s="240" t="s">
        <v>1227</v>
      </c>
      <c r="G34" s="240" t="s">
        <v>1882</v>
      </c>
      <c r="H34" s="240" t="s">
        <v>1196</v>
      </c>
      <c r="I34" s="243" t="s">
        <v>1883</v>
      </c>
      <c r="J34" s="243"/>
      <c r="K34" s="243"/>
      <c r="L34" s="240" t="s">
        <v>1</v>
      </c>
      <c r="M34" s="244">
        <v>2</v>
      </c>
      <c r="N34" s="245">
        <v>35</v>
      </c>
      <c r="O34" s="243">
        <v>70</v>
      </c>
      <c r="P34" s="243"/>
      <c r="Q34" s="180" t="str">
        <f>IF(PEDIDOS[[#This Row],[Valor do item pago]]=PEDIDOS[[#This Row],[Total Item ]],"PAGO", "")</f>
        <v/>
      </c>
    </row>
    <row r="35" spans="1:17" s="216" customFormat="1" ht="39.950000000000003" customHeight="1" x14ac:dyDescent="0.25">
      <c r="A35" s="231"/>
      <c r="B35" s="240">
        <v>1647</v>
      </c>
      <c r="C35" s="241">
        <v>44139</v>
      </c>
      <c r="D35" s="242" t="s">
        <v>11</v>
      </c>
      <c r="E35" s="240" t="s">
        <v>1717</v>
      </c>
      <c r="F35" s="240" t="s">
        <v>1654</v>
      </c>
      <c r="G35" s="240" t="s">
        <v>1655</v>
      </c>
      <c r="H35" s="240" t="s">
        <v>84</v>
      </c>
      <c r="I35" s="243" t="s">
        <v>1656</v>
      </c>
      <c r="J35" s="243"/>
      <c r="K35" s="243"/>
      <c r="L35" s="240" t="s">
        <v>219</v>
      </c>
      <c r="M35" s="244">
        <v>1</v>
      </c>
      <c r="N35" s="245">
        <v>35</v>
      </c>
      <c r="O35" s="243">
        <v>35</v>
      </c>
      <c r="P35" s="243"/>
      <c r="Q35" s="180" t="str">
        <f>IF(PEDIDOS[[#This Row],[Valor do item pago]]=PEDIDOS[[#This Row],[Total Item ]],"PAGO", "")</f>
        <v/>
      </c>
    </row>
    <row r="36" spans="1:17" s="216" customFormat="1" ht="39.950000000000003" customHeight="1" x14ac:dyDescent="0.25">
      <c r="A36" s="231"/>
      <c r="B36" s="240">
        <v>1646</v>
      </c>
      <c r="C36" s="241">
        <v>44139</v>
      </c>
      <c r="D36" s="242" t="s">
        <v>11</v>
      </c>
      <c r="E36" s="240" t="s">
        <v>1648</v>
      </c>
      <c r="F36" s="240" t="s">
        <v>1649</v>
      </c>
      <c r="G36" s="240" t="s">
        <v>1650</v>
      </c>
      <c r="H36" s="240" t="s">
        <v>84</v>
      </c>
      <c r="I36" s="243" t="s">
        <v>1652</v>
      </c>
      <c r="J36" s="243" t="s">
        <v>1817</v>
      </c>
      <c r="K36" s="243"/>
      <c r="L36" s="240" t="s">
        <v>219</v>
      </c>
      <c r="M36" s="244">
        <v>1</v>
      </c>
      <c r="N36" s="245">
        <v>35</v>
      </c>
      <c r="O36" s="243">
        <v>35</v>
      </c>
      <c r="P36" s="243"/>
      <c r="Q36" s="180" t="str">
        <f>IF(PEDIDOS[[#This Row],[Valor do item pago]]=PEDIDOS[[#This Row],[Total Item ]],"PAGO", "")</f>
        <v/>
      </c>
    </row>
    <row r="37" spans="1:17" s="216" customFormat="1" ht="39.950000000000003" customHeight="1" x14ac:dyDescent="0.25">
      <c r="A37" s="231"/>
      <c r="B37" s="240">
        <v>1645</v>
      </c>
      <c r="C37" s="241">
        <v>44139</v>
      </c>
      <c r="D37" s="242" t="s">
        <v>11</v>
      </c>
      <c r="E37" s="240" t="s">
        <v>1446</v>
      </c>
      <c r="F37" s="240" t="s">
        <v>903</v>
      </c>
      <c r="G37" s="240" t="s">
        <v>1290</v>
      </c>
      <c r="H37" s="240" t="s">
        <v>520</v>
      </c>
      <c r="I37" s="243" t="s">
        <v>905</v>
      </c>
      <c r="J37" s="243"/>
      <c r="K37" s="243"/>
      <c r="L37" s="240" t="s">
        <v>219</v>
      </c>
      <c r="M37" s="244">
        <v>1</v>
      </c>
      <c r="N37" s="245">
        <v>35</v>
      </c>
      <c r="O37" s="243">
        <v>35</v>
      </c>
      <c r="P37" s="243"/>
      <c r="Q37" s="180" t="str">
        <f>IF(PEDIDOS[[#This Row],[Valor do item pago]]=PEDIDOS[[#This Row],[Total Item ]],"PAGO", "")</f>
        <v/>
      </c>
    </row>
    <row r="38" spans="1:17" s="216" customFormat="1" ht="39.950000000000003" customHeight="1" x14ac:dyDescent="0.25">
      <c r="A38" s="231"/>
      <c r="B38" s="240">
        <v>1644</v>
      </c>
      <c r="C38" s="241">
        <v>44139</v>
      </c>
      <c r="D38" s="242" t="s">
        <v>11</v>
      </c>
      <c r="E38" s="240" t="s">
        <v>1259</v>
      </c>
      <c r="F38" s="240" t="s">
        <v>1226</v>
      </c>
      <c r="G38" s="240" t="s">
        <v>1440</v>
      </c>
      <c r="H38" s="240" t="s">
        <v>390</v>
      </c>
      <c r="I38" s="243" t="s">
        <v>251</v>
      </c>
      <c r="J38" s="243"/>
      <c r="K38" s="243"/>
      <c r="L38" s="240" t="s">
        <v>1</v>
      </c>
      <c r="M38" s="244">
        <v>1</v>
      </c>
      <c r="N38" s="245">
        <v>35</v>
      </c>
      <c r="O38" s="243">
        <v>35</v>
      </c>
      <c r="P38" s="243"/>
      <c r="Q38" s="180" t="str">
        <f>IF(PEDIDOS[[#This Row],[Valor do item pago]]=PEDIDOS[[#This Row],[Total Item ]],"PAGO", "")</f>
        <v/>
      </c>
    </row>
    <row r="39" spans="1:17" s="216" customFormat="1" ht="39.950000000000003" customHeight="1" x14ac:dyDescent="0.25">
      <c r="A39" s="231"/>
      <c r="B39" s="240">
        <v>1643</v>
      </c>
      <c r="C39" s="241">
        <v>44139</v>
      </c>
      <c r="D39" s="242" t="s">
        <v>11</v>
      </c>
      <c r="E39" s="240" t="s">
        <v>513</v>
      </c>
      <c r="F39" s="240" t="s">
        <v>514</v>
      </c>
      <c r="G39" s="240" t="s">
        <v>1419</v>
      </c>
      <c r="H39" s="240" t="s">
        <v>1455</v>
      </c>
      <c r="I39" s="243" t="s">
        <v>661</v>
      </c>
      <c r="J39" s="243"/>
      <c r="K39" s="243"/>
      <c r="L39" s="240" t="s">
        <v>219</v>
      </c>
      <c r="M39" s="244">
        <v>1</v>
      </c>
      <c r="N39" s="245">
        <v>35</v>
      </c>
      <c r="O39" s="243">
        <v>35</v>
      </c>
      <c r="P39" s="243"/>
      <c r="Q39" s="180" t="str">
        <f>IF(PEDIDOS[[#This Row],[Valor do item pago]]=PEDIDOS[[#This Row],[Total Item ]],"PAGO", "")</f>
        <v/>
      </c>
    </row>
    <row r="40" spans="1:17" s="216" customFormat="1" ht="39.950000000000003" customHeight="1" x14ac:dyDescent="0.25">
      <c r="A40" s="231"/>
      <c r="B40" s="240">
        <v>1643</v>
      </c>
      <c r="C40" s="241">
        <v>44139</v>
      </c>
      <c r="D40" s="242" t="s">
        <v>11</v>
      </c>
      <c r="E40" s="240" t="s">
        <v>513</v>
      </c>
      <c r="F40" s="240" t="s">
        <v>514</v>
      </c>
      <c r="G40" s="240" t="s">
        <v>1419</v>
      </c>
      <c r="H40" s="240" t="s">
        <v>1455</v>
      </c>
      <c r="I40" s="243" t="s">
        <v>661</v>
      </c>
      <c r="J40" s="243"/>
      <c r="K40" s="243"/>
      <c r="L40" s="240" t="s">
        <v>1</v>
      </c>
      <c r="M40" s="244">
        <v>1</v>
      </c>
      <c r="N40" s="245">
        <v>35</v>
      </c>
      <c r="O40" s="243">
        <v>35</v>
      </c>
      <c r="P40" s="243"/>
      <c r="Q40" s="180" t="str">
        <f>IF(PEDIDOS[[#This Row],[Valor do item pago]]=PEDIDOS[[#This Row],[Total Item ]],"PAGO", "")</f>
        <v/>
      </c>
    </row>
    <row r="41" spans="1:17" s="216" customFormat="1" ht="39.950000000000003" customHeight="1" x14ac:dyDescent="0.25">
      <c r="A41" s="231"/>
      <c r="B41" s="240">
        <v>1642</v>
      </c>
      <c r="C41" s="241">
        <v>44139</v>
      </c>
      <c r="D41" s="242" t="s">
        <v>11</v>
      </c>
      <c r="E41" s="240" t="s">
        <v>343</v>
      </c>
      <c r="F41" s="240" t="s">
        <v>826</v>
      </c>
      <c r="G41" s="240" t="s">
        <v>1404</v>
      </c>
      <c r="H41" s="240" t="s">
        <v>441</v>
      </c>
      <c r="I41" s="243" t="s">
        <v>874</v>
      </c>
      <c r="J41" s="243" t="s">
        <v>1935</v>
      </c>
      <c r="K41" s="243"/>
      <c r="L41" s="240" t="s">
        <v>3</v>
      </c>
      <c r="M41" s="244">
        <v>1</v>
      </c>
      <c r="N41" s="245">
        <v>35</v>
      </c>
      <c r="O41" s="243">
        <v>35</v>
      </c>
      <c r="P41" s="243"/>
      <c r="Q41" s="180" t="str">
        <f>IF(PEDIDOS[[#This Row],[Valor do item pago]]=PEDIDOS[[#This Row],[Total Item ]],"PAGO", "")</f>
        <v/>
      </c>
    </row>
    <row r="42" spans="1:17" s="216" customFormat="1" ht="39.950000000000003" customHeight="1" x14ac:dyDescent="0.25">
      <c r="A42" s="231"/>
      <c r="B42" s="240">
        <v>1641</v>
      </c>
      <c r="C42" s="241">
        <v>44139</v>
      </c>
      <c r="D42" s="242" t="s">
        <v>11</v>
      </c>
      <c r="E42" s="240" t="s">
        <v>506</v>
      </c>
      <c r="F42" s="240" t="s">
        <v>503</v>
      </c>
      <c r="G42" s="240" t="s">
        <v>1416</v>
      </c>
      <c r="H42" s="240" t="s">
        <v>505</v>
      </c>
      <c r="I42" s="243" t="s">
        <v>660</v>
      </c>
      <c r="J42" s="243"/>
      <c r="K42" s="243"/>
      <c r="L42" s="240" t="s">
        <v>1</v>
      </c>
      <c r="M42" s="244">
        <v>2</v>
      </c>
      <c r="N42" s="245">
        <v>35</v>
      </c>
      <c r="O42" s="243">
        <v>70</v>
      </c>
      <c r="P42" s="243"/>
      <c r="Q42" s="180" t="str">
        <f>IF(PEDIDOS[[#This Row],[Valor do item pago]]=PEDIDOS[[#This Row],[Total Item ]],"PAGO", "")</f>
        <v/>
      </c>
    </row>
    <row r="43" spans="1:17" s="216" customFormat="1" ht="39.950000000000003" customHeight="1" x14ac:dyDescent="0.25">
      <c r="A43" s="231"/>
      <c r="B43" s="240">
        <v>1639</v>
      </c>
      <c r="C43" s="241">
        <v>44139</v>
      </c>
      <c r="D43" s="242" t="s">
        <v>1025</v>
      </c>
      <c r="E43" s="240" t="s">
        <v>374</v>
      </c>
      <c r="F43" s="240" t="s">
        <v>1246</v>
      </c>
      <c r="G43" s="240" t="s">
        <v>1422</v>
      </c>
      <c r="H43" s="240" t="s">
        <v>402</v>
      </c>
      <c r="I43" s="243" t="s">
        <v>658</v>
      </c>
      <c r="J43" s="243"/>
      <c r="K43" s="243"/>
      <c r="L43" s="240" t="s">
        <v>1</v>
      </c>
      <c r="M43" s="244">
        <v>1</v>
      </c>
      <c r="N43" s="245">
        <v>35</v>
      </c>
      <c r="O43" s="243">
        <v>35</v>
      </c>
      <c r="P43" s="243"/>
      <c r="Q43" s="180" t="str">
        <f>IF(PEDIDOS[[#This Row],[Valor do item pago]]=PEDIDOS[[#This Row],[Total Item ]],"PAGO", "")</f>
        <v/>
      </c>
    </row>
    <row r="44" spans="1:17" s="216" customFormat="1" ht="39.950000000000003" customHeight="1" x14ac:dyDescent="0.25">
      <c r="A44" s="231"/>
      <c r="B44" s="240">
        <v>1639</v>
      </c>
      <c r="C44" s="241">
        <v>44139</v>
      </c>
      <c r="D44" s="242" t="s">
        <v>1025</v>
      </c>
      <c r="E44" s="240" t="s">
        <v>374</v>
      </c>
      <c r="F44" s="240" t="s">
        <v>1246</v>
      </c>
      <c r="G44" s="240" t="s">
        <v>1422</v>
      </c>
      <c r="H44" s="240" t="s">
        <v>402</v>
      </c>
      <c r="I44" s="243" t="s">
        <v>658</v>
      </c>
      <c r="J44" s="243"/>
      <c r="K44" s="243"/>
      <c r="L44" s="240" t="s">
        <v>0</v>
      </c>
      <c r="M44" s="244">
        <v>1</v>
      </c>
      <c r="N44" s="245">
        <v>35</v>
      </c>
      <c r="O44" s="243">
        <v>35</v>
      </c>
      <c r="P44" s="243"/>
      <c r="Q44" s="180" t="str">
        <f>IF(PEDIDOS[[#This Row],[Valor do item pago]]=PEDIDOS[[#This Row],[Total Item ]],"PAGO", "")</f>
        <v/>
      </c>
    </row>
    <row r="45" spans="1:17" s="216" customFormat="1" ht="39.950000000000003" customHeight="1" x14ac:dyDescent="0.25">
      <c r="A45" s="231"/>
      <c r="B45" s="240">
        <v>1638</v>
      </c>
      <c r="C45" s="241">
        <v>44139</v>
      </c>
      <c r="D45" s="242" t="s">
        <v>1025</v>
      </c>
      <c r="E45" s="240" t="s">
        <v>1848</v>
      </c>
      <c r="F45" s="240" t="s">
        <v>1849</v>
      </c>
      <c r="G45" s="240" t="s">
        <v>1851</v>
      </c>
      <c r="H45" s="240" t="s">
        <v>460</v>
      </c>
      <c r="I45" s="243" t="s">
        <v>1850</v>
      </c>
      <c r="J45" s="243" t="s">
        <v>965</v>
      </c>
      <c r="K45" s="243"/>
      <c r="L45" s="240" t="s">
        <v>219</v>
      </c>
      <c r="M45" s="244">
        <v>1</v>
      </c>
      <c r="N45" s="245">
        <v>35</v>
      </c>
      <c r="O45" s="243">
        <v>35</v>
      </c>
      <c r="P45" s="243"/>
      <c r="Q45" s="180" t="str">
        <f>IF(PEDIDOS[[#This Row],[Valor do item pago]]=PEDIDOS[[#This Row],[Total Item ]],"PAGO", "")</f>
        <v/>
      </c>
    </row>
    <row r="46" spans="1:17" s="216" customFormat="1" ht="39.950000000000003" customHeight="1" x14ac:dyDescent="0.25">
      <c r="A46" s="231"/>
      <c r="B46" s="240">
        <v>1638</v>
      </c>
      <c r="C46" s="241">
        <v>44139</v>
      </c>
      <c r="D46" s="242" t="s">
        <v>1025</v>
      </c>
      <c r="E46" s="240" t="s">
        <v>1848</v>
      </c>
      <c r="F46" s="240" t="s">
        <v>1849</v>
      </c>
      <c r="G46" s="240" t="s">
        <v>1851</v>
      </c>
      <c r="H46" s="240" t="s">
        <v>460</v>
      </c>
      <c r="I46" s="243" t="s">
        <v>1850</v>
      </c>
      <c r="J46" s="243" t="s">
        <v>965</v>
      </c>
      <c r="K46" s="243"/>
      <c r="L46" s="240" t="s">
        <v>1</v>
      </c>
      <c r="M46" s="244">
        <v>1</v>
      </c>
      <c r="N46" s="245">
        <v>35</v>
      </c>
      <c r="O46" s="243">
        <v>35</v>
      </c>
      <c r="P46" s="243"/>
      <c r="Q46" s="180" t="str">
        <f>IF(PEDIDOS[[#This Row],[Valor do item pago]]=PEDIDOS[[#This Row],[Total Item ]],"PAGO", "")</f>
        <v/>
      </c>
    </row>
    <row r="47" spans="1:17" s="216" customFormat="1" ht="39.950000000000003" customHeight="1" x14ac:dyDescent="0.25">
      <c r="A47" s="231"/>
      <c r="B47" s="240">
        <v>1637</v>
      </c>
      <c r="C47" s="241">
        <v>44139</v>
      </c>
      <c r="D47" s="242" t="s">
        <v>1025</v>
      </c>
      <c r="E47" s="240" t="s">
        <v>1620</v>
      </c>
      <c r="F47" s="240" t="s">
        <v>1615</v>
      </c>
      <c r="G47" s="240" t="s">
        <v>1628</v>
      </c>
      <c r="H47" s="240" t="s">
        <v>1378</v>
      </c>
      <c r="I47" s="243" t="s">
        <v>1627</v>
      </c>
      <c r="J47" s="243"/>
      <c r="K47" s="243"/>
      <c r="L47" s="240" t="s">
        <v>1</v>
      </c>
      <c r="M47" s="244">
        <v>1</v>
      </c>
      <c r="N47" s="245">
        <v>35</v>
      </c>
      <c r="O47" s="243">
        <v>35</v>
      </c>
      <c r="P47" s="243"/>
      <c r="Q47" s="180" t="str">
        <f>IF(PEDIDOS[[#This Row],[Valor do item pago]]=PEDIDOS[[#This Row],[Total Item ]],"PAGO", "")</f>
        <v/>
      </c>
    </row>
    <row r="48" spans="1:17" s="216" customFormat="1" ht="39.950000000000003" customHeight="1" x14ac:dyDescent="0.25">
      <c r="A48" s="231"/>
      <c r="B48" s="240">
        <v>1635</v>
      </c>
      <c r="C48" s="241">
        <v>44139</v>
      </c>
      <c r="D48" s="242" t="s">
        <v>1025</v>
      </c>
      <c r="E48" s="240" t="s">
        <v>351</v>
      </c>
      <c r="F48" s="240">
        <v>0</v>
      </c>
      <c r="G48" s="240" t="s">
        <v>1369</v>
      </c>
      <c r="H48" s="240" t="s">
        <v>1257</v>
      </c>
      <c r="I48" s="243" t="s">
        <v>426</v>
      </c>
      <c r="J48" s="243"/>
      <c r="K48" s="243" t="s">
        <v>1025</v>
      </c>
      <c r="L48" s="240" t="s">
        <v>1</v>
      </c>
      <c r="M48" s="244">
        <v>1</v>
      </c>
      <c r="N48" s="245">
        <v>35</v>
      </c>
      <c r="O48" s="243">
        <v>35</v>
      </c>
      <c r="P48" s="243"/>
      <c r="Q48" s="180" t="str">
        <f>IF(PEDIDOS[[#This Row],[Valor do item pago]]=PEDIDOS[[#This Row],[Total Item ]],"PAGO", "")</f>
        <v/>
      </c>
    </row>
    <row r="49" spans="1:17" s="216" customFormat="1" ht="39.950000000000003" customHeight="1" x14ac:dyDescent="0.25">
      <c r="A49" s="231"/>
      <c r="B49" s="240">
        <v>1634</v>
      </c>
      <c r="C49" s="241">
        <v>44139</v>
      </c>
      <c r="D49" s="242" t="s">
        <v>1025</v>
      </c>
      <c r="E49" s="240" t="s">
        <v>1845</v>
      </c>
      <c r="F49" s="240" t="s">
        <v>1846</v>
      </c>
      <c r="G49" s="240" t="s">
        <v>1847</v>
      </c>
      <c r="H49" s="240" t="s">
        <v>1197</v>
      </c>
      <c r="I49" s="243" t="s">
        <v>1028</v>
      </c>
      <c r="J49" s="243"/>
      <c r="K49" s="243"/>
      <c r="L49" s="240" t="s">
        <v>219</v>
      </c>
      <c r="M49" s="244">
        <v>1</v>
      </c>
      <c r="N49" s="245">
        <v>35</v>
      </c>
      <c r="O49" s="243">
        <v>35</v>
      </c>
      <c r="P49" s="243"/>
      <c r="Q49" s="180" t="str">
        <f>IF(PEDIDOS[[#This Row],[Valor do item pago]]=PEDIDOS[[#This Row],[Total Item ]],"PAGO", "")</f>
        <v/>
      </c>
    </row>
    <row r="50" spans="1:17" s="216" customFormat="1" ht="39.950000000000003" customHeight="1" x14ac:dyDescent="0.25">
      <c r="A50" s="231"/>
      <c r="B50" s="240">
        <v>1633</v>
      </c>
      <c r="C50" s="241">
        <v>44139</v>
      </c>
      <c r="D50" s="242" t="s">
        <v>1025</v>
      </c>
      <c r="E50" s="240" t="s">
        <v>1286</v>
      </c>
      <c r="F50" s="240">
        <v>0</v>
      </c>
      <c r="G50" s="240">
        <v>0</v>
      </c>
      <c r="H50" s="240">
        <v>0</v>
      </c>
      <c r="I50" s="243">
        <v>0</v>
      </c>
      <c r="J50" s="243"/>
      <c r="K50" s="243" t="s">
        <v>1025</v>
      </c>
      <c r="L50" s="240" t="s">
        <v>1</v>
      </c>
      <c r="M50" s="244">
        <v>1</v>
      </c>
      <c r="N50" s="245">
        <v>35</v>
      </c>
      <c r="O50" s="243">
        <v>35</v>
      </c>
      <c r="P50" s="243"/>
      <c r="Q50" s="180" t="str">
        <f>IF(PEDIDOS[[#This Row],[Valor do item pago]]=PEDIDOS[[#This Row],[Total Item ]],"PAGO", "")</f>
        <v/>
      </c>
    </row>
    <row r="51" spans="1:17" s="216" customFormat="1" ht="39.950000000000003" customHeight="1" x14ac:dyDescent="0.25">
      <c r="A51" s="231"/>
      <c r="B51" s="240">
        <v>1632</v>
      </c>
      <c r="C51" s="241">
        <v>44139</v>
      </c>
      <c r="D51" s="242" t="s">
        <v>1025</v>
      </c>
      <c r="E51" s="240" t="s">
        <v>25</v>
      </c>
      <c r="F51" s="240" t="s">
        <v>1222</v>
      </c>
      <c r="G51" s="240" t="s">
        <v>1411</v>
      </c>
      <c r="H51" s="240" t="s">
        <v>406</v>
      </c>
      <c r="I51" s="243" t="s">
        <v>329</v>
      </c>
      <c r="J51" s="243" t="s">
        <v>1591</v>
      </c>
      <c r="K51" s="243"/>
      <c r="L51" s="240" t="s">
        <v>219</v>
      </c>
      <c r="M51" s="244">
        <v>2</v>
      </c>
      <c r="N51" s="245">
        <v>35</v>
      </c>
      <c r="O51" s="243">
        <v>70</v>
      </c>
      <c r="P51" s="243"/>
      <c r="Q51" s="180" t="str">
        <f>IF(PEDIDOS[[#This Row],[Valor do item pago]]=PEDIDOS[[#This Row],[Total Item ]],"PAGO", "")</f>
        <v/>
      </c>
    </row>
    <row r="52" spans="1:17" s="216" customFormat="1" ht="39.950000000000003" customHeight="1" x14ac:dyDescent="0.25">
      <c r="A52" s="231"/>
      <c r="B52" s="240">
        <v>1631</v>
      </c>
      <c r="C52" s="241">
        <v>44139</v>
      </c>
      <c r="D52" s="242" t="s">
        <v>49</v>
      </c>
      <c r="E52" s="240" t="s">
        <v>614</v>
      </c>
      <c r="F52" s="240" t="s">
        <v>1220</v>
      </c>
      <c r="G52" s="240" t="s">
        <v>1363</v>
      </c>
      <c r="H52" s="240" t="s">
        <v>393</v>
      </c>
      <c r="I52" s="243" t="s">
        <v>423</v>
      </c>
      <c r="J52" s="243"/>
      <c r="K52" s="243"/>
      <c r="L52" s="240" t="s">
        <v>1</v>
      </c>
      <c r="M52" s="244">
        <v>1</v>
      </c>
      <c r="N52" s="245">
        <v>35</v>
      </c>
      <c r="O52" s="243">
        <v>35</v>
      </c>
      <c r="P52" s="243">
        <v>35</v>
      </c>
      <c r="Q52" s="180" t="str">
        <f>IF(PEDIDOS[[#This Row],[Valor do item pago]]=PEDIDOS[[#This Row],[Total Item ]],"PAGO", "")</f>
        <v>PAGO</v>
      </c>
    </row>
    <row r="53" spans="1:17" s="216" customFormat="1" ht="39.950000000000003" customHeight="1" x14ac:dyDescent="0.25">
      <c r="A53" s="231"/>
      <c r="B53" s="240">
        <v>1630</v>
      </c>
      <c r="C53" s="241">
        <v>44139</v>
      </c>
      <c r="D53" s="242" t="s">
        <v>49</v>
      </c>
      <c r="E53" s="240" t="s">
        <v>615</v>
      </c>
      <c r="F53" s="240" t="s">
        <v>1242</v>
      </c>
      <c r="G53" s="240" t="s">
        <v>1392</v>
      </c>
      <c r="H53" s="240" t="s">
        <v>1205</v>
      </c>
      <c r="I53" s="243" t="s">
        <v>735</v>
      </c>
      <c r="J53" s="243"/>
      <c r="K53" s="243" t="s">
        <v>49</v>
      </c>
      <c r="L53" s="240" t="s">
        <v>3</v>
      </c>
      <c r="M53" s="244">
        <v>1</v>
      </c>
      <c r="N53" s="245">
        <v>35</v>
      </c>
      <c r="O53" s="243">
        <v>35</v>
      </c>
      <c r="P53" s="243"/>
      <c r="Q53" s="180" t="str">
        <f>IF(PEDIDOS[[#This Row],[Valor do item pago]]=PEDIDOS[[#This Row],[Total Item ]],"PAGO", "")</f>
        <v/>
      </c>
    </row>
    <row r="54" spans="1:17" s="216" customFormat="1" ht="39.950000000000003" customHeight="1" x14ac:dyDescent="0.25">
      <c r="A54" s="231"/>
      <c r="B54" s="240">
        <v>1630</v>
      </c>
      <c r="C54" s="241">
        <v>44139</v>
      </c>
      <c r="D54" s="242" t="s">
        <v>49</v>
      </c>
      <c r="E54" s="240" t="s">
        <v>615</v>
      </c>
      <c r="F54" s="240" t="s">
        <v>1242</v>
      </c>
      <c r="G54" s="240" t="s">
        <v>1392</v>
      </c>
      <c r="H54" s="240" t="s">
        <v>1205</v>
      </c>
      <c r="I54" s="243" t="s">
        <v>735</v>
      </c>
      <c r="J54" s="243"/>
      <c r="K54" s="243" t="s">
        <v>49</v>
      </c>
      <c r="L54" s="240" t="s">
        <v>1</v>
      </c>
      <c r="M54" s="244">
        <v>1</v>
      </c>
      <c r="N54" s="245">
        <v>35</v>
      </c>
      <c r="O54" s="243">
        <v>35</v>
      </c>
      <c r="P54" s="243"/>
      <c r="Q54" s="180" t="str">
        <f>IF(PEDIDOS[[#This Row],[Valor do item pago]]=PEDIDOS[[#This Row],[Total Item ]],"PAGO", "")</f>
        <v/>
      </c>
    </row>
    <row r="55" spans="1:17" s="216" customFormat="1" ht="39.950000000000003" customHeight="1" x14ac:dyDescent="0.25">
      <c r="A55" s="231"/>
      <c r="B55" s="240">
        <v>1629</v>
      </c>
      <c r="C55" s="241">
        <v>44139</v>
      </c>
      <c r="D55" s="242" t="s">
        <v>49</v>
      </c>
      <c r="E55" s="240" t="s">
        <v>611</v>
      </c>
      <c r="F55" s="240" t="s">
        <v>1225</v>
      </c>
      <c r="G55" s="240" t="s">
        <v>1429</v>
      </c>
      <c r="H55" s="240" t="s">
        <v>390</v>
      </c>
      <c r="I55" s="243" t="s">
        <v>253</v>
      </c>
      <c r="J55" s="243"/>
      <c r="K55" s="243" t="s">
        <v>49</v>
      </c>
      <c r="L55" s="240" t="s">
        <v>3</v>
      </c>
      <c r="M55" s="244">
        <v>1</v>
      </c>
      <c r="N55" s="245">
        <v>35</v>
      </c>
      <c r="O55" s="243">
        <v>35</v>
      </c>
      <c r="P55" s="243"/>
      <c r="Q55" s="180" t="str">
        <f>IF(PEDIDOS[[#This Row],[Valor do item pago]]=PEDIDOS[[#This Row],[Total Item ]],"PAGO", "")</f>
        <v/>
      </c>
    </row>
    <row r="56" spans="1:17" s="216" customFormat="1" ht="39.950000000000003" customHeight="1" x14ac:dyDescent="0.25">
      <c r="A56" s="231"/>
      <c r="B56" s="240">
        <v>1628</v>
      </c>
      <c r="C56" s="241">
        <v>44139</v>
      </c>
      <c r="D56" s="242" t="s">
        <v>229</v>
      </c>
      <c r="E56" s="240" t="s">
        <v>229</v>
      </c>
      <c r="F56" s="240">
        <v>0</v>
      </c>
      <c r="G56" s="240">
        <v>0</v>
      </c>
      <c r="H56" s="240">
        <v>0</v>
      </c>
      <c r="I56" s="243">
        <v>0</v>
      </c>
      <c r="J56" s="243"/>
      <c r="K56" s="243"/>
      <c r="L56" s="240" t="s">
        <v>3</v>
      </c>
      <c r="M56" s="244">
        <v>3</v>
      </c>
      <c r="N56" s="245">
        <v>35</v>
      </c>
      <c r="O56" s="243">
        <v>105</v>
      </c>
      <c r="P56" s="243"/>
      <c r="Q56" s="180" t="str">
        <f>IF(PEDIDOS[[#This Row],[Valor do item pago]]=PEDIDOS[[#This Row],[Total Item ]],"PAGO", "")</f>
        <v/>
      </c>
    </row>
    <row r="57" spans="1:17" s="216" customFormat="1" ht="39.950000000000003" customHeight="1" x14ac:dyDescent="0.25">
      <c r="A57" s="231"/>
      <c r="B57" s="240">
        <v>1628</v>
      </c>
      <c r="C57" s="241">
        <v>44139</v>
      </c>
      <c r="D57" s="242" t="s">
        <v>229</v>
      </c>
      <c r="E57" s="240" t="s">
        <v>229</v>
      </c>
      <c r="F57" s="240">
        <v>0</v>
      </c>
      <c r="G57" s="240">
        <v>0</v>
      </c>
      <c r="H57" s="240">
        <v>0</v>
      </c>
      <c r="I57" s="243">
        <v>0</v>
      </c>
      <c r="J57" s="243"/>
      <c r="K57" s="243"/>
      <c r="L57" s="240" t="s">
        <v>219</v>
      </c>
      <c r="M57" s="244">
        <v>3</v>
      </c>
      <c r="N57" s="245">
        <v>35</v>
      </c>
      <c r="O57" s="243">
        <v>105</v>
      </c>
      <c r="P57" s="243"/>
      <c r="Q57" s="180" t="str">
        <f>IF(PEDIDOS[[#This Row],[Valor do item pago]]=PEDIDOS[[#This Row],[Total Item ]],"PAGO", "")</f>
        <v/>
      </c>
    </row>
    <row r="58" spans="1:17" s="216" customFormat="1" ht="39.950000000000003" customHeight="1" x14ac:dyDescent="0.25">
      <c r="A58" s="231"/>
      <c r="B58" s="240">
        <v>1628</v>
      </c>
      <c r="C58" s="241">
        <v>44139</v>
      </c>
      <c r="D58" s="242" t="s">
        <v>229</v>
      </c>
      <c r="E58" s="240" t="s">
        <v>229</v>
      </c>
      <c r="F58" s="240">
        <v>0</v>
      </c>
      <c r="G58" s="240">
        <v>0</v>
      </c>
      <c r="H58" s="240">
        <v>0</v>
      </c>
      <c r="I58" s="243">
        <v>0</v>
      </c>
      <c r="J58" s="243"/>
      <c r="K58" s="243"/>
      <c r="L58" s="240" t="s">
        <v>1</v>
      </c>
      <c r="M58" s="244">
        <v>4</v>
      </c>
      <c r="N58" s="245">
        <v>35</v>
      </c>
      <c r="O58" s="243">
        <v>140</v>
      </c>
      <c r="P58" s="243"/>
      <c r="Q58" s="180" t="str">
        <f>IF(PEDIDOS[[#This Row],[Valor do item pago]]=PEDIDOS[[#This Row],[Total Item ]],"PAGO", "")</f>
        <v/>
      </c>
    </row>
    <row r="59" spans="1:17" s="216" customFormat="1" ht="39.950000000000003" customHeight="1" x14ac:dyDescent="0.25">
      <c r="A59" s="231"/>
      <c r="B59" s="240">
        <v>1628</v>
      </c>
      <c r="C59" s="241">
        <v>44139</v>
      </c>
      <c r="D59" s="242" t="s">
        <v>229</v>
      </c>
      <c r="E59" s="240" t="s">
        <v>229</v>
      </c>
      <c r="F59" s="240">
        <v>0</v>
      </c>
      <c r="G59" s="240">
        <v>0</v>
      </c>
      <c r="H59" s="240">
        <v>0</v>
      </c>
      <c r="I59" s="243">
        <v>0</v>
      </c>
      <c r="J59" s="243"/>
      <c r="K59" s="243"/>
      <c r="L59" s="240" t="s">
        <v>0</v>
      </c>
      <c r="M59" s="244">
        <v>1</v>
      </c>
      <c r="N59" s="245">
        <v>35</v>
      </c>
      <c r="O59" s="243">
        <v>35</v>
      </c>
      <c r="P59" s="243"/>
      <c r="Q59" s="180" t="str">
        <f>IF(PEDIDOS[[#This Row],[Valor do item pago]]=PEDIDOS[[#This Row],[Total Item ]],"PAGO", "")</f>
        <v/>
      </c>
    </row>
    <row r="60" spans="1:17" s="216" customFormat="1" ht="39.950000000000003" customHeight="1" x14ac:dyDescent="0.25">
      <c r="A60" s="231"/>
      <c r="B60" s="240">
        <v>1627</v>
      </c>
      <c r="C60" s="241">
        <v>44139</v>
      </c>
      <c r="D60" s="242" t="s">
        <v>411</v>
      </c>
      <c r="E60" s="240" t="s">
        <v>1925</v>
      </c>
      <c r="F60" s="240" t="s">
        <v>1926</v>
      </c>
      <c r="G60" s="240" t="s">
        <v>1927</v>
      </c>
      <c r="H60" s="240" t="s">
        <v>1929</v>
      </c>
      <c r="I60" s="243" t="s">
        <v>1928</v>
      </c>
      <c r="J60" s="243"/>
      <c r="K60" s="243"/>
      <c r="L60" s="240" t="s">
        <v>1</v>
      </c>
      <c r="M60" s="244">
        <v>1</v>
      </c>
      <c r="N60" s="245">
        <v>35</v>
      </c>
      <c r="O60" s="243">
        <v>35</v>
      </c>
      <c r="P60" s="243">
        <v>35</v>
      </c>
      <c r="Q60" s="180" t="str">
        <f>IF(PEDIDOS[[#This Row],[Valor do item pago]]=PEDIDOS[[#This Row],[Total Item ]],"PAGO", "")</f>
        <v>PAGO</v>
      </c>
    </row>
    <row r="61" spans="1:17" s="216" customFormat="1" ht="39.950000000000003" customHeight="1" x14ac:dyDescent="0.25">
      <c r="A61" s="231"/>
      <c r="B61" s="240">
        <v>1626</v>
      </c>
      <c r="C61" s="241">
        <v>44139</v>
      </c>
      <c r="D61" s="242" t="s">
        <v>411</v>
      </c>
      <c r="E61" s="240" t="s">
        <v>1930</v>
      </c>
      <c r="F61" s="240" t="s">
        <v>1931</v>
      </c>
      <c r="G61" s="240" t="s">
        <v>1932</v>
      </c>
      <c r="H61" s="240" t="s">
        <v>52</v>
      </c>
      <c r="I61" s="243" t="s">
        <v>1933</v>
      </c>
      <c r="J61" s="243"/>
      <c r="K61" s="243"/>
      <c r="L61" s="240" t="s">
        <v>1</v>
      </c>
      <c r="M61" s="244">
        <v>1</v>
      </c>
      <c r="N61" s="245">
        <v>35</v>
      </c>
      <c r="O61" s="243">
        <v>35</v>
      </c>
      <c r="P61" s="243">
        <v>35</v>
      </c>
      <c r="Q61" s="180" t="str">
        <f>IF(PEDIDOS[[#This Row],[Valor do item pago]]=PEDIDOS[[#This Row],[Total Item ]],"PAGO", "")</f>
        <v>PAGO</v>
      </c>
    </row>
    <row r="62" spans="1:17" s="216" customFormat="1" ht="39.950000000000003" customHeight="1" x14ac:dyDescent="0.25">
      <c r="A62" s="231"/>
      <c r="B62" s="240">
        <v>1625</v>
      </c>
      <c r="C62" s="241">
        <v>44139</v>
      </c>
      <c r="D62" s="242" t="s">
        <v>411</v>
      </c>
      <c r="E62" s="240" t="s">
        <v>1747</v>
      </c>
      <c r="F62" s="240" t="s">
        <v>1748</v>
      </c>
      <c r="G62" s="240" t="s">
        <v>1749</v>
      </c>
      <c r="H62" s="240" t="s">
        <v>1750</v>
      </c>
      <c r="I62" s="243" t="s">
        <v>1751</v>
      </c>
      <c r="J62" s="243"/>
      <c r="K62" s="243"/>
      <c r="L62" s="240" t="s">
        <v>3</v>
      </c>
      <c r="M62" s="244">
        <v>1</v>
      </c>
      <c r="N62" s="245">
        <v>35</v>
      </c>
      <c r="O62" s="243">
        <v>35</v>
      </c>
      <c r="P62" s="243">
        <v>35</v>
      </c>
      <c r="Q62" s="180" t="str">
        <f>IF(PEDIDOS[[#This Row],[Valor do item pago]]=PEDIDOS[[#This Row],[Total Item ]],"PAGO", "")</f>
        <v>PAGO</v>
      </c>
    </row>
    <row r="63" spans="1:17" s="216" customFormat="1" ht="39.950000000000003" customHeight="1" x14ac:dyDescent="0.25">
      <c r="A63" s="231"/>
      <c r="B63" s="240">
        <v>1624</v>
      </c>
      <c r="C63" s="241">
        <v>44139</v>
      </c>
      <c r="D63" s="242" t="s">
        <v>411</v>
      </c>
      <c r="E63" s="240" t="s">
        <v>1496</v>
      </c>
      <c r="F63" s="240" t="s">
        <v>1497</v>
      </c>
      <c r="G63" s="240" t="s">
        <v>1505</v>
      </c>
      <c r="H63" s="240" t="s">
        <v>1450</v>
      </c>
      <c r="I63" s="243" t="s">
        <v>1504</v>
      </c>
      <c r="J63" s="243"/>
      <c r="K63" s="243"/>
      <c r="L63" s="240" t="s">
        <v>219</v>
      </c>
      <c r="M63" s="244">
        <v>1</v>
      </c>
      <c r="N63" s="245">
        <v>35</v>
      </c>
      <c r="O63" s="243">
        <v>35</v>
      </c>
      <c r="P63" s="243"/>
      <c r="Q63" s="180" t="str">
        <f>IF(PEDIDOS[[#This Row],[Valor do item pago]]=PEDIDOS[[#This Row],[Total Item ]],"PAGO", "")</f>
        <v/>
      </c>
    </row>
    <row r="64" spans="1:17" s="216" customFormat="1" ht="39.950000000000003" customHeight="1" x14ac:dyDescent="0.25">
      <c r="A64" s="231"/>
      <c r="B64" s="240">
        <v>1623</v>
      </c>
      <c r="C64" s="241">
        <v>44139</v>
      </c>
      <c r="D64" s="242" t="s">
        <v>411</v>
      </c>
      <c r="E64" s="240" t="s">
        <v>1855</v>
      </c>
      <c r="F64" s="240" t="s">
        <v>1856</v>
      </c>
      <c r="G64" s="240" t="s">
        <v>1857</v>
      </c>
      <c r="H64" s="240" t="s">
        <v>461</v>
      </c>
      <c r="I64" s="243" t="s">
        <v>1858</v>
      </c>
      <c r="J64" s="243"/>
      <c r="K64" s="243"/>
      <c r="L64" s="240" t="s">
        <v>219</v>
      </c>
      <c r="M64" s="244">
        <v>1</v>
      </c>
      <c r="N64" s="245">
        <v>35</v>
      </c>
      <c r="O64" s="243">
        <v>35</v>
      </c>
      <c r="P64" s="243"/>
      <c r="Q64" s="180" t="str">
        <f>IF(PEDIDOS[[#This Row],[Valor do item pago]]=PEDIDOS[[#This Row],[Total Item ]],"PAGO", "")</f>
        <v/>
      </c>
    </row>
    <row r="65" spans="1:17" s="216" customFormat="1" ht="39.950000000000003" customHeight="1" x14ac:dyDescent="0.25">
      <c r="A65" s="231"/>
      <c r="B65" s="240">
        <v>1622</v>
      </c>
      <c r="C65" s="241">
        <v>44139</v>
      </c>
      <c r="D65" s="242" t="s">
        <v>411</v>
      </c>
      <c r="E65" s="240" t="s">
        <v>1895</v>
      </c>
      <c r="F65" s="240" t="s">
        <v>1180</v>
      </c>
      <c r="G65" s="240" t="s">
        <v>1276</v>
      </c>
      <c r="H65" s="240" t="s">
        <v>398</v>
      </c>
      <c r="I65" s="243" t="s">
        <v>1181</v>
      </c>
      <c r="J65" s="243"/>
      <c r="K65" s="243"/>
      <c r="L65" s="240" t="s">
        <v>3</v>
      </c>
      <c r="M65" s="244">
        <v>1</v>
      </c>
      <c r="N65" s="245">
        <v>35</v>
      </c>
      <c r="O65" s="243">
        <v>35</v>
      </c>
      <c r="P65" s="243">
        <v>35</v>
      </c>
      <c r="Q65" s="180" t="str">
        <f>IF(PEDIDOS[[#This Row],[Valor do item pago]]=PEDIDOS[[#This Row],[Total Item ]],"PAGO", "")</f>
        <v>PAGO</v>
      </c>
    </row>
    <row r="66" spans="1:17" s="216" customFormat="1" ht="39.950000000000003" customHeight="1" x14ac:dyDescent="0.25">
      <c r="A66" s="231"/>
      <c r="B66" s="240">
        <v>1621</v>
      </c>
      <c r="C66" s="241">
        <v>44139</v>
      </c>
      <c r="D66" s="242" t="s">
        <v>411</v>
      </c>
      <c r="E66" s="240" t="s">
        <v>35</v>
      </c>
      <c r="F66" s="240">
        <v>0</v>
      </c>
      <c r="G66" s="240" t="s">
        <v>1386</v>
      </c>
      <c r="H66" s="240">
        <v>0</v>
      </c>
      <c r="I66" s="243">
        <v>0</v>
      </c>
      <c r="J66" s="243" t="s">
        <v>1853</v>
      </c>
      <c r="K66" s="243"/>
      <c r="L66" s="240" t="s">
        <v>1</v>
      </c>
      <c r="M66" s="244">
        <v>1</v>
      </c>
      <c r="N66" s="245">
        <v>35</v>
      </c>
      <c r="O66" s="243">
        <v>35</v>
      </c>
      <c r="P66" s="243">
        <v>35</v>
      </c>
      <c r="Q66" s="180" t="str">
        <f>IF(PEDIDOS[[#This Row],[Valor do item pago]]=PEDIDOS[[#This Row],[Total Item ]],"PAGO", "")</f>
        <v>PAGO</v>
      </c>
    </row>
    <row r="67" spans="1:17" s="216" customFormat="1" ht="39.950000000000003" customHeight="1" x14ac:dyDescent="0.25">
      <c r="A67" s="231"/>
      <c r="B67" s="240">
        <v>1620</v>
      </c>
      <c r="C67" s="241">
        <v>44139</v>
      </c>
      <c r="D67" s="242" t="s">
        <v>411</v>
      </c>
      <c r="E67" s="240" t="s">
        <v>35</v>
      </c>
      <c r="F67" s="240">
        <v>0</v>
      </c>
      <c r="G67" s="240" t="s">
        <v>1386</v>
      </c>
      <c r="H67" s="240">
        <v>0</v>
      </c>
      <c r="I67" s="243">
        <v>0</v>
      </c>
      <c r="J67" s="243" t="s">
        <v>1924</v>
      </c>
      <c r="K67" s="243"/>
      <c r="L67" s="240" t="s">
        <v>3</v>
      </c>
      <c r="M67" s="244">
        <v>1</v>
      </c>
      <c r="N67" s="245">
        <v>35</v>
      </c>
      <c r="O67" s="243">
        <v>35</v>
      </c>
      <c r="P67" s="243">
        <v>35</v>
      </c>
      <c r="Q67" s="180" t="str">
        <f>IF(PEDIDOS[[#This Row],[Valor do item pago]]=PEDIDOS[[#This Row],[Total Item ]],"PAGO", "")</f>
        <v>PAGO</v>
      </c>
    </row>
    <row r="68" spans="1:17" s="216" customFormat="1" ht="39.950000000000003" customHeight="1" x14ac:dyDescent="0.25">
      <c r="A68" s="231"/>
      <c r="B68" s="240">
        <v>1619</v>
      </c>
      <c r="C68" s="241">
        <v>44139</v>
      </c>
      <c r="D68" s="242" t="s">
        <v>411</v>
      </c>
      <c r="E68" s="240" t="s">
        <v>35</v>
      </c>
      <c r="F68" s="240">
        <v>0</v>
      </c>
      <c r="G68" s="240" t="s">
        <v>1386</v>
      </c>
      <c r="H68" s="240">
        <v>0</v>
      </c>
      <c r="I68" s="243">
        <v>0</v>
      </c>
      <c r="J68" s="243" t="s">
        <v>1813</v>
      </c>
      <c r="K68" s="243"/>
      <c r="L68" s="240" t="s">
        <v>3</v>
      </c>
      <c r="M68" s="244">
        <v>1</v>
      </c>
      <c r="N68" s="245">
        <v>35</v>
      </c>
      <c r="O68" s="243">
        <v>35</v>
      </c>
      <c r="P68" s="243">
        <v>35</v>
      </c>
      <c r="Q68" s="180" t="str">
        <f>IF(PEDIDOS[[#This Row],[Valor do item pago]]=PEDIDOS[[#This Row],[Total Item ]],"PAGO", "")</f>
        <v>PAGO</v>
      </c>
    </row>
    <row r="69" spans="1:17" s="216" customFormat="1" ht="39.950000000000003" customHeight="1" x14ac:dyDescent="0.25">
      <c r="A69" s="231"/>
      <c r="B69" s="240">
        <v>1618</v>
      </c>
      <c r="C69" s="241">
        <v>44139</v>
      </c>
      <c r="D69" s="242" t="s">
        <v>411</v>
      </c>
      <c r="E69" s="240" t="s">
        <v>1187</v>
      </c>
      <c r="F69" s="240" t="s">
        <v>573</v>
      </c>
      <c r="G69" s="240" t="s">
        <v>621</v>
      </c>
      <c r="H69" s="240" t="s">
        <v>1263</v>
      </c>
      <c r="I69" s="243" t="s">
        <v>674</v>
      </c>
      <c r="J69" s="243"/>
      <c r="K69" s="243"/>
      <c r="L69" s="240" t="s">
        <v>219</v>
      </c>
      <c r="M69" s="244">
        <v>1</v>
      </c>
      <c r="N69" s="245">
        <v>35</v>
      </c>
      <c r="O69" s="243">
        <v>35</v>
      </c>
      <c r="P69" s="243">
        <v>35</v>
      </c>
      <c r="Q69" s="180" t="str">
        <f>IF(PEDIDOS[[#This Row],[Valor do item pago]]=PEDIDOS[[#This Row],[Total Item ]],"PAGO", "")</f>
        <v>PAGO</v>
      </c>
    </row>
    <row r="70" spans="1:17" s="216" customFormat="1" ht="39.950000000000003" customHeight="1" x14ac:dyDescent="0.25">
      <c r="A70" s="231"/>
      <c r="B70" s="240">
        <v>1617</v>
      </c>
      <c r="C70" s="241">
        <v>44139</v>
      </c>
      <c r="D70" s="242" t="s">
        <v>411</v>
      </c>
      <c r="E70" s="240" t="s">
        <v>1518</v>
      </c>
      <c r="F70" s="240" t="s">
        <v>1519</v>
      </c>
      <c r="G70" s="240" t="s">
        <v>1520</v>
      </c>
      <c r="H70" s="240" t="s">
        <v>406</v>
      </c>
      <c r="I70" s="243" t="s">
        <v>1521</v>
      </c>
      <c r="J70" s="243" t="s">
        <v>1923</v>
      </c>
      <c r="K70" s="243"/>
      <c r="L70" s="240" t="s">
        <v>219</v>
      </c>
      <c r="M70" s="244">
        <v>1</v>
      </c>
      <c r="N70" s="245">
        <v>35</v>
      </c>
      <c r="O70" s="243">
        <v>35</v>
      </c>
      <c r="P70" s="243">
        <v>35</v>
      </c>
      <c r="Q70" s="180" t="str">
        <f>IF(PEDIDOS[[#This Row],[Valor do item pago]]=PEDIDOS[[#This Row],[Total Item ]],"PAGO", "")</f>
        <v>PAGO</v>
      </c>
    </row>
    <row r="71" spans="1:17" s="216" customFormat="1" ht="39.950000000000003" customHeight="1" x14ac:dyDescent="0.25">
      <c r="A71" s="231"/>
      <c r="B71" s="240">
        <v>1616</v>
      </c>
      <c r="C71" s="241">
        <v>44139</v>
      </c>
      <c r="D71" s="242" t="s">
        <v>411</v>
      </c>
      <c r="E71" s="240" t="s">
        <v>1518</v>
      </c>
      <c r="F71" s="240" t="s">
        <v>1519</v>
      </c>
      <c r="G71" s="240" t="s">
        <v>1520</v>
      </c>
      <c r="H71" s="240" t="s">
        <v>406</v>
      </c>
      <c r="I71" s="243" t="s">
        <v>1521</v>
      </c>
      <c r="J71" s="243" t="s">
        <v>1460</v>
      </c>
      <c r="K71" s="243"/>
      <c r="L71" s="240" t="s">
        <v>219</v>
      </c>
      <c r="M71" s="244">
        <v>3</v>
      </c>
      <c r="N71" s="245">
        <v>35</v>
      </c>
      <c r="O71" s="243">
        <v>105</v>
      </c>
      <c r="P71" s="243">
        <v>105</v>
      </c>
      <c r="Q71" s="180" t="str">
        <f>IF(PEDIDOS[[#This Row],[Valor do item pago]]=PEDIDOS[[#This Row],[Total Item ]],"PAGO", "")</f>
        <v>PAGO</v>
      </c>
    </row>
    <row r="72" spans="1:17" s="216" customFormat="1" ht="39.950000000000003" customHeight="1" x14ac:dyDescent="0.25">
      <c r="A72" s="231"/>
      <c r="B72" s="240">
        <v>1615</v>
      </c>
      <c r="C72" s="241">
        <v>44139</v>
      </c>
      <c r="D72" s="242" t="s">
        <v>411</v>
      </c>
      <c r="E72" s="240" t="s">
        <v>25</v>
      </c>
      <c r="F72" s="240" t="s">
        <v>1222</v>
      </c>
      <c r="G72" s="240" t="s">
        <v>1411</v>
      </c>
      <c r="H72" s="240" t="s">
        <v>406</v>
      </c>
      <c r="I72" s="243" t="s">
        <v>329</v>
      </c>
      <c r="J72" s="243" t="s">
        <v>1460</v>
      </c>
      <c r="K72" s="243"/>
      <c r="L72" s="240" t="s">
        <v>219</v>
      </c>
      <c r="M72" s="244">
        <v>3</v>
      </c>
      <c r="N72" s="245">
        <v>35</v>
      </c>
      <c r="O72" s="243">
        <v>105</v>
      </c>
      <c r="P72" s="243">
        <v>105</v>
      </c>
      <c r="Q72" s="180" t="str">
        <f>IF(PEDIDOS[[#This Row],[Valor do item pago]]=PEDIDOS[[#This Row],[Total Item ]],"PAGO", "")</f>
        <v>PAGO</v>
      </c>
    </row>
    <row r="73" spans="1:17" s="216" customFormat="1" ht="39.950000000000003" customHeight="1" x14ac:dyDescent="0.25">
      <c r="A73" s="231"/>
      <c r="B73" s="240">
        <v>1614</v>
      </c>
      <c r="C73" s="241">
        <v>44139</v>
      </c>
      <c r="D73" s="242" t="s">
        <v>411</v>
      </c>
      <c r="E73" s="240" t="s">
        <v>1859</v>
      </c>
      <c r="F73" s="240" t="s">
        <v>571</v>
      </c>
      <c r="G73" s="240" t="s">
        <v>1921</v>
      </c>
      <c r="H73" s="240" t="s">
        <v>461</v>
      </c>
      <c r="I73" s="243" t="s">
        <v>1922</v>
      </c>
      <c r="J73" s="243"/>
      <c r="K73" s="243"/>
      <c r="L73" s="240" t="s">
        <v>1</v>
      </c>
      <c r="M73" s="244">
        <v>2</v>
      </c>
      <c r="N73" s="245">
        <v>35</v>
      </c>
      <c r="O73" s="243">
        <v>70</v>
      </c>
      <c r="P73" s="243"/>
      <c r="Q73" s="180" t="str">
        <f>IF(PEDIDOS[[#This Row],[Valor do item pago]]=PEDIDOS[[#This Row],[Total Item ]],"PAGO", "")</f>
        <v/>
      </c>
    </row>
    <row r="74" spans="1:17" s="216" customFormat="1" ht="39.950000000000003" customHeight="1" x14ac:dyDescent="0.25">
      <c r="A74" s="231"/>
      <c r="B74" s="240">
        <v>1613</v>
      </c>
      <c r="C74" s="241">
        <v>44139</v>
      </c>
      <c r="D74" s="242" t="s">
        <v>411</v>
      </c>
      <c r="E74" s="240" t="s">
        <v>1688</v>
      </c>
      <c r="F74" s="240" t="s">
        <v>1689</v>
      </c>
      <c r="G74" s="240" t="s">
        <v>1745</v>
      </c>
      <c r="H74" s="240" t="s">
        <v>84</v>
      </c>
      <c r="I74" s="243" t="s">
        <v>1746</v>
      </c>
      <c r="J74" s="243"/>
      <c r="K74" s="243"/>
      <c r="L74" s="240" t="s">
        <v>3</v>
      </c>
      <c r="M74" s="244">
        <v>1</v>
      </c>
      <c r="N74" s="245">
        <v>35</v>
      </c>
      <c r="O74" s="243">
        <v>35</v>
      </c>
      <c r="P74" s="243">
        <v>35</v>
      </c>
      <c r="Q74" s="180" t="str">
        <f>IF(PEDIDOS[[#This Row],[Valor do item pago]]=PEDIDOS[[#This Row],[Total Item ]],"PAGO", "")</f>
        <v>PAGO</v>
      </c>
    </row>
    <row r="75" spans="1:17" s="216" customFormat="1" ht="39.950000000000003" customHeight="1" x14ac:dyDescent="0.25">
      <c r="A75" s="231"/>
      <c r="B75" s="240">
        <v>1612</v>
      </c>
      <c r="C75" s="241">
        <v>44139</v>
      </c>
      <c r="D75" s="242" t="s">
        <v>411</v>
      </c>
      <c r="E75" s="240" t="s">
        <v>1688</v>
      </c>
      <c r="F75" s="240" t="s">
        <v>1689</v>
      </c>
      <c r="G75" s="240" t="s">
        <v>1745</v>
      </c>
      <c r="H75" s="240" t="s">
        <v>84</v>
      </c>
      <c r="I75" s="243" t="s">
        <v>1746</v>
      </c>
      <c r="J75" s="243" t="s">
        <v>1920</v>
      </c>
      <c r="K75" s="243"/>
      <c r="L75" s="240" t="s">
        <v>3</v>
      </c>
      <c r="M75" s="244">
        <v>1</v>
      </c>
      <c r="N75" s="245">
        <v>35</v>
      </c>
      <c r="O75" s="243">
        <v>35</v>
      </c>
      <c r="P75" s="243">
        <v>35</v>
      </c>
      <c r="Q75" s="180" t="str">
        <f>IF(PEDIDOS[[#This Row],[Valor do item pago]]=PEDIDOS[[#This Row],[Total Item ]],"PAGO", "")</f>
        <v>PAGO</v>
      </c>
    </row>
    <row r="76" spans="1:17" s="216" customFormat="1" ht="39.950000000000003" customHeight="1" x14ac:dyDescent="0.25">
      <c r="A76" s="231"/>
      <c r="B76" s="240">
        <v>1612</v>
      </c>
      <c r="C76" s="241">
        <v>44139</v>
      </c>
      <c r="D76" s="242" t="s">
        <v>411</v>
      </c>
      <c r="E76" s="240" t="s">
        <v>1688</v>
      </c>
      <c r="F76" s="240" t="s">
        <v>1689</v>
      </c>
      <c r="G76" s="240" t="s">
        <v>1745</v>
      </c>
      <c r="H76" s="240" t="s">
        <v>84</v>
      </c>
      <c r="I76" s="243" t="s">
        <v>1746</v>
      </c>
      <c r="J76" s="243" t="s">
        <v>1920</v>
      </c>
      <c r="K76" s="243"/>
      <c r="L76" s="240" t="s">
        <v>1</v>
      </c>
      <c r="M76" s="244">
        <v>2</v>
      </c>
      <c r="N76" s="245">
        <v>35</v>
      </c>
      <c r="O76" s="243">
        <v>70</v>
      </c>
      <c r="P76" s="243">
        <v>70</v>
      </c>
      <c r="Q76" s="180" t="str">
        <f>IF(PEDIDOS[[#This Row],[Valor do item pago]]=PEDIDOS[[#This Row],[Total Item ]],"PAGO", "")</f>
        <v>PAGO</v>
      </c>
    </row>
    <row r="77" spans="1:17" s="216" customFormat="1" ht="39.950000000000003" customHeight="1" x14ac:dyDescent="0.25">
      <c r="A77" s="231"/>
      <c r="B77" s="240">
        <v>1611</v>
      </c>
      <c r="C77" s="241">
        <v>44139</v>
      </c>
      <c r="D77" s="242" t="s">
        <v>1134</v>
      </c>
      <c r="E77" s="240" t="s">
        <v>1916</v>
      </c>
      <c r="F77" s="240" t="s">
        <v>1917</v>
      </c>
      <c r="G77" s="240" t="s">
        <v>1918</v>
      </c>
      <c r="H77" s="240" t="s">
        <v>461</v>
      </c>
      <c r="I77" s="243" t="s">
        <v>1919</v>
      </c>
      <c r="J77" s="243"/>
      <c r="K77" s="243"/>
      <c r="L77" s="240" t="s">
        <v>219</v>
      </c>
      <c r="M77" s="244">
        <v>1</v>
      </c>
      <c r="N77" s="245">
        <v>35</v>
      </c>
      <c r="O77" s="243">
        <v>35</v>
      </c>
      <c r="P77" s="243"/>
      <c r="Q77" s="180" t="str">
        <f>IF(PEDIDOS[[#This Row],[Valor do item pago]]=PEDIDOS[[#This Row],[Total Item ]],"PAGO", "")</f>
        <v/>
      </c>
    </row>
    <row r="78" spans="1:17" s="216" customFormat="1" ht="39.950000000000003" customHeight="1" x14ac:dyDescent="0.25">
      <c r="A78" s="231"/>
      <c r="B78" s="240">
        <v>1610</v>
      </c>
      <c r="C78" s="241">
        <v>44139</v>
      </c>
      <c r="D78" s="242" t="s">
        <v>1134</v>
      </c>
      <c r="E78" s="240" t="s">
        <v>1584</v>
      </c>
      <c r="F78" s="240" t="s">
        <v>1585</v>
      </c>
      <c r="G78" s="240" t="s">
        <v>1586</v>
      </c>
      <c r="H78" s="240" t="s">
        <v>651</v>
      </c>
      <c r="I78" s="243" t="s">
        <v>1587</v>
      </c>
      <c r="J78" s="243"/>
      <c r="K78" s="243"/>
      <c r="L78" s="240" t="s">
        <v>1</v>
      </c>
      <c r="M78" s="244">
        <v>1</v>
      </c>
      <c r="N78" s="245">
        <v>35</v>
      </c>
      <c r="O78" s="243">
        <v>35</v>
      </c>
      <c r="P78" s="243"/>
      <c r="Q78" s="180" t="str">
        <f>IF(PEDIDOS[[#This Row],[Valor do item pago]]=PEDIDOS[[#This Row],[Total Item ]],"PAGO", "")</f>
        <v/>
      </c>
    </row>
    <row r="79" spans="1:17" s="216" customFormat="1" ht="39.950000000000003" customHeight="1" x14ac:dyDescent="0.25">
      <c r="A79" s="231"/>
      <c r="B79" s="240">
        <v>1609</v>
      </c>
      <c r="C79" s="241">
        <v>44139</v>
      </c>
      <c r="D79" s="242" t="s">
        <v>1134</v>
      </c>
      <c r="E79" s="240" t="s">
        <v>1583</v>
      </c>
      <c r="F79" s="240" t="s">
        <v>1696</v>
      </c>
      <c r="G79" s="240" t="s">
        <v>437</v>
      </c>
      <c r="H79" s="240" t="s">
        <v>84</v>
      </c>
      <c r="I79" s="243" t="s">
        <v>439</v>
      </c>
      <c r="J79" s="243"/>
      <c r="K79" s="243"/>
      <c r="L79" s="240" t="s">
        <v>219</v>
      </c>
      <c r="M79" s="244">
        <v>3</v>
      </c>
      <c r="N79" s="245">
        <v>35</v>
      </c>
      <c r="O79" s="243">
        <v>105</v>
      </c>
      <c r="P79" s="243"/>
      <c r="Q79" s="180" t="str">
        <f>IF(PEDIDOS[[#This Row],[Valor do item pago]]=PEDIDOS[[#This Row],[Total Item ]],"PAGO", "")</f>
        <v/>
      </c>
    </row>
    <row r="80" spans="1:17" s="216" customFormat="1" ht="39.950000000000003" customHeight="1" x14ac:dyDescent="0.25">
      <c r="A80" s="231"/>
      <c r="B80" s="240">
        <v>1608</v>
      </c>
      <c r="C80" s="241">
        <v>44139</v>
      </c>
      <c r="D80" s="242" t="s">
        <v>1134</v>
      </c>
      <c r="E80" s="240" t="s">
        <v>25</v>
      </c>
      <c r="F80" s="240" t="s">
        <v>1222</v>
      </c>
      <c r="G80" s="240" t="s">
        <v>1411</v>
      </c>
      <c r="H80" s="240" t="s">
        <v>406</v>
      </c>
      <c r="I80" s="243" t="s">
        <v>329</v>
      </c>
      <c r="J80" s="243" t="s">
        <v>1915</v>
      </c>
      <c r="K80" s="243"/>
      <c r="L80" s="240" t="s">
        <v>219</v>
      </c>
      <c r="M80" s="244">
        <v>2</v>
      </c>
      <c r="N80" s="245">
        <v>35</v>
      </c>
      <c r="O80" s="243">
        <v>70</v>
      </c>
      <c r="P80" s="243">
        <v>70</v>
      </c>
      <c r="Q80" s="180" t="str">
        <f>IF(PEDIDOS[[#This Row],[Valor do item pago]]=PEDIDOS[[#This Row],[Total Item ]],"PAGO", "")</f>
        <v>PAGO</v>
      </c>
    </row>
    <row r="81" spans="1:17" s="216" customFormat="1" ht="39.950000000000003" customHeight="1" x14ac:dyDescent="0.25">
      <c r="A81" s="231"/>
      <c r="B81" s="240">
        <v>1607</v>
      </c>
      <c r="C81" s="241">
        <v>44139</v>
      </c>
      <c r="D81" s="242" t="s">
        <v>1134</v>
      </c>
      <c r="E81" s="240" t="s">
        <v>1680</v>
      </c>
      <c r="F81" s="240" t="s">
        <v>1691</v>
      </c>
      <c r="G81" s="240" t="s">
        <v>1914</v>
      </c>
      <c r="H81" s="240" t="s">
        <v>645</v>
      </c>
      <c r="I81" s="243" t="s">
        <v>1681</v>
      </c>
      <c r="J81" s="243"/>
      <c r="K81" s="243"/>
      <c r="L81" s="240" t="s">
        <v>1</v>
      </c>
      <c r="M81" s="244">
        <v>1</v>
      </c>
      <c r="N81" s="245">
        <v>35</v>
      </c>
      <c r="O81" s="243">
        <v>35</v>
      </c>
      <c r="P81" s="243">
        <v>35</v>
      </c>
      <c r="Q81" s="180" t="str">
        <f>IF(PEDIDOS[[#This Row],[Valor do item pago]]=PEDIDOS[[#This Row],[Total Item ]],"PAGO", "")</f>
        <v>PAGO</v>
      </c>
    </row>
    <row r="82" spans="1:17" s="216" customFormat="1" ht="39.950000000000003" customHeight="1" x14ac:dyDescent="0.25">
      <c r="A82" s="231"/>
      <c r="B82" s="240">
        <v>1607</v>
      </c>
      <c r="C82" s="241">
        <v>44139</v>
      </c>
      <c r="D82" s="242" t="s">
        <v>1134</v>
      </c>
      <c r="E82" s="240" t="s">
        <v>1680</v>
      </c>
      <c r="F82" s="240" t="s">
        <v>1691</v>
      </c>
      <c r="G82" s="240" t="s">
        <v>1914</v>
      </c>
      <c r="H82" s="240" t="s">
        <v>645</v>
      </c>
      <c r="I82" s="243" t="s">
        <v>1681</v>
      </c>
      <c r="J82" s="243"/>
      <c r="K82" s="243"/>
      <c r="L82" s="240" t="s">
        <v>0</v>
      </c>
      <c r="M82" s="244">
        <v>1</v>
      </c>
      <c r="N82" s="245">
        <v>35</v>
      </c>
      <c r="O82" s="243">
        <v>35</v>
      </c>
      <c r="P82" s="243">
        <v>35</v>
      </c>
      <c r="Q82" s="180" t="str">
        <f>IF(PEDIDOS[[#This Row],[Valor do item pago]]=PEDIDOS[[#This Row],[Total Item ]],"PAGO", "")</f>
        <v>PAGO</v>
      </c>
    </row>
    <row r="83" spans="1:17" s="216" customFormat="1" ht="39.950000000000003" customHeight="1" x14ac:dyDescent="0.25">
      <c r="A83" s="231"/>
      <c r="B83" s="240">
        <v>1606</v>
      </c>
      <c r="C83" s="241">
        <v>44139</v>
      </c>
      <c r="D83" s="242" t="s">
        <v>24</v>
      </c>
      <c r="E83" s="240" t="s">
        <v>1255</v>
      </c>
      <c r="F83" s="240" t="s">
        <v>1210</v>
      </c>
      <c r="G83" s="240">
        <v>0</v>
      </c>
      <c r="H83" s="240">
        <v>0</v>
      </c>
      <c r="I83" s="243">
        <v>0</v>
      </c>
      <c r="J83" s="243"/>
      <c r="K83" s="243"/>
      <c r="L83" s="240" t="s">
        <v>3</v>
      </c>
      <c r="M83" s="244">
        <v>2</v>
      </c>
      <c r="N83" s="245">
        <v>35</v>
      </c>
      <c r="O83" s="243">
        <v>70</v>
      </c>
      <c r="P83" s="243"/>
      <c r="Q83" s="180" t="str">
        <f>IF(PEDIDOS[[#This Row],[Valor do item pago]]=PEDIDOS[[#This Row],[Total Item ]],"PAGO", "")</f>
        <v/>
      </c>
    </row>
    <row r="84" spans="1:17" s="216" customFormat="1" ht="39.950000000000003" customHeight="1" x14ac:dyDescent="0.25">
      <c r="A84" s="231"/>
      <c r="B84" s="240">
        <v>1605</v>
      </c>
      <c r="C84" s="241">
        <v>44139</v>
      </c>
      <c r="D84" s="242" t="s">
        <v>24</v>
      </c>
      <c r="E84" s="240" t="s">
        <v>13</v>
      </c>
      <c r="F84" s="240" t="s">
        <v>1491</v>
      </c>
      <c r="G84" s="240" t="s">
        <v>1492</v>
      </c>
      <c r="H84" s="240" t="s">
        <v>1197</v>
      </c>
      <c r="I84" s="243" t="s">
        <v>1493</v>
      </c>
      <c r="J84" s="243"/>
      <c r="K84" s="243"/>
      <c r="L84" s="240" t="s">
        <v>3</v>
      </c>
      <c r="M84" s="244">
        <v>1</v>
      </c>
      <c r="N84" s="245">
        <v>35</v>
      </c>
      <c r="O84" s="243">
        <v>35</v>
      </c>
      <c r="P84" s="243"/>
      <c r="Q84" s="180" t="str">
        <f>IF(PEDIDOS[[#This Row],[Valor do item pago]]=PEDIDOS[[#This Row],[Total Item ]],"PAGO", "")</f>
        <v/>
      </c>
    </row>
    <row r="85" spans="1:17" s="216" customFormat="1" ht="39.950000000000003" customHeight="1" x14ac:dyDescent="0.25">
      <c r="A85" s="231"/>
      <c r="B85" s="240">
        <v>1605</v>
      </c>
      <c r="C85" s="241">
        <v>44139</v>
      </c>
      <c r="D85" s="242" t="s">
        <v>24</v>
      </c>
      <c r="E85" s="240" t="s">
        <v>13</v>
      </c>
      <c r="F85" s="240" t="s">
        <v>1491</v>
      </c>
      <c r="G85" s="240" t="s">
        <v>1492</v>
      </c>
      <c r="H85" s="240" t="s">
        <v>1197</v>
      </c>
      <c r="I85" s="243" t="s">
        <v>1493</v>
      </c>
      <c r="J85" s="243"/>
      <c r="K85" s="243"/>
      <c r="L85" s="240" t="s">
        <v>219</v>
      </c>
      <c r="M85" s="244">
        <v>1</v>
      </c>
      <c r="N85" s="245">
        <v>35</v>
      </c>
      <c r="O85" s="243">
        <v>35</v>
      </c>
      <c r="P85" s="243"/>
      <c r="Q85" s="180" t="str">
        <f>IF(PEDIDOS[[#This Row],[Valor do item pago]]=PEDIDOS[[#This Row],[Total Item ]],"PAGO", "")</f>
        <v/>
      </c>
    </row>
    <row r="86" spans="1:17" s="216" customFormat="1" ht="39.950000000000003" customHeight="1" x14ac:dyDescent="0.25">
      <c r="A86" s="231"/>
      <c r="B86" s="240">
        <v>1604</v>
      </c>
      <c r="C86" s="241">
        <v>44139</v>
      </c>
      <c r="D86" s="242" t="s">
        <v>24</v>
      </c>
      <c r="E86" s="240" t="s">
        <v>25</v>
      </c>
      <c r="F86" s="240" t="s">
        <v>1222</v>
      </c>
      <c r="G86" s="240" t="s">
        <v>1411</v>
      </c>
      <c r="H86" s="240" t="s">
        <v>406</v>
      </c>
      <c r="I86" s="243" t="s">
        <v>329</v>
      </c>
      <c r="J86" s="243"/>
      <c r="K86" s="243"/>
      <c r="L86" s="240" t="s">
        <v>219</v>
      </c>
      <c r="M86" s="244">
        <v>2</v>
      </c>
      <c r="N86" s="245">
        <v>35</v>
      </c>
      <c r="O86" s="243">
        <v>70</v>
      </c>
      <c r="P86" s="243"/>
      <c r="Q86" s="180" t="str">
        <f>IF(PEDIDOS[[#This Row],[Valor do item pago]]=PEDIDOS[[#This Row],[Total Item ]],"PAGO", "")</f>
        <v/>
      </c>
    </row>
    <row r="87" spans="1:17" s="216" customFormat="1" ht="39.950000000000003" customHeight="1" x14ac:dyDescent="0.25">
      <c r="A87" s="231"/>
      <c r="B87" s="240">
        <v>1603</v>
      </c>
      <c r="C87" s="241">
        <v>44139</v>
      </c>
      <c r="D87" s="242" t="s">
        <v>24</v>
      </c>
      <c r="E87" s="240" t="s">
        <v>23</v>
      </c>
      <c r="F87" s="240">
        <v>0</v>
      </c>
      <c r="G87" s="240">
        <v>0</v>
      </c>
      <c r="H87" s="240">
        <v>0</v>
      </c>
      <c r="I87" s="243">
        <v>0</v>
      </c>
      <c r="J87" s="243" t="s">
        <v>1913</v>
      </c>
      <c r="K87" s="243"/>
      <c r="L87" s="240" t="s">
        <v>1</v>
      </c>
      <c r="M87" s="244">
        <v>2</v>
      </c>
      <c r="N87" s="245">
        <v>35</v>
      </c>
      <c r="O87" s="243">
        <v>70</v>
      </c>
      <c r="P87" s="243"/>
      <c r="Q87" s="180" t="str">
        <f>IF(PEDIDOS[[#This Row],[Valor do item pago]]=PEDIDOS[[#This Row],[Total Item ]],"PAGO", "")</f>
        <v/>
      </c>
    </row>
    <row r="88" spans="1:17" s="216" customFormat="1" ht="39.950000000000003" customHeight="1" x14ac:dyDescent="0.25">
      <c r="A88" s="231"/>
      <c r="B88" s="240">
        <v>1602</v>
      </c>
      <c r="C88" s="241">
        <v>44139</v>
      </c>
      <c r="D88" s="242" t="s">
        <v>34</v>
      </c>
      <c r="E88" s="240" t="s">
        <v>594</v>
      </c>
      <c r="F88" s="240" t="s">
        <v>1449</v>
      </c>
      <c r="G88" s="240" t="s">
        <v>1445</v>
      </c>
      <c r="H88" s="240" t="s">
        <v>112</v>
      </c>
      <c r="I88" s="243" t="s">
        <v>413</v>
      </c>
      <c r="J88" s="243"/>
      <c r="K88" s="243"/>
      <c r="L88" s="240" t="s">
        <v>3</v>
      </c>
      <c r="M88" s="244">
        <v>1</v>
      </c>
      <c r="N88" s="245">
        <v>35</v>
      </c>
      <c r="O88" s="243">
        <v>35</v>
      </c>
      <c r="P88" s="243"/>
      <c r="Q88" s="180" t="str">
        <f>IF(PEDIDOS[[#This Row],[Valor do item pago]]=PEDIDOS[[#This Row],[Total Item ]],"PAGO", "")</f>
        <v/>
      </c>
    </row>
    <row r="89" spans="1:17" s="216" customFormat="1" ht="39.950000000000003" customHeight="1" x14ac:dyDescent="0.25">
      <c r="A89" s="231"/>
      <c r="B89" s="240">
        <v>1602</v>
      </c>
      <c r="C89" s="241">
        <v>44139</v>
      </c>
      <c r="D89" s="242" t="s">
        <v>34</v>
      </c>
      <c r="E89" s="240" t="s">
        <v>594</v>
      </c>
      <c r="F89" s="240" t="s">
        <v>1449</v>
      </c>
      <c r="G89" s="240" t="s">
        <v>1445</v>
      </c>
      <c r="H89" s="240" t="s">
        <v>112</v>
      </c>
      <c r="I89" s="243" t="s">
        <v>413</v>
      </c>
      <c r="J89" s="243"/>
      <c r="K89" s="243"/>
      <c r="L89" s="240" t="s">
        <v>1</v>
      </c>
      <c r="M89" s="244">
        <v>1</v>
      </c>
      <c r="N89" s="245">
        <v>35</v>
      </c>
      <c r="O89" s="243">
        <v>35</v>
      </c>
      <c r="P89" s="243"/>
      <c r="Q89" s="180" t="str">
        <f>IF(PEDIDOS[[#This Row],[Valor do item pago]]=PEDIDOS[[#This Row],[Total Item ]],"PAGO", "")</f>
        <v/>
      </c>
    </row>
    <row r="90" spans="1:17" s="216" customFormat="1" ht="39.950000000000003" customHeight="1" x14ac:dyDescent="0.25">
      <c r="A90" s="231"/>
      <c r="B90" s="240">
        <v>1601</v>
      </c>
      <c r="C90" s="241">
        <v>44139</v>
      </c>
      <c r="D90" s="242" t="s">
        <v>34</v>
      </c>
      <c r="E90" s="240" t="s">
        <v>203</v>
      </c>
      <c r="F90" s="240" t="s">
        <v>1238</v>
      </c>
      <c r="G90" s="240" t="s">
        <v>41</v>
      </c>
      <c r="H90" s="240" t="s">
        <v>441</v>
      </c>
      <c r="I90" s="243" t="s">
        <v>442</v>
      </c>
      <c r="J90" s="243"/>
      <c r="K90" s="243" t="s">
        <v>40</v>
      </c>
      <c r="L90" s="240" t="s">
        <v>1</v>
      </c>
      <c r="M90" s="244">
        <v>3</v>
      </c>
      <c r="N90" s="245">
        <v>35</v>
      </c>
      <c r="O90" s="243">
        <v>105</v>
      </c>
      <c r="P90" s="243"/>
      <c r="Q90" s="180" t="str">
        <f>IF(PEDIDOS[[#This Row],[Valor do item pago]]=PEDIDOS[[#This Row],[Total Item ]],"PAGO", "")</f>
        <v/>
      </c>
    </row>
    <row r="91" spans="1:17" s="216" customFormat="1" ht="39.950000000000003" customHeight="1" x14ac:dyDescent="0.25">
      <c r="A91" s="231"/>
      <c r="B91" s="240">
        <v>1600</v>
      </c>
      <c r="C91" s="241">
        <v>44139</v>
      </c>
      <c r="D91" s="242" t="s">
        <v>45</v>
      </c>
      <c r="E91" s="240" t="s">
        <v>1353</v>
      </c>
      <c r="F91" s="240" t="s">
        <v>930</v>
      </c>
      <c r="G91" s="240">
        <v>0</v>
      </c>
      <c r="H91" s="240" t="s">
        <v>40</v>
      </c>
      <c r="I91" s="243">
        <v>0</v>
      </c>
      <c r="J91" s="243"/>
      <c r="K91" s="243" t="s">
        <v>40</v>
      </c>
      <c r="L91" s="240" t="s">
        <v>1</v>
      </c>
      <c r="M91" s="244">
        <v>1</v>
      </c>
      <c r="N91" s="245">
        <v>35</v>
      </c>
      <c r="O91" s="243">
        <v>35</v>
      </c>
      <c r="P91" s="243"/>
      <c r="Q91" s="180" t="str">
        <f>IF(PEDIDOS[[#This Row],[Valor do item pago]]=PEDIDOS[[#This Row],[Total Item ]],"PAGO", "")</f>
        <v/>
      </c>
    </row>
    <row r="92" spans="1:17" s="216" customFormat="1" ht="39.950000000000003" customHeight="1" x14ac:dyDescent="0.25">
      <c r="A92" s="231"/>
      <c r="B92" s="240">
        <v>1599</v>
      </c>
      <c r="C92" s="241">
        <v>44139</v>
      </c>
      <c r="D92" s="242" t="s">
        <v>45</v>
      </c>
      <c r="E92" s="240" t="s">
        <v>1269</v>
      </c>
      <c r="F92" s="240" t="s">
        <v>1863</v>
      </c>
      <c r="G92" s="240" t="s">
        <v>1864</v>
      </c>
      <c r="H92" s="240" t="s">
        <v>84</v>
      </c>
      <c r="I92" s="243" t="s">
        <v>1865</v>
      </c>
      <c r="J92" s="243"/>
      <c r="K92" s="243"/>
      <c r="L92" s="240" t="s">
        <v>219</v>
      </c>
      <c r="M92" s="244">
        <v>1</v>
      </c>
      <c r="N92" s="245">
        <v>35</v>
      </c>
      <c r="O92" s="243">
        <v>35</v>
      </c>
      <c r="P92" s="243"/>
      <c r="Q92" s="180" t="str">
        <f>IF(PEDIDOS[[#This Row],[Valor do item pago]]=PEDIDOS[[#This Row],[Total Item ]],"PAGO", "")</f>
        <v/>
      </c>
    </row>
    <row r="93" spans="1:17" s="216" customFormat="1" ht="39.950000000000003" customHeight="1" x14ac:dyDescent="0.25">
      <c r="A93" s="231"/>
      <c r="B93" s="240">
        <v>1598</v>
      </c>
      <c r="C93" s="241">
        <v>44139</v>
      </c>
      <c r="D93" s="242" t="s">
        <v>45</v>
      </c>
      <c r="E93" s="240" t="s">
        <v>350</v>
      </c>
      <c r="F93" s="240" t="s">
        <v>1221</v>
      </c>
      <c r="G93" s="240" t="s">
        <v>1366</v>
      </c>
      <c r="H93" s="240" t="s">
        <v>394</v>
      </c>
      <c r="I93" s="243" t="s">
        <v>424</v>
      </c>
      <c r="J93" s="243" t="s">
        <v>1912</v>
      </c>
      <c r="K93" s="243"/>
      <c r="L93" s="240" t="s">
        <v>0</v>
      </c>
      <c r="M93" s="244">
        <v>1</v>
      </c>
      <c r="N93" s="245">
        <v>35</v>
      </c>
      <c r="O93" s="243">
        <v>35</v>
      </c>
      <c r="P93" s="243"/>
      <c r="Q93" s="180" t="str">
        <f>IF(PEDIDOS[[#This Row],[Valor do item pago]]=PEDIDOS[[#This Row],[Total Item ]],"PAGO", "")</f>
        <v/>
      </c>
    </row>
    <row r="94" spans="1:17" s="216" customFormat="1" ht="39.950000000000003" customHeight="1" x14ac:dyDescent="0.25">
      <c r="A94" s="231"/>
      <c r="B94" s="240">
        <v>1597</v>
      </c>
      <c r="C94" s="241">
        <v>44111</v>
      </c>
      <c r="D94" s="242" t="s">
        <v>49</v>
      </c>
      <c r="E94" s="240" t="s">
        <v>25</v>
      </c>
      <c r="F94" s="240" t="s">
        <v>1222</v>
      </c>
      <c r="G94" s="240" t="s">
        <v>1411</v>
      </c>
      <c r="H94" s="240" t="s">
        <v>406</v>
      </c>
      <c r="I94" s="243" t="s">
        <v>329</v>
      </c>
      <c r="J94" s="243"/>
      <c r="K94" s="243"/>
      <c r="L94" s="240" t="s">
        <v>219</v>
      </c>
      <c r="M94" s="244">
        <v>4</v>
      </c>
      <c r="N94" s="245">
        <v>35</v>
      </c>
      <c r="O94" s="243">
        <v>140</v>
      </c>
      <c r="P94" s="243">
        <v>140</v>
      </c>
      <c r="Q94" s="180" t="str">
        <f>IF(PEDIDOS[[#This Row],[Valor do item pago]]=PEDIDOS[[#This Row],[Total Item ]],"PAGO", "")</f>
        <v>PAGO</v>
      </c>
    </row>
    <row r="95" spans="1:17" s="216" customFormat="1" ht="39.950000000000003" customHeight="1" x14ac:dyDescent="0.25">
      <c r="A95" s="231"/>
      <c r="B95" s="240">
        <v>1596</v>
      </c>
      <c r="C95" s="241">
        <v>44111</v>
      </c>
      <c r="D95" s="242" t="s">
        <v>49</v>
      </c>
      <c r="E95" s="240" t="s">
        <v>615</v>
      </c>
      <c r="F95" s="240" t="s">
        <v>1242</v>
      </c>
      <c r="G95" s="240" t="s">
        <v>1392</v>
      </c>
      <c r="H95" s="240" t="s">
        <v>1205</v>
      </c>
      <c r="I95" s="243" t="s">
        <v>735</v>
      </c>
      <c r="J95" s="243"/>
      <c r="K95" s="243" t="s">
        <v>49</v>
      </c>
      <c r="L95" s="240" t="s">
        <v>3</v>
      </c>
      <c r="M95" s="244">
        <v>1</v>
      </c>
      <c r="N95" s="245">
        <v>35</v>
      </c>
      <c r="O95" s="243">
        <v>35</v>
      </c>
      <c r="P95" s="243"/>
      <c r="Q95" s="180" t="str">
        <f>IF(PEDIDOS[[#This Row],[Valor do item pago]]=PEDIDOS[[#This Row],[Total Item ]],"PAGO", "")</f>
        <v/>
      </c>
    </row>
    <row r="96" spans="1:17" s="216" customFormat="1" ht="39.950000000000003" customHeight="1" x14ac:dyDescent="0.25">
      <c r="A96" s="231"/>
      <c r="B96" s="240">
        <v>1596</v>
      </c>
      <c r="C96" s="241">
        <v>44111</v>
      </c>
      <c r="D96" s="242" t="s">
        <v>49</v>
      </c>
      <c r="E96" s="240" t="s">
        <v>615</v>
      </c>
      <c r="F96" s="240" t="s">
        <v>1242</v>
      </c>
      <c r="G96" s="240" t="s">
        <v>1392</v>
      </c>
      <c r="H96" s="240" t="s">
        <v>1205</v>
      </c>
      <c r="I96" s="243" t="s">
        <v>735</v>
      </c>
      <c r="J96" s="243"/>
      <c r="K96" s="243" t="s">
        <v>49</v>
      </c>
      <c r="L96" s="240" t="s">
        <v>1</v>
      </c>
      <c r="M96" s="244">
        <v>1</v>
      </c>
      <c r="N96" s="245">
        <v>35</v>
      </c>
      <c r="O96" s="243">
        <v>35</v>
      </c>
      <c r="P96" s="243"/>
      <c r="Q96" s="180" t="str">
        <f>IF(PEDIDOS[[#This Row],[Valor do item pago]]=PEDIDOS[[#This Row],[Total Item ]],"PAGO", "")</f>
        <v/>
      </c>
    </row>
    <row r="97" spans="1:17" s="216" customFormat="1" ht="39.950000000000003" customHeight="1" x14ac:dyDescent="0.25">
      <c r="A97" s="231"/>
      <c r="B97" s="240">
        <v>1595</v>
      </c>
      <c r="C97" s="241">
        <v>44111</v>
      </c>
      <c r="D97" s="242" t="s">
        <v>49</v>
      </c>
      <c r="E97" s="240" t="s">
        <v>614</v>
      </c>
      <c r="F97" s="240" t="s">
        <v>1220</v>
      </c>
      <c r="G97" s="240" t="s">
        <v>1363</v>
      </c>
      <c r="H97" s="240" t="s">
        <v>393</v>
      </c>
      <c r="I97" s="243" t="s">
        <v>423</v>
      </c>
      <c r="J97" s="243"/>
      <c r="K97" s="243"/>
      <c r="L97" s="240" t="s">
        <v>219</v>
      </c>
      <c r="M97" s="244">
        <v>1</v>
      </c>
      <c r="N97" s="245">
        <v>35</v>
      </c>
      <c r="O97" s="243">
        <v>35</v>
      </c>
      <c r="P97" s="243">
        <v>35</v>
      </c>
      <c r="Q97" s="180" t="str">
        <f>IF(PEDIDOS[[#This Row],[Valor do item pago]]=PEDIDOS[[#This Row],[Total Item ]],"PAGO", "")</f>
        <v>PAGO</v>
      </c>
    </row>
    <row r="98" spans="1:17" s="216" customFormat="1" ht="39.950000000000003" customHeight="1" x14ac:dyDescent="0.25">
      <c r="A98" s="231"/>
      <c r="B98" s="240">
        <v>1594</v>
      </c>
      <c r="C98" s="241">
        <v>44111</v>
      </c>
      <c r="D98" s="242" t="s">
        <v>49</v>
      </c>
      <c r="E98" s="240" t="s">
        <v>611</v>
      </c>
      <c r="F98" s="240" t="s">
        <v>1225</v>
      </c>
      <c r="G98" s="240" t="s">
        <v>1429</v>
      </c>
      <c r="H98" s="240" t="s">
        <v>390</v>
      </c>
      <c r="I98" s="243" t="s">
        <v>253</v>
      </c>
      <c r="J98" s="243"/>
      <c r="K98" s="243" t="s">
        <v>49</v>
      </c>
      <c r="L98" s="240" t="s">
        <v>3</v>
      </c>
      <c r="M98" s="244">
        <v>1</v>
      </c>
      <c r="N98" s="245">
        <v>35</v>
      </c>
      <c r="O98" s="243">
        <v>35</v>
      </c>
      <c r="P98" s="243"/>
      <c r="Q98" s="180" t="str">
        <f>IF(PEDIDOS[[#This Row],[Valor do item pago]]=PEDIDOS[[#This Row],[Total Item ]],"PAGO", "")</f>
        <v/>
      </c>
    </row>
    <row r="99" spans="1:17" s="216" customFormat="1" ht="39.950000000000003" customHeight="1" x14ac:dyDescent="0.25">
      <c r="A99" s="231"/>
      <c r="B99" s="240">
        <v>1593</v>
      </c>
      <c r="C99" s="241">
        <v>44111</v>
      </c>
      <c r="D99" s="242" t="s">
        <v>231</v>
      </c>
      <c r="E99" s="240" t="s">
        <v>1908</v>
      </c>
      <c r="F99" s="240" t="s">
        <v>1909</v>
      </c>
      <c r="G99" s="240" t="s">
        <v>1911</v>
      </c>
      <c r="H99" s="240" t="s">
        <v>1378</v>
      </c>
      <c r="I99" s="243" t="s">
        <v>1627</v>
      </c>
      <c r="J99" s="243"/>
      <c r="K99" s="243"/>
      <c r="L99" s="240" t="s">
        <v>219</v>
      </c>
      <c r="M99" s="244">
        <v>1</v>
      </c>
      <c r="N99" s="245">
        <v>35</v>
      </c>
      <c r="O99" s="243">
        <v>35</v>
      </c>
      <c r="P99" s="243"/>
      <c r="Q99" s="180" t="str">
        <f>IF(PEDIDOS[[#This Row],[Valor do item pago]]=PEDIDOS[[#This Row],[Total Item ]],"PAGO", "")</f>
        <v/>
      </c>
    </row>
    <row r="100" spans="1:17" s="216" customFormat="1" ht="39.950000000000003" customHeight="1" x14ac:dyDescent="0.25">
      <c r="A100" s="231"/>
      <c r="B100" s="240">
        <v>1592</v>
      </c>
      <c r="C100" s="241">
        <v>44111</v>
      </c>
      <c r="D100" s="242" t="s">
        <v>231</v>
      </c>
      <c r="E100" s="240" t="s">
        <v>1607</v>
      </c>
      <c r="F100" s="240" t="s">
        <v>1905</v>
      </c>
      <c r="G100" s="240" t="s">
        <v>1906</v>
      </c>
      <c r="H100" s="240" t="s">
        <v>748</v>
      </c>
      <c r="I100" s="243" t="s">
        <v>1907</v>
      </c>
      <c r="J100" s="243"/>
      <c r="K100" s="243"/>
      <c r="L100" s="240" t="s">
        <v>219</v>
      </c>
      <c r="M100" s="244">
        <v>1</v>
      </c>
      <c r="N100" s="245">
        <v>35</v>
      </c>
      <c r="O100" s="243">
        <v>35</v>
      </c>
      <c r="P100" s="243">
        <v>35</v>
      </c>
      <c r="Q100" s="180" t="str">
        <f>IF(PEDIDOS[[#This Row],[Valor do item pago]]=PEDIDOS[[#This Row],[Total Item ]],"PAGO", "")</f>
        <v>PAGO</v>
      </c>
    </row>
    <row r="101" spans="1:17" s="216" customFormat="1" ht="39.950000000000003" customHeight="1" x14ac:dyDescent="0.25">
      <c r="A101" s="231"/>
      <c r="B101" s="240">
        <v>1592</v>
      </c>
      <c r="C101" s="241">
        <v>44111</v>
      </c>
      <c r="D101" s="242" t="s">
        <v>231</v>
      </c>
      <c r="E101" s="240" t="s">
        <v>1607</v>
      </c>
      <c r="F101" s="240" t="s">
        <v>1905</v>
      </c>
      <c r="G101" s="240" t="s">
        <v>1906</v>
      </c>
      <c r="H101" s="240" t="s">
        <v>748</v>
      </c>
      <c r="I101" s="243" t="s">
        <v>1907</v>
      </c>
      <c r="J101" s="243"/>
      <c r="K101" s="243"/>
      <c r="L101" s="240" t="s">
        <v>1</v>
      </c>
      <c r="M101" s="244">
        <v>1</v>
      </c>
      <c r="N101" s="245">
        <v>35</v>
      </c>
      <c r="O101" s="243">
        <v>35</v>
      </c>
      <c r="P101" s="243">
        <v>35</v>
      </c>
      <c r="Q101" s="180" t="str">
        <f>IF(PEDIDOS[[#This Row],[Valor do item pago]]=PEDIDOS[[#This Row],[Total Item ]],"PAGO", "")</f>
        <v>PAGO</v>
      </c>
    </row>
    <row r="102" spans="1:17" s="216" customFormat="1" ht="39.950000000000003" customHeight="1" x14ac:dyDescent="0.25">
      <c r="A102" s="231"/>
      <c r="B102" s="240">
        <v>1591</v>
      </c>
      <c r="C102" s="241">
        <v>44111</v>
      </c>
      <c r="D102" s="242" t="s">
        <v>231</v>
      </c>
      <c r="E102" s="240" t="s">
        <v>1900</v>
      </c>
      <c r="F102" s="240" t="s">
        <v>1901</v>
      </c>
      <c r="G102" s="240" t="s">
        <v>1904</v>
      </c>
      <c r="H102" s="240" t="s">
        <v>1903</v>
      </c>
      <c r="I102" s="243" t="s">
        <v>1902</v>
      </c>
      <c r="J102" s="243"/>
      <c r="K102" s="243"/>
      <c r="L102" s="240" t="s">
        <v>1</v>
      </c>
      <c r="M102" s="244">
        <v>1</v>
      </c>
      <c r="N102" s="245">
        <v>35</v>
      </c>
      <c r="O102" s="243">
        <v>35</v>
      </c>
      <c r="P102" s="243"/>
      <c r="Q102" s="180" t="str">
        <f>IF(PEDIDOS[[#This Row],[Valor do item pago]]=PEDIDOS[[#This Row],[Total Item ]],"PAGO", "")</f>
        <v/>
      </c>
    </row>
    <row r="103" spans="1:17" s="216" customFormat="1" ht="39.950000000000003" customHeight="1" x14ac:dyDescent="0.25">
      <c r="A103" s="231"/>
      <c r="B103" s="240">
        <v>1590</v>
      </c>
      <c r="C103" s="241">
        <v>44111</v>
      </c>
      <c r="D103" s="242" t="s">
        <v>231</v>
      </c>
      <c r="E103" s="240" t="s">
        <v>1773</v>
      </c>
      <c r="F103" s="240" t="s">
        <v>1899</v>
      </c>
      <c r="G103" s="240" t="s">
        <v>1381</v>
      </c>
      <c r="H103" s="240" t="s">
        <v>398</v>
      </c>
      <c r="I103" s="243" t="s">
        <v>431</v>
      </c>
      <c r="J103" s="243"/>
      <c r="K103" s="243"/>
      <c r="L103" s="240" t="s">
        <v>0</v>
      </c>
      <c r="M103" s="244">
        <v>1</v>
      </c>
      <c r="N103" s="245">
        <v>35</v>
      </c>
      <c r="O103" s="243">
        <v>35</v>
      </c>
      <c r="P103" s="243"/>
      <c r="Q103" s="180" t="str">
        <f>IF(PEDIDOS[[#This Row],[Valor do item pago]]=PEDIDOS[[#This Row],[Total Item ]],"PAGO", "")</f>
        <v/>
      </c>
    </row>
    <row r="104" spans="1:17" s="216" customFormat="1" ht="39.950000000000003" customHeight="1" x14ac:dyDescent="0.25">
      <c r="A104" s="231"/>
      <c r="B104" s="240">
        <v>1589</v>
      </c>
      <c r="C104" s="241">
        <v>44111</v>
      </c>
      <c r="D104" s="242" t="s">
        <v>231</v>
      </c>
      <c r="E104" s="240" t="s">
        <v>1704</v>
      </c>
      <c r="F104" s="240" t="s">
        <v>1897</v>
      </c>
      <c r="G104" s="240" t="s">
        <v>1898</v>
      </c>
      <c r="H104" s="240" t="s">
        <v>441</v>
      </c>
      <c r="I104" s="243" t="s">
        <v>874</v>
      </c>
      <c r="J104" s="243"/>
      <c r="K104" s="243"/>
      <c r="L104" s="240" t="s">
        <v>3</v>
      </c>
      <c r="M104" s="244">
        <v>1</v>
      </c>
      <c r="N104" s="245">
        <v>35</v>
      </c>
      <c r="O104" s="243">
        <v>35</v>
      </c>
      <c r="P104" s="243">
        <v>35</v>
      </c>
      <c r="Q104" s="180" t="str">
        <f>IF(PEDIDOS[[#This Row],[Valor do item pago]]=PEDIDOS[[#This Row],[Total Item ]],"PAGO", "")</f>
        <v>PAGO</v>
      </c>
    </row>
    <row r="105" spans="1:17" s="216" customFormat="1" ht="39.950000000000003" customHeight="1" x14ac:dyDescent="0.25">
      <c r="A105" s="231"/>
      <c r="B105" s="240">
        <v>1589</v>
      </c>
      <c r="C105" s="241">
        <v>44111</v>
      </c>
      <c r="D105" s="242" t="s">
        <v>231</v>
      </c>
      <c r="E105" s="240" t="s">
        <v>1704</v>
      </c>
      <c r="F105" s="240" t="s">
        <v>1897</v>
      </c>
      <c r="G105" s="240" t="s">
        <v>1898</v>
      </c>
      <c r="H105" s="240" t="s">
        <v>441</v>
      </c>
      <c r="I105" s="243" t="s">
        <v>874</v>
      </c>
      <c r="J105" s="243"/>
      <c r="K105" s="243"/>
      <c r="L105" s="240" t="s">
        <v>1</v>
      </c>
      <c r="M105" s="244">
        <v>1</v>
      </c>
      <c r="N105" s="245">
        <v>35</v>
      </c>
      <c r="O105" s="243">
        <v>35</v>
      </c>
      <c r="P105" s="243">
        <v>35</v>
      </c>
      <c r="Q105" s="180" t="str">
        <f>IF(PEDIDOS[[#This Row],[Valor do item pago]]=PEDIDOS[[#This Row],[Total Item ]],"PAGO", "")</f>
        <v>PAGO</v>
      </c>
    </row>
    <row r="106" spans="1:17" s="216" customFormat="1" ht="39.950000000000003" customHeight="1" x14ac:dyDescent="0.25">
      <c r="A106" s="231"/>
      <c r="B106" s="240">
        <v>1588</v>
      </c>
      <c r="C106" s="241">
        <v>44111</v>
      </c>
      <c r="D106" s="242" t="s">
        <v>231</v>
      </c>
      <c r="E106" s="240" t="s">
        <v>1789</v>
      </c>
      <c r="F106" s="240" t="s">
        <v>1790</v>
      </c>
      <c r="G106" s="240" t="s">
        <v>1791</v>
      </c>
      <c r="H106" s="240" t="s">
        <v>441</v>
      </c>
      <c r="I106" s="243" t="s">
        <v>1721</v>
      </c>
      <c r="J106" s="243"/>
      <c r="K106" s="243"/>
      <c r="L106" s="240" t="s">
        <v>3</v>
      </c>
      <c r="M106" s="244">
        <v>1</v>
      </c>
      <c r="N106" s="245">
        <v>35</v>
      </c>
      <c r="O106" s="243">
        <v>35</v>
      </c>
      <c r="P106" s="243"/>
      <c r="Q106" s="180" t="str">
        <f>IF(PEDIDOS[[#This Row],[Valor do item pago]]=PEDIDOS[[#This Row],[Total Item ]],"PAGO", "")</f>
        <v/>
      </c>
    </row>
    <row r="107" spans="1:17" s="216" customFormat="1" ht="39.950000000000003" customHeight="1" x14ac:dyDescent="0.25">
      <c r="A107" s="231"/>
      <c r="B107" s="240">
        <v>1587</v>
      </c>
      <c r="C107" s="241">
        <v>44111</v>
      </c>
      <c r="D107" s="242" t="s">
        <v>231</v>
      </c>
      <c r="E107" s="240" t="s">
        <v>1703</v>
      </c>
      <c r="F107" s="240" t="s">
        <v>1834</v>
      </c>
      <c r="G107" s="240" t="s">
        <v>1835</v>
      </c>
      <c r="H107" s="240" t="s">
        <v>112</v>
      </c>
      <c r="I107" s="243" t="s">
        <v>1836</v>
      </c>
      <c r="J107" s="243"/>
      <c r="K107" s="243"/>
      <c r="L107" s="240" t="s">
        <v>3</v>
      </c>
      <c r="M107" s="244">
        <v>1</v>
      </c>
      <c r="N107" s="245">
        <v>35</v>
      </c>
      <c r="O107" s="243">
        <v>35</v>
      </c>
      <c r="P107" s="243"/>
      <c r="Q107" s="180" t="str">
        <f>IF(PEDIDOS[[#This Row],[Valor do item pago]]=PEDIDOS[[#This Row],[Total Item ]],"PAGO", "")</f>
        <v/>
      </c>
    </row>
    <row r="108" spans="1:17" s="216" customFormat="1" ht="39.950000000000003" customHeight="1" x14ac:dyDescent="0.25">
      <c r="A108" s="231"/>
      <c r="B108" s="240">
        <v>1586</v>
      </c>
      <c r="C108" s="241">
        <v>44111</v>
      </c>
      <c r="D108" s="242" t="s">
        <v>231</v>
      </c>
      <c r="E108" s="240" t="s">
        <v>597</v>
      </c>
      <c r="F108" s="240" t="s">
        <v>703</v>
      </c>
      <c r="G108" s="240" t="s">
        <v>1896</v>
      </c>
      <c r="H108" s="240" t="s">
        <v>125</v>
      </c>
      <c r="I108" s="243" t="s">
        <v>658</v>
      </c>
      <c r="J108" s="243"/>
      <c r="K108" s="243"/>
      <c r="L108" s="240" t="s">
        <v>219</v>
      </c>
      <c r="M108" s="244">
        <v>1</v>
      </c>
      <c r="N108" s="245">
        <v>35</v>
      </c>
      <c r="O108" s="243">
        <v>35</v>
      </c>
      <c r="P108" s="243">
        <v>35</v>
      </c>
      <c r="Q108" s="180" t="str">
        <f>IF(PEDIDOS[[#This Row],[Valor do item pago]]=PEDIDOS[[#This Row],[Total Item ]],"PAGO", "")</f>
        <v>PAGO</v>
      </c>
    </row>
    <row r="109" spans="1:17" s="216" customFormat="1" ht="39.950000000000003" customHeight="1" x14ac:dyDescent="0.25">
      <c r="A109" s="231"/>
      <c r="B109" s="240">
        <v>1585</v>
      </c>
      <c r="C109" s="241">
        <v>44111</v>
      </c>
      <c r="D109" s="242" t="s">
        <v>231</v>
      </c>
      <c r="E109" s="240" t="s">
        <v>1606</v>
      </c>
      <c r="F109" s="240" t="s">
        <v>1781</v>
      </c>
      <c r="G109" s="240">
        <v>0</v>
      </c>
      <c r="H109" s="240">
        <v>0</v>
      </c>
      <c r="I109" s="243">
        <v>0</v>
      </c>
      <c r="J109" s="243"/>
      <c r="K109" s="243" t="s">
        <v>40</v>
      </c>
      <c r="L109" s="240" t="s">
        <v>3</v>
      </c>
      <c r="M109" s="244">
        <v>1</v>
      </c>
      <c r="N109" s="245">
        <v>35</v>
      </c>
      <c r="O109" s="243">
        <v>35</v>
      </c>
      <c r="P109" s="243"/>
      <c r="Q109" s="180" t="str">
        <f>IF(PEDIDOS[[#This Row],[Valor do item pago]]=PEDIDOS[[#This Row],[Total Item ]],"PAGO", "")</f>
        <v/>
      </c>
    </row>
    <row r="110" spans="1:17" s="216" customFormat="1" ht="39.950000000000003" customHeight="1" x14ac:dyDescent="0.25">
      <c r="A110" s="231"/>
      <c r="B110" s="240">
        <v>1584</v>
      </c>
      <c r="C110" s="241">
        <v>44111</v>
      </c>
      <c r="D110" s="242" t="s">
        <v>231</v>
      </c>
      <c r="E110" s="240" t="s">
        <v>90</v>
      </c>
      <c r="F110" s="240" t="s">
        <v>806</v>
      </c>
      <c r="G110" s="240">
        <v>0</v>
      </c>
      <c r="H110" s="240" t="s">
        <v>40</v>
      </c>
      <c r="I110" s="243">
        <v>0</v>
      </c>
      <c r="J110" s="243"/>
      <c r="K110" s="243" t="s">
        <v>40</v>
      </c>
      <c r="L110" s="240" t="s">
        <v>1</v>
      </c>
      <c r="M110" s="244">
        <v>2</v>
      </c>
      <c r="N110" s="245">
        <v>35</v>
      </c>
      <c r="O110" s="243">
        <v>70</v>
      </c>
      <c r="P110" s="243"/>
      <c r="Q110" s="180" t="str">
        <f>IF(PEDIDOS[[#This Row],[Valor do item pago]]=PEDIDOS[[#This Row],[Total Item ]],"PAGO", "")</f>
        <v/>
      </c>
    </row>
    <row r="111" spans="1:17" s="216" customFormat="1" ht="39.950000000000003" customHeight="1" x14ac:dyDescent="0.25">
      <c r="A111" s="231"/>
      <c r="B111" s="240">
        <v>1583</v>
      </c>
      <c r="C111" s="241">
        <v>44111</v>
      </c>
      <c r="D111" s="242" t="s">
        <v>231</v>
      </c>
      <c r="E111" s="240" t="s">
        <v>356</v>
      </c>
      <c r="F111" s="240" t="s">
        <v>1774</v>
      </c>
      <c r="G111" s="240" t="s">
        <v>1377</v>
      </c>
      <c r="H111" s="240" t="s">
        <v>1378</v>
      </c>
      <c r="I111" s="243" t="s">
        <v>702</v>
      </c>
      <c r="J111" s="243" t="s">
        <v>1529</v>
      </c>
      <c r="K111" s="243"/>
      <c r="L111" s="240" t="s">
        <v>219</v>
      </c>
      <c r="M111" s="244">
        <v>1</v>
      </c>
      <c r="N111" s="245">
        <v>35</v>
      </c>
      <c r="O111" s="243">
        <v>35</v>
      </c>
      <c r="P111" s="243">
        <v>35</v>
      </c>
      <c r="Q111" s="180" t="str">
        <f>IF(PEDIDOS[[#This Row],[Valor do item pago]]=PEDIDOS[[#This Row],[Total Item ]],"PAGO", "")</f>
        <v>PAGO</v>
      </c>
    </row>
    <row r="112" spans="1:17" s="216" customFormat="1" ht="39.950000000000003" customHeight="1" x14ac:dyDescent="0.25">
      <c r="A112" s="231"/>
      <c r="B112" s="240">
        <v>1582</v>
      </c>
      <c r="C112" s="241">
        <v>44111</v>
      </c>
      <c r="D112" s="242" t="s">
        <v>411</v>
      </c>
      <c r="E112" s="240" t="s">
        <v>1859</v>
      </c>
      <c r="F112" s="240" t="s">
        <v>571</v>
      </c>
      <c r="G112" s="240" t="s">
        <v>1754</v>
      </c>
      <c r="H112" s="240" t="s">
        <v>461</v>
      </c>
      <c r="I112" s="243" t="s">
        <v>1755</v>
      </c>
      <c r="J112" s="243" t="s">
        <v>887</v>
      </c>
      <c r="K112" s="243"/>
      <c r="L112" s="240" t="s">
        <v>1</v>
      </c>
      <c r="M112" s="244">
        <v>2</v>
      </c>
      <c r="N112" s="245">
        <v>35</v>
      </c>
      <c r="O112" s="243">
        <v>70</v>
      </c>
      <c r="P112" s="243"/>
      <c r="Q112" s="180" t="str">
        <f>IF(PEDIDOS[[#This Row],[Valor do item pago]]=PEDIDOS[[#This Row],[Total Item ]],"PAGO", "")</f>
        <v/>
      </c>
    </row>
    <row r="113" spans="1:17" s="216" customFormat="1" ht="39.950000000000003" customHeight="1" x14ac:dyDescent="0.25">
      <c r="A113" s="231"/>
      <c r="B113" s="240">
        <v>1581</v>
      </c>
      <c r="C113" s="241">
        <v>44111</v>
      </c>
      <c r="D113" s="242" t="s">
        <v>411</v>
      </c>
      <c r="E113" s="240" t="s">
        <v>1187</v>
      </c>
      <c r="F113" s="240" t="s">
        <v>573</v>
      </c>
      <c r="G113" s="240" t="s">
        <v>621</v>
      </c>
      <c r="H113" s="240" t="s">
        <v>1263</v>
      </c>
      <c r="I113" s="243" t="s">
        <v>674</v>
      </c>
      <c r="J113" s="243"/>
      <c r="K113" s="243"/>
      <c r="L113" s="240" t="s">
        <v>219</v>
      </c>
      <c r="M113" s="244">
        <v>1</v>
      </c>
      <c r="N113" s="245">
        <v>35</v>
      </c>
      <c r="O113" s="243">
        <v>35</v>
      </c>
      <c r="P113" s="243">
        <v>35</v>
      </c>
      <c r="Q113" s="180" t="str">
        <f>IF(PEDIDOS[[#This Row],[Valor do item pago]]=PEDIDOS[[#This Row],[Total Item ]],"PAGO", "")</f>
        <v>PAGO</v>
      </c>
    </row>
    <row r="114" spans="1:17" s="216" customFormat="1" ht="39.950000000000003" customHeight="1" x14ac:dyDescent="0.25">
      <c r="A114" s="231"/>
      <c r="B114" s="240">
        <v>1580</v>
      </c>
      <c r="C114" s="241">
        <v>44111</v>
      </c>
      <c r="D114" s="242" t="s">
        <v>411</v>
      </c>
      <c r="E114" s="240" t="s">
        <v>1518</v>
      </c>
      <c r="F114" s="240" t="s">
        <v>1519</v>
      </c>
      <c r="G114" s="240" t="s">
        <v>1520</v>
      </c>
      <c r="H114" s="240" t="s">
        <v>406</v>
      </c>
      <c r="I114" s="243" t="s">
        <v>1521</v>
      </c>
      <c r="J114" s="243" t="s">
        <v>1460</v>
      </c>
      <c r="K114" s="243"/>
      <c r="L114" s="240" t="s">
        <v>219</v>
      </c>
      <c r="M114" s="244">
        <v>3</v>
      </c>
      <c r="N114" s="245">
        <v>35</v>
      </c>
      <c r="O114" s="243">
        <v>105</v>
      </c>
      <c r="P114" s="243">
        <v>105</v>
      </c>
      <c r="Q114" s="180" t="str">
        <f>IF(PEDIDOS[[#This Row],[Valor do item pago]]=PEDIDOS[[#This Row],[Total Item ]],"PAGO", "")</f>
        <v>PAGO</v>
      </c>
    </row>
    <row r="115" spans="1:17" s="216" customFormat="1" ht="39.950000000000003" customHeight="1" x14ac:dyDescent="0.25">
      <c r="A115" s="231"/>
      <c r="B115" s="240">
        <v>1579</v>
      </c>
      <c r="C115" s="241">
        <v>44111</v>
      </c>
      <c r="D115" s="242" t="s">
        <v>411</v>
      </c>
      <c r="E115" s="240" t="s">
        <v>25</v>
      </c>
      <c r="F115" s="240" t="s">
        <v>1222</v>
      </c>
      <c r="G115" s="240" t="s">
        <v>1411</v>
      </c>
      <c r="H115" s="240" t="s">
        <v>406</v>
      </c>
      <c r="I115" s="243" t="s">
        <v>329</v>
      </c>
      <c r="J115" s="243" t="s">
        <v>1460</v>
      </c>
      <c r="K115" s="243"/>
      <c r="L115" s="240" t="s">
        <v>219</v>
      </c>
      <c r="M115" s="244">
        <v>3</v>
      </c>
      <c r="N115" s="245">
        <v>35</v>
      </c>
      <c r="O115" s="243">
        <v>105</v>
      </c>
      <c r="P115" s="243">
        <v>105</v>
      </c>
      <c r="Q115" s="180" t="str">
        <f>IF(PEDIDOS[[#This Row],[Valor do item pago]]=PEDIDOS[[#This Row],[Total Item ]],"PAGO", "")</f>
        <v>PAGO</v>
      </c>
    </row>
    <row r="116" spans="1:17" s="216" customFormat="1" ht="39.950000000000003" customHeight="1" x14ac:dyDescent="0.25">
      <c r="A116" s="231"/>
      <c r="B116" s="240">
        <v>1578</v>
      </c>
      <c r="C116" s="241">
        <v>44111</v>
      </c>
      <c r="D116" s="242" t="s">
        <v>411</v>
      </c>
      <c r="E116" s="240" t="s">
        <v>35</v>
      </c>
      <c r="F116" s="240">
        <v>0</v>
      </c>
      <c r="G116" s="240" t="s">
        <v>1386</v>
      </c>
      <c r="H116" s="240">
        <v>0</v>
      </c>
      <c r="I116" s="243">
        <v>0</v>
      </c>
      <c r="J116" s="243"/>
      <c r="K116" s="243" t="s">
        <v>411</v>
      </c>
      <c r="L116" s="240" t="s">
        <v>3</v>
      </c>
      <c r="M116" s="244">
        <v>1</v>
      </c>
      <c r="N116" s="245">
        <v>35</v>
      </c>
      <c r="O116" s="243">
        <v>35</v>
      </c>
      <c r="P116" s="243">
        <v>35</v>
      </c>
      <c r="Q116" s="180" t="str">
        <f>IF(PEDIDOS[[#This Row],[Valor do item pago]]=PEDIDOS[[#This Row],[Total Item ]],"PAGO", "")</f>
        <v>PAGO</v>
      </c>
    </row>
    <row r="117" spans="1:17" s="216" customFormat="1" ht="39.950000000000003" customHeight="1" x14ac:dyDescent="0.25">
      <c r="A117" s="231"/>
      <c r="B117" s="240">
        <v>1577</v>
      </c>
      <c r="C117" s="241">
        <v>44111</v>
      </c>
      <c r="D117" s="242" t="s">
        <v>411</v>
      </c>
      <c r="E117" s="240" t="s">
        <v>1747</v>
      </c>
      <c r="F117" s="240" t="s">
        <v>1748</v>
      </c>
      <c r="G117" s="240" t="s">
        <v>1749</v>
      </c>
      <c r="H117" s="240" t="s">
        <v>1750</v>
      </c>
      <c r="I117" s="243" t="s">
        <v>1751</v>
      </c>
      <c r="J117" s="243"/>
      <c r="K117" s="243"/>
      <c r="L117" s="240" t="s">
        <v>3</v>
      </c>
      <c r="M117" s="244">
        <v>1</v>
      </c>
      <c r="N117" s="245">
        <v>35</v>
      </c>
      <c r="O117" s="243">
        <v>35</v>
      </c>
      <c r="P117" s="243">
        <v>35</v>
      </c>
      <c r="Q117" s="180" t="str">
        <f>IF(PEDIDOS[[#This Row],[Valor do item pago]]=PEDIDOS[[#This Row],[Total Item ]],"PAGO", "")</f>
        <v>PAGO</v>
      </c>
    </row>
    <row r="118" spans="1:17" s="216" customFormat="1" ht="39.950000000000003" customHeight="1" x14ac:dyDescent="0.25">
      <c r="A118" s="231"/>
      <c r="B118" s="240">
        <v>1576</v>
      </c>
      <c r="C118" s="241">
        <v>44111</v>
      </c>
      <c r="D118" s="242" t="s">
        <v>411</v>
      </c>
      <c r="E118" s="240" t="s">
        <v>1496</v>
      </c>
      <c r="F118" s="240" t="s">
        <v>1497</v>
      </c>
      <c r="G118" s="240" t="s">
        <v>1505</v>
      </c>
      <c r="H118" s="240" t="s">
        <v>1450</v>
      </c>
      <c r="I118" s="243" t="s">
        <v>1504</v>
      </c>
      <c r="J118" s="243"/>
      <c r="K118" s="243"/>
      <c r="L118" s="240" t="s">
        <v>219</v>
      </c>
      <c r="M118" s="244">
        <v>1</v>
      </c>
      <c r="N118" s="245">
        <v>35</v>
      </c>
      <c r="O118" s="243">
        <v>35</v>
      </c>
      <c r="P118" s="243"/>
      <c r="Q118" s="180" t="str">
        <f>IF(PEDIDOS[[#This Row],[Valor do item pago]]=PEDIDOS[[#This Row],[Total Item ]],"PAGO", "")</f>
        <v/>
      </c>
    </row>
    <row r="119" spans="1:17" s="216" customFormat="1" ht="39.950000000000003" customHeight="1" x14ac:dyDescent="0.25">
      <c r="A119" s="231"/>
      <c r="B119" s="240">
        <v>1575</v>
      </c>
      <c r="C119" s="241">
        <v>44111</v>
      </c>
      <c r="D119" s="242" t="s">
        <v>411</v>
      </c>
      <c r="E119" s="240" t="s">
        <v>1895</v>
      </c>
      <c r="F119" s="240" t="s">
        <v>1180</v>
      </c>
      <c r="G119" s="240" t="s">
        <v>1276</v>
      </c>
      <c r="H119" s="240" t="s">
        <v>398</v>
      </c>
      <c r="I119" s="243" t="s">
        <v>1181</v>
      </c>
      <c r="J119" s="243"/>
      <c r="K119" s="243"/>
      <c r="L119" s="240" t="s">
        <v>3</v>
      </c>
      <c r="M119" s="244">
        <v>1</v>
      </c>
      <c r="N119" s="245">
        <v>35</v>
      </c>
      <c r="O119" s="243">
        <v>35</v>
      </c>
      <c r="P119" s="243">
        <v>35</v>
      </c>
      <c r="Q119" s="180" t="str">
        <f>IF(PEDIDOS[[#This Row],[Valor do item pago]]=PEDIDOS[[#This Row],[Total Item ]],"PAGO", "")</f>
        <v>PAGO</v>
      </c>
    </row>
    <row r="120" spans="1:17" s="216" customFormat="1" ht="39.950000000000003" customHeight="1" x14ac:dyDescent="0.25">
      <c r="A120" s="231"/>
      <c r="B120" s="240">
        <v>1574</v>
      </c>
      <c r="C120" s="241">
        <v>44111</v>
      </c>
      <c r="D120" s="242" t="s">
        <v>411</v>
      </c>
      <c r="E120" s="240" t="s">
        <v>1855</v>
      </c>
      <c r="F120" s="240" t="s">
        <v>1856</v>
      </c>
      <c r="G120" s="240" t="s">
        <v>1857</v>
      </c>
      <c r="H120" s="240" t="s">
        <v>461</v>
      </c>
      <c r="I120" s="243" t="s">
        <v>1858</v>
      </c>
      <c r="J120" s="243"/>
      <c r="K120" s="243"/>
      <c r="L120" s="240" t="s">
        <v>219</v>
      </c>
      <c r="M120" s="244">
        <v>1</v>
      </c>
      <c r="N120" s="245">
        <v>35</v>
      </c>
      <c r="O120" s="243">
        <v>35</v>
      </c>
      <c r="P120" s="243"/>
      <c r="Q120" s="180" t="str">
        <f>IF(PEDIDOS[[#This Row],[Valor do item pago]]=PEDIDOS[[#This Row],[Total Item ]],"PAGO", "")</f>
        <v/>
      </c>
    </row>
    <row r="121" spans="1:17" s="216" customFormat="1" ht="39.950000000000003" customHeight="1" x14ac:dyDescent="0.25">
      <c r="A121" s="231"/>
      <c r="B121" s="240">
        <v>1573</v>
      </c>
      <c r="C121" s="241">
        <v>44111</v>
      </c>
      <c r="D121" s="242" t="s">
        <v>11</v>
      </c>
      <c r="E121" s="240" t="s">
        <v>340</v>
      </c>
      <c r="F121" s="240" t="s">
        <v>974</v>
      </c>
      <c r="G121" s="240" t="s">
        <v>1462</v>
      </c>
      <c r="H121" s="240" t="s">
        <v>388</v>
      </c>
      <c r="I121" s="243" t="s">
        <v>417</v>
      </c>
      <c r="J121" s="243"/>
      <c r="K121" s="243"/>
      <c r="L121" s="240" t="s">
        <v>219</v>
      </c>
      <c r="M121" s="244">
        <v>1</v>
      </c>
      <c r="N121" s="245">
        <v>35</v>
      </c>
      <c r="O121" s="243">
        <v>35</v>
      </c>
      <c r="P121" s="243"/>
      <c r="Q121" s="180" t="str">
        <f>IF(PEDIDOS[[#This Row],[Valor do item pago]]=PEDIDOS[[#This Row],[Total Item ]],"PAGO", "")</f>
        <v/>
      </c>
    </row>
    <row r="122" spans="1:17" s="216" customFormat="1" ht="39.950000000000003" customHeight="1" x14ac:dyDescent="0.25">
      <c r="A122" s="231"/>
      <c r="B122" s="240">
        <v>1572</v>
      </c>
      <c r="C122" s="241">
        <v>44111</v>
      </c>
      <c r="D122" s="242" t="s">
        <v>11</v>
      </c>
      <c r="E122" s="240" t="s">
        <v>1887</v>
      </c>
      <c r="F122" s="240" t="s">
        <v>1890</v>
      </c>
      <c r="G122" s="240" t="s">
        <v>1893</v>
      </c>
      <c r="H122" s="240" t="s">
        <v>115</v>
      </c>
      <c r="I122" s="243" t="s">
        <v>1894</v>
      </c>
      <c r="J122" s="243"/>
      <c r="K122" s="243"/>
      <c r="L122" s="240" t="s">
        <v>1</v>
      </c>
      <c r="M122" s="244">
        <v>1</v>
      </c>
      <c r="N122" s="245">
        <v>35</v>
      </c>
      <c r="O122" s="243">
        <v>35</v>
      </c>
      <c r="P122" s="243"/>
      <c r="Q122" s="180" t="str">
        <f>IF(PEDIDOS[[#This Row],[Valor do item pago]]=PEDIDOS[[#This Row],[Total Item ]],"PAGO", "")</f>
        <v/>
      </c>
    </row>
    <row r="123" spans="1:17" s="216" customFormat="1" ht="39.950000000000003" customHeight="1" x14ac:dyDescent="0.25">
      <c r="A123" s="231"/>
      <c r="B123" s="240">
        <v>1571</v>
      </c>
      <c r="C123" s="241">
        <v>44111</v>
      </c>
      <c r="D123" s="242" t="s">
        <v>11</v>
      </c>
      <c r="E123" s="240" t="s">
        <v>1886</v>
      </c>
      <c r="F123" s="240" t="s">
        <v>1889</v>
      </c>
      <c r="G123" s="240" t="s">
        <v>1891</v>
      </c>
      <c r="H123" s="240" t="s">
        <v>716</v>
      </c>
      <c r="I123" s="243" t="s">
        <v>1892</v>
      </c>
      <c r="J123" s="243"/>
      <c r="K123" s="243"/>
      <c r="L123" s="240" t="s">
        <v>219</v>
      </c>
      <c r="M123" s="244">
        <v>1</v>
      </c>
      <c r="N123" s="245">
        <v>35</v>
      </c>
      <c r="O123" s="243">
        <v>35</v>
      </c>
      <c r="P123" s="243"/>
      <c r="Q123" s="180" t="str">
        <f>IF(PEDIDOS[[#This Row],[Valor do item pago]]=PEDIDOS[[#This Row],[Total Item ]],"PAGO", "")</f>
        <v/>
      </c>
    </row>
    <row r="124" spans="1:17" s="216" customFormat="1" ht="39.950000000000003" customHeight="1" x14ac:dyDescent="0.25">
      <c r="A124" s="231"/>
      <c r="B124" s="240">
        <v>1570</v>
      </c>
      <c r="C124" s="241">
        <v>44111</v>
      </c>
      <c r="D124" s="242" t="s">
        <v>11</v>
      </c>
      <c r="E124" s="240" t="s">
        <v>1824</v>
      </c>
      <c r="F124" s="240" t="s">
        <v>1826</v>
      </c>
      <c r="G124" s="240" t="s">
        <v>1830</v>
      </c>
      <c r="H124" s="240" t="s">
        <v>1205</v>
      </c>
      <c r="I124" s="243" t="s">
        <v>1831</v>
      </c>
      <c r="J124" s="243"/>
      <c r="K124" s="243"/>
      <c r="L124" s="240" t="s">
        <v>219</v>
      </c>
      <c r="M124" s="244">
        <v>1</v>
      </c>
      <c r="N124" s="245">
        <v>35</v>
      </c>
      <c r="O124" s="243">
        <v>35</v>
      </c>
      <c r="P124" s="243">
        <v>35</v>
      </c>
      <c r="Q124" s="180" t="str">
        <f>IF(PEDIDOS[[#This Row],[Valor do item pago]]=PEDIDOS[[#This Row],[Total Item ]],"PAGO", "")</f>
        <v>PAGO</v>
      </c>
    </row>
    <row r="125" spans="1:17" s="216" customFormat="1" ht="39.950000000000003" customHeight="1" x14ac:dyDescent="0.25">
      <c r="A125" s="231"/>
      <c r="B125" s="240">
        <v>1569</v>
      </c>
      <c r="C125" s="241">
        <v>44111</v>
      </c>
      <c r="D125" s="242" t="s">
        <v>11</v>
      </c>
      <c r="E125" s="240" t="s">
        <v>1823</v>
      </c>
      <c r="F125" s="240" t="s">
        <v>1825</v>
      </c>
      <c r="G125" s="240" t="s">
        <v>1827</v>
      </c>
      <c r="H125" s="240" t="s">
        <v>1828</v>
      </c>
      <c r="I125" s="243" t="s">
        <v>1829</v>
      </c>
      <c r="J125" s="243"/>
      <c r="K125" s="243"/>
      <c r="L125" s="240" t="s">
        <v>219</v>
      </c>
      <c r="M125" s="244">
        <v>1</v>
      </c>
      <c r="N125" s="245">
        <v>35</v>
      </c>
      <c r="O125" s="243">
        <v>35</v>
      </c>
      <c r="P125" s="243">
        <v>35</v>
      </c>
      <c r="Q125" s="180" t="str">
        <f>IF(PEDIDOS[[#This Row],[Valor do item pago]]=PEDIDOS[[#This Row],[Total Item ]],"PAGO", "")</f>
        <v>PAGO</v>
      </c>
    </row>
    <row r="126" spans="1:17" s="216" customFormat="1" ht="39.950000000000003" customHeight="1" x14ac:dyDescent="0.25">
      <c r="A126" s="231"/>
      <c r="B126" s="240">
        <v>1568</v>
      </c>
      <c r="C126" s="241">
        <v>44111</v>
      </c>
      <c r="D126" s="242" t="s">
        <v>11</v>
      </c>
      <c r="E126" s="240" t="s">
        <v>531</v>
      </c>
      <c r="F126" s="240" t="s">
        <v>533</v>
      </c>
      <c r="G126" s="240" t="s">
        <v>1300</v>
      </c>
      <c r="H126" s="240" t="s">
        <v>532</v>
      </c>
      <c r="I126" s="243" t="s">
        <v>664</v>
      </c>
      <c r="J126" s="243"/>
      <c r="K126" s="243"/>
      <c r="L126" s="240" t="s">
        <v>1</v>
      </c>
      <c r="M126" s="244">
        <v>1</v>
      </c>
      <c r="N126" s="245">
        <v>35</v>
      </c>
      <c r="O126" s="243">
        <v>35</v>
      </c>
      <c r="P126" s="243"/>
      <c r="Q126" s="180" t="str">
        <f>IF(PEDIDOS[[#This Row],[Valor do item pago]]=PEDIDOS[[#This Row],[Total Item ]],"PAGO", "")</f>
        <v/>
      </c>
    </row>
    <row r="127" spans="1:17" s="216" customFormat="1" ht="39.950000000000003" customHeight="1" x14ac:dyDescent="0.25">
      <c r="A127" s="231"/>
      <c r="B127" s="240">
        <v>1567</v>
      </c>
      <c r="C127" s="241">
        <v>44111</v>
      </c>
      <c r="D127" s="242" t="s">
        <v>11</v>
      </c>
      <c r="E127" s="240" t="s">
        <v>1820</v>
      </c>
      <c r="F127" s="240" t="s">
        <v>1654</v>
      </c>
      <c r="G127" s="240" t="s">
        <v>1821</v>
      </c>
      <c r="H127" s="240" t="s">
        <v>1822</v>
      </c>
      <c r="I127" s="243" t="s">
        <v>990</v>
      </c>
      <c r="J127" s="243"/>
      <c r="K127" s="243"/>
      <c r="L127" s="240" t="s">
        <v>219</v>
      </c>
      <c r="M127" s="244">
        <v>1</v>
      </c>
      <c r="N127" s="245">
        <v>35</v>
      </c>
      <c r="O127" s="243">
        <v>35</v>
      </c>
      <c r="P127" s="243"/>
      <c r="Q127" s="180" t="str">
        <f>IF(PEDIDOS[[#This Row],[Valor do item pago]]=PEDIDOS[[#This Row],[Total Item ]],"PAGO", "")</f>
        <v/>
      </c>
    </row>
    <row r="128" spans="1:17" s="216" customFormat="1" ht="39.950000000000003" customHeight="1" x14ac:dyDescent="0.25">
      <c r="A128" s="231"/>
      <c r="B128" s="240">
        <v>1566</v>
      </c>
      <c r="C128" s="241">
        <v>44111</v>
      </c>
      <c r="D128" s="242" t="s">
        <v>11</v>
      </c>
      <c r="E128" s="240" t="s">
        <v>1446</v>
      </c>
      <c r="F128" s="240" t="s">
        <v>903</v>
      </c>
      <c r="G128" s="240" t="s">
        <v>1290</v>
      </c>
      <c r="H128" s="240" t="s">
        <v>520</v>
      </c>
      <c r="I128" s="243" t="s">
        <v>905</v>
      </c>
      <c r="J128" s="243"/>
      <c r="K128" s="243"/>
      <c r="L128" s="240" t="s">
        <v>219</v>
      </c>
      <c r="M128" s="244">
        <v>1</v>
      </c>
      <c r="N128" s="245">
        <v>35</v>
      </c>
      <c r="O128" s="243">
        <v>35</v>
      </c>
      <c r="P128" s="243"/>
      <c r="Q128" s="180" t="str">
        <f>IF(PEDIDOS[[#This Row],[Valor do item pago]]=PEDIDOS[[#This Row],[Total Item ]],"PAGO", "")</f>
        <v/>
      </c>
    </row>
    <row r="129" spans="1:17" s="216" customFormat="1" ht="39.950000000000003" customHeight="1" x14ac:dyDescent="0.25">
      <c r="A129" s="231"/>
      <c r="B129" s="240">
        <v>1565</v>
      </c>
      <c r="C129" s="241">
        <v>44111</v>
      </c>
      <c r="D129" s="242" t="s">
        <v>11</v>
      </c>
      <c r="E129" s="240" t="s">
        <v>1188</v>
      </c>
      <c r="F129" s="240" t="s">
        <v>1241</v>
      </c>
      <c r="G129" s="240" t="s">
        <v>1350</v>
      </c>
      <c r="H129" s="240" t="s">
        <v>401</v>
      </c>
      <c r="I129" s="243" t="s">
        <v>445</v>
      </c>
      <c r="J129" s="243"/>
      <c r="K129" s="243"/>
      <c r="L129" s="240" t="s">
        <v>1</v>
      </c>
      <c r="M129" s="244">
        <v>1</v>
      </c>
      <c r="N129" s="245">
        <v>35</v>
      </c>
      <c r="O129" s="243">
        <v>35</v>
      </c>
      <c r="P129" s="243"/>
      <c r="Q129" s="180" t="str">
        <f>IF(PEDIDOS[[#This Row],[Valor do item pago]]=PEDIDOS[[#This Row],[Total Item ]],"PAGO", "")</f>
        <v/>
      </c>
    </row>
    <row r="130" spans="1:17" s="216" customFormat="1" ht="39.950000000000003" customHeight="1" x14ac:dyDescent="0.25">
      <c r="A130" s="231"/>
      <c r="B130" s="240">
        <v>1564</v>
      </c>
      <c r="C130" s="241">
        <v>44111</v>
      </c>
      <c r="D130" s="242" t="s">
        <v>11</v>
      </c>
      <c r="E130" s="240" t="s">
        <v>513</v>
      </c>
      <c r="F130" s="240" t="s">
        <v>514</v>
      </c>
      <c r="G130" s="240" t="s">
        <v>1419</v>
      </c>
      <c r="H130" s="240" t="s">
        <v>1455</v>
      </c>
      <c r="I130" s="243" t="s">
        <v>661</v>
      </c>
      <c r="J130" s="243"/>
      <c r="K130" s="243"/>
      <c r="L130" s="240" t="s">
        <v>219</v>
      </c>
      <c r="M130" s="244">
        <v>1</v>
      </c>
      <c r="N130" s="245">
        <v>35</v>
      </c>
      <c r="O130" s="243">
        <v>35</v>
      </c>
      <c r="P130" s="243"/>
      <c r="Q130" s="180" t="str">
        <f>IF(PEDIDOS[[#This Row],[Valor do item pago]]=PEDIDOS[[#This Row],[Total Item ]],"PAGO", "")</f>
        <v/>
      </c>
    </row>
    <row r="131" spans="1:17" s="216" customFormat="1" ht="39.950000000000003" customHeight="1" x14ac:dyDescent="0.25">
      <c r="A131" s="231"/>
      <c r="B131" s="240">
        <v>1564</v>
      </c>
      <c r="C131" s="241">
        <v>44111</v>
      </c>
      <c r="D131" s="242" t="s">
        <v>11</v>
      </c>
      <c r="E131" s="240" t="s">
        <v>513</v>
      </c>
      <c r="F131" s="240" t="s">
        <v>514</v>
      </c>
      <c r="G131" s="240" t="s">
        <v>1419</v>
      </c>
      <c r="H131" s="240" t="s">
        <v>1455</v>
      </c>
      <c r="I131" s="243" t="s">
        <v>661</v>
      </c>
      <c r="J131" s="243"/>
      <c r="K131" s="243"/>
      <c r="L131" s="240" t="s">
        <v>1</v>
      </c>
      <c r="M131" s="244">
        <v>1</v>
      </c>
      <c r="N131" s="245">
        <v>35</v>
      </c>
      <c r="O131" s="243">
        <v>35</v>
      </c>
      <c r="P131" s="243"/>
      <c r="Q131" s="180" t="str">
        <f>IF(PEDIDOS[[#This Row],[Valor do item pago]]=PEDIDOS[[#This Row],[Total Item ]],"PAGO", "")</f>
        <v/>
      </c>
    </row>
    <row r="132" spans="1:17" s="216" customFormat="1" ht="39.950000000000003" customHeight="1" x14ac:dyDescent="0.25">
      <c r="A132" s="231"/>
      <c r="B132" s="240">
        <v>1563</v>
      </c>
      <c r="C132" s="241">
        <v>44111</v>
      </c>
      <c r="D132" s="242" t="s">
        <v>11</v>
      </c>
      <c r="E132" s="240" t="s">
        <v>1278</v>
      </c>
      <c r="F132" s="240" t="s">
        <v>1757</v>
      </c>
      <c r="G132" s="240" t="s">
        <v>1758</v>
      </c>
      <c r="H132" s="240" t="s">
        <v>1257</v>
      </c>
      <c r="I132" s="243" t="s">
        <v>1759</v>
      </c>
      <c r="J132" s="243"/>
      <c r="K132" s="243"/>
      <c r="L132" s="240" t="s">
        <v>0</v>
      </c>
      <c r="M132" s="244">
        <v>1</v>
      </c>
      <c r="N132" s="245">
        <v>35</v>
      </c>
      <c r="O132" s="243">
        <v>35</v>
      </c>
      <c r="P132" s="243"/>
      <c r="Q132" s="180" t="str">
        <f>IF(PEDIDOS[[#This Row],[Valor do item pago]]=PEDIDOS[[#This Row],[Total Item ]],"PAGO", "")</f>
        <v/>
      </c>
    </row>
    <row r="133" spans="1:17" s="216" customFormat="1" ht="39.950000000000003" customHeight="1" x14ac:dyDescent="0.25">
      <c r="A133" s="231"/>
      <c r="B133" s="240">
        <v>1562</v>
      </c>
      <c r="C133" s="241">
        <v>44111</v>
      </c>
      <c r="D133" s="242" t="s">
        <v>11</v>
      </c>
      <c r="E133" s="240" t="s">
        <v>1262</v>
      </c>
      <c r="F133" s="240">
        <v>0</v>
      </c>
      <c r="G133" s="240">
        <v>0</v>
      </c>
      <c r="H133" s="240">
        <v>0</v>
      </c>
      <c r="I133" s="243">
        <v>0</v>
      </c>
      <c r="J133" s="243"/>
      <c r="K133" s="243" t="s">
        <v>40</v>
      </c>
      <c r="L133" s="240" t="s">
        <v>1</v>
      </c>
      <c r="M133" s="244">
        <v>1</v>
      </c>
      <c r="N133" s="245">
        <v>35</v>
      </c>
      <c r="O133" s="243">
        <v>35</v>
      </c>
      <c r="P133" s="243"/>
      <c r="Q133" s="180" t="str">
        <f>IF(PEDIDOS[[#This Row],[Valor do item pago]]=PEDIDOS[[#This Row],[Total Item ]],"PAGO", "")</f>
        <v/>
      </c>
    </row>
    <row r="134" spans="1:17" s="216" customFormat="1" ht="39.950000000000003" customHeight="1" x14ac:dyDescent="0.25">
      <c r="A134" s="231"/>
      <c r="B134" s="240">
        <v>1561</v>
      </c>
      <c r="C134" s="241">
        <v>44111</v>
      </c>
      <c r="D134" s="242" t="s">
        <v>11</v>
      </c>
      <c r="E134" s="240" t="s">
        <v>1885</v>
      </c>
      <c r="F134" s="240" t="s">
        <v>1227</v>
      </c>
      <c r="G134" s="240" t="s">
        <v>1882</v>
      </c>
      <c r="H134" s="240" t="s">
        <v>1884</v>
      </c>
      <c r="I134" s="243" t="s">
        <v>1883</v>
      </c>
      <c r="J134" s="243"/>
      <c r="K134" s="243"/>
      <c r="L134" s="240" t="s">
        <v>219</v>
      </c>
      <c r="M134" s="244">
        <v>1</v>
      </c>
      <c r="N134" s="245">
        <v>35</v>
      </c>
      <c r="O134" s="243">
        <v>35</v>
      </c>
      <c r="P134" s="243"/>
      <c r="Q134" s="180" t="str">
        <f>IF(PEDIDOS[[#This Row],[Valor do item pago]]=PEDIDOS[[#This Row],[Total Item ]],"PAGO", "")</f>
        <v/>
      </c>
    </row>
    <row r="135" spans="1:17" s="216" customFormat="1" ht="39.950000000000003" customHeight="1" x14ac:dyDescent="0.25">
      <c r="A135" s="231"/>
      <c r="B135" s="240">
        <v>1559</v>
      </c>
      <c r="C135" s="241">
        <v>44111</v>
      </c>
      <c r="D135" s="242" t="s">
        <v>11</v>
      </c>
      <c r="E135" s="240" t="s">
        <v>1375</v>
      </c>
      <c r="F135" s="240" t="s">
        <v>895</v>
      </c>
      <c r="G135" s="240" t="s">
        <v>1415</v>
      </c>
      <c r="H135" s="240" t="s">
        <v>581</v>
      </c>
      <c r="I135" s="243" t="s">
        <v>897</v>
      </c>
      <c r="J135" s="243"/>
      <c r="K135" s="243"/>
      <c r="L135" s="240" t="s">
        <v>219</v>
      </c>
      <c r="M135" s="244">
        <v>1</v>
      </c>
      <c r="N135" s="245">
        <v>35</v>
      </c>
      <c r="O135" s="243">
        <v>35</v>
      </c>
      <c r="P135" s="243"/>
      <c r="Q135" s="180" t="str">
        <f>IF(PEDIDOS[[#This Row],[Valor do item pago]]=PEDIDOS[[#This Row],[Total Item ]],"PAGO", "")</f>
        <v/>
      </c>
    </row>
    <row r="136" spans="1:17" s="216" customFormat="1" ht="39.950000000000003" customHeight="1" x14ac:dyDescent="0.25">
      <c r="A136" s="231"/>
      <c r="B136" s="240">
        <v>1558</v>
      </c>
      <c r="C136" s="241">
        <v>44111</v>
      </c>
      <c r="D136" s="242" t="s">
        <v>11</v>
      </c>
      <c r="E136" s="240" t="s">
        <v>1259</v>
      </c>
      <c r="F136" s="240" t="s">
        <v>1226</v>
      </c>
      <c r="G136" s="240" t="s">
        <v>1440</v>
      </c>
      <c r="H136" s="240" t="s">
        <v>390</v>
      </c>
      <c r="I136" s="243" t="s">
        <v>251</v>
      </c>
      <c r="J136" s="243"/>
      <c r="K136" s="243"/>
      <c r="L136" s="240" t="s">
        <v>3</v>
      </c>
      <c r="M136" s="244">
        <v>1</v>
      </c>
      <c r="N136" s="245">
        <v>35</v>
      </c>
      <c r="O136" s="243">
        <v>35</v>
      </c>
      <c r="P136" s="243"/>
      <c r="Q136" s="180" t="str">
        <f>IF(PEDIDOS[[#This Row],[Valor do item pago]]=PEDIDOS[[#This Row],[Total Item ]],"PAGO", "")</f>
        <v/>
      </c>
    </row>
    <row r="137" spans="1:17" s="216" customFormat="1" ht="39.950000000000003" customHeight="1" x14ac:dyDescent="0.25">
      <c r="A137" s="231"/>
      <c r="B137" s="240">
        <v>1557</v>
      </c>
      <c r="C137" s="241">
        <v>44111</v>
      </c>
      <c r="D137" s="242" t="s">
        <v>11</v>
      </c>
      <c r="E137" s="240" t="s">
        <v>25</v>
      </c>
      <c r="F137" s="240" t="s">
        <v>1222</v>
      </c>
      <c r="G137" s="240" t="s">
        <v>1411</v>
      </c>
      <c r="H137" s="240" t="s">
        <v>406</v>
      </c>
      <c r="I137" s="243" t="s">
        <v>329</v>
      </c>
      <c r="J137" s="243"/>
      <c r="K137" s="243"/>
      <c r="L137" s="240" t="s">
        <v>219</v>
      </c>
      <c r="M137" s="244">
        <v>1</v>
      </c>
      <c r="N137" s="245">
        <v>35</v>
      </c>
      <c r="O137" s="243">
        <v>35</v>
      </c>
      <c r="P137" s="243">
        <v>35</v>
      </c>
      <c r="Q137" s="180" t="str">
        <f>IF(PEDIDOS[[#This Row],[Valor do item pago]]=PEDIDOS[[#This Row],[Total Item ]],"PAGO", "")</f>
        <v>PAGO</v>
      </c>
    </row>
    <row r="138" spans="1:17" s="216" customFormat="1" ht="39.950000000000003" customHeight="1" x14ac:dyDescent="0.25">
      <c r="A138" s="231"/>
      <c r="B138" s="240">
        <v>1556</v>
      </c>
      <c r="C138" s="241">
        <v>44111</v>
      </c>
      <c r="D138" s="242" t="s">
        <v>11</v>
      </c>
      <c r="E138" s="240" t="s">
        <v>1775</v>
      </c>
      <c r="F138" s="240" t="s">
        <v>1088</v>
      </c>
      <c r="G138" s="240" t="s">
        <v>1407</v>
      </c>
      <c r="H138" s="240" t="s">
        <v>570</v>
      </c>
      <c r="I138" s="243" t="s">
        <v>1090</v>
      </c>
      <c r="J138" s="243"/>
      <c r="K138" s="243"/>
      <c r="L138" s="240" t="s">
        <v>219</v>
      </c>
      <c r="M138" s="244">
        <v>1</v>
      </c>
      <c r="N138" s="245">
        <v>35</v>
      </c>
      <c r="O138" s="243">
        <v>35</v>
      </c>
      <c r="P138" s="243">
        <v>35</v>
      </c>
      <c r="Q138" s="180" t="str">
        <f>IF(PEDIDOS[[#This Row],[Valor do item pago]]=PEDIDOS[[#This Row],[Total Item ]],"PAGO", "")</f>
        <v>PAGO</v>
      </c>
    </row>
    <row r="139" spans="1:17" s="216" customFormat="1" ht="39.950000000000003" customHeight="1" x14ac:dyDescent="0.25">
      <c r="A139" s="231"/>
      <c r="B139" s="240">
        <v>1555</v>
      </c>
      <c r="C139" s="241">
        <v>44111</v>
      </c>
      <c r="D139" s="242" t="s">
        <v>11</v>
      </c>
      <c r="E139" s="240" t="s">
        <v>1199</v>
      </c>
      <c r="F139" s="240" t="s">
        <v>969</v>
      </c>
      <c r="G139" s="240" t="s">
        <v>1361</v>
      </c>
      <c r="H139" s="240" t="s">
        <v>52</v>
      </c>
      <c r="I139" s="243" t="s">
        <v>971</v>
      </c>
      <c r="J139" s="243"/>
      <c r="K139" s="243"/>
      <c r="L139" s="240" t="s">
        <v>219</v>
      </c>
      <c r="M139" s="244">
        <v>1</v>
      </c>
      <c r="N139" s="245">
        <v>35</v>
      </c>
      <c r="O139" s="243">
        <v>35</v>
      </c>
      <c r="P139" s="243">
        <v>35</v>
      </c>
      <c r="Q139" s="180" t="str">
        <f>IF(PEDIDOS[[#This Row],[Valor do item pago]]=PEDIDOS[[#This Row],[Total Item ]],"PAGO", "")</f>
        <v>PAGO</v>
      </c>
    </row>
    <row r="140" spans="1:17" s="216" customFormat="1" ht="39.950000000000003" customHeight="1" x14ac:dyDescent="0.25">
      <c r="A140" s="231"/>
      <c r="B140" s="240">
        <v>1554</v>
      </c>
      <c r="C140" s="241">
        <v>44111</v>
      </c>
      <c r="D140" s="242" t="s">
        <v>11</v>
      </c>
      <c r="E140" s="240" t="s">
        <v>1471</v>
      </c>
      <c r="F140" s="240" t="s">
        <v>1477</v>
      </c>
      <c r="G140" s="240" t="s">
        <v>1481</v>
      </c>
      <c r="H140" s="240" t="s">
        <v>651</v>
      </c>
      <c r="I140" s="243" t="s">
        <v>1486</v>
      </c>
      <c r="J140" s="243"/>
      <c r="K140" s="243"/>
      <c r="L140" s="240" t="s">
        <v>219</v>
      </c>
      <c r="M140" s="244">
        <v>1</v>
      </c>
      <c r="N140" s="245">
        <v>35</v>
      </c>
      <c r="O140" s="243">
        <v>35</v>
      </c>
      <c r="P140" s="243"/>
      <c r="Q140" s="180" t="str">
        <f>IF(PEDIDOS[[#This Row],[Valor do item pago]]=PEDIDOS[[#This Row],[Total Item ]],"PAGO", "")</f>
        <v/>
      </c>
    </row>
    <row r="141" spans="1:17" s="216" customFormat="1" ht="39.950000000000003" customHeight="1" x14ac:dyDescent="0.25">
      <c r="A141" s="231"/>
      <c r="B141" s="240">
        <v>1553</v>
      </c>
      <c r="C141" s="241">
        <v>44111</v>
      </c>
      <c r="D141" s="242" t="s">
        <v>1025</v>
      </c>
      <c r="E141" s="240" t="s">
        <v>374</v>
      </c>
      <c r="F141" s="240" t="s">
        <v>1246</v>
      </c>
      <c r="G141" s="240" t="s">
        <v>1422</v>
      </c>
      <c r="H141" s="240" t="s">
        <v>402</v>
      </c>
      <c r="I141" s="243" t="s">
        <v>658</v>
      </c>
      <c r="J141" s="243"/>
      <c r="K141" s="243"/>
      <c r="L141" s="240" t="s">
        <v>1</v>
      </c>
      <c r="M141" s="244">
        <v>1</v>
      </c>
      <c r="N141" s="245">
        <v>35</v>
      </c>
      <c r="O141" s="243">
        <v>35</v>
      </c>
      <c r="P141" s="243"/>
      <c r="Q141" s="180" t="str">
        <f>IF(PEDIDOS[[#This Row],[Valor do item pago]]=PEDIDOS[[#This Row],[Total Item ]],"PAGO", "")</f>
        <v/>
      </c>
    </row>
    <row r="142" spans="1:17" s="216" customFormat="1" ht="39.950000000000003" customHeight="1" x14ac:dyDescent="0.25">
      <c r="A142" s="231"/>
      <c r="B142" s="240">
        <v>1553</v>
      </c>
      <c r="C142" s="241">
        <v>44111</v>
      </c>
      <c r="D142" s="242" t="s">
        <v>1025</v>
      </c>
      <c r="E142" s="240" t="s">
        <v>374</v>
      </c>
      <c r="F142" s="240" t="s">
        <v>1246</v>
      </c>
      <c r="G142" s="240" t="s">
        <v>1422</v>
      </c>
      <c r="H142" s="240" t="s">
        <v>402</v>
      </c>
      <c r="I142" s="243" t="s">
        <v>658</v>
      </c>
      <c r="J142" s="243"/>
      <c r="K142" s="243"/>
      <c r="L142" s="240" t="s">
        <v>0</v>
      </c>
      <c r="M142" s="244">
        <v>1</v>
      </c>
      <c r="N142" s="245">
        <v>35</v>
      </c>
      <c r="O142" s="243">
        <v>35</v>
      </c>
      <c r="P142" s="243"/>
      <c r="Q142" s="180" t="str">
        <f>IF(PEDIDOS[[#This Row],[Valor do item pago]]=PEDIDOS[[#This Row],[Total Item ]],"PAGO", "")</f>
        <v/>
      </c>
    </row>
    <row r="143" spans="1:17" s="216" customFormat="1" ht="39.950000000000003" customHeight="1" x14ac:dyDescent="0.25">
      <c r="A143" s="231"/>
      <c r="B143" s="240">
        <v>1551</v>
      </c>
      <c r="C143" s="241">
        <v>44111</v>
      </c>
      <c r="D143" s="242" t="s">
        <v>1025</v>
      </c>
      <c r="E143" s="240" t="s">
        <v>1848</v>
      </c>
      <c r="F143" s="240" t="s">
        <v>1849</v>
      </c>
      <c r="G143" s="240" t="s">
        <v>1851</v>
      </c>
      <c r="H143" s="240" t="s">
        <v>460</v>
      </c>
      <c r="I143" s="243" t="s">
        <v>1850</v>
      </c>
      <c r="J143" s="243"/>
      <c r="K143" s="243"/>
      <c r="L143" s="240" t="s">
        <v>219</v>
      </c>
      <c r="M143" s="244">
        <v>1</v>
      </c>
      <c r="N143" s="245">
        <v>35</v>
      </c>
      <c r="O143" s="243">
        <v>35</v>
      </c>
      <c r="P143" s="243"/>
      <c r="Q143" s="180" t="str">
        <f>IF(PEDIDOS[[#This Row],[Valor do item pago]]=PEDIDOS[[#This Row],[Total Item ]],"PAGO", "")</f>
        <v/>
      </c>
    </row>
    <row r="144" spans="1:17" s="216" customFormat="1" ht="39.950000000000003" customHeight="1" x14ac:dyDescent="0.25">
      <c r="A144" s="231"/>
      <c r="B144" s="240">
        <v>1551</v>
      </c>
      <c r="C144" s="241">
        <v>44111</v>
      </c>
      <c r="D144" s="242" t="s">
        <v>1025</v>
      </c>
      <c r="E144" s="240" t="s">
        <v>1848</v>
      </c>
      <c r="F144" s="240" t="s">
        <v>1849</v>
      </c>
      <c r="G144" s="240" t="s">
        <v>1851</v>
      </c>
      <c r="H144" s="240" t="s">
        <v>460</v>
      </c>
      <c r="I144" s="243" t="s">
        <v>1850</v>
      </c>
      <c r="J144" s="243"/>
      <c r="K144" s="243"/>
      <c r="L144" s="240" t="s">
        <v>1</v>
      </c>
      <c r="M144" s="244">
        <v>1</v>
      </c>
      <c r="N144" s="245">
        <v>35</v>
      </c>
      <c r="O144" s="243">
        <v>35</v>
      </c>
      <c r="P144" s="243"/>
      <c r="Q144" s="180" t="str">
        <f>IF(PEDIDOS[[#This Row],[Valor do item pago]]=PEDIDOS[[#This Row],[Total Item ]],"PAGO", "")</f>
        <v/>
      </c>
    </row>
    <row r="145" spans="1:17" s="216" customFormat="1" ht="39.950000000000003" customHeight="1" x14ac:dyDescent="0.25">
      <c r="A145" s="231"/>
      <c r="B145" s="240">
        <v>1550</v>
      </c>
      <c r="C145" s="241">
        <v>44111</v>
      </c>
      <c r="D145" s="242" t="s">
        <v>1025</v>
      </c>
      <c r="E145" s="240" t="s">
        <v>1620</v>
      </c>
      <c r="F145" s="240" t="s">
        <v>1615</v>
      </c>
      <c r="G145" s="240" t="s">
        <v>1628</v>
      </c>
      <c r="H145" s="240" t="s">
        <v>1378</v>
      </c>
      <c r="I145" s="243" t="s">
        <v>1627</v>
      </c>
      <c r="J145" s="243"/>
      <c r="K145" s="243"/>
      <c r="L145" s="240" t="s">
        <v>1</v>
      </c>
      <c r="M145" s="244">
        <v>1</v>
      </c>
      <c r="N145" s="245">
        <v>35</v>
      </c>
      <c r="O145" s="243">
        <v>35</v>
      </c>
      <c r="P145" s="243"/>
      <c r="Q145" s="180" t="str">
        <f>IF(PEDIDOS[[#This Row],[Valor do item pago]]=PEDIDOS[[#This Row],[Total Item ]],"PAGO", "")</f>
        <v/>
      </c>
    </row>
    <row r="146" spans="1:17" s="216" customFormat="1" ht="39.950000000000003" customHeight="1" x14ac:dyDescent="0.25">
      <c r="A146" s="231"/>
      <c r="B146" s="240">
        <v>1549</v>
      </c>
      <c r="C146" s="241">
        <v>44111</v>
      </c>
      <c r="D146" s="242" t="s">
        <v>1025</v>
      </c>
      <c r="E146" s="240" t="s">
        <v>1845</v>
      </c>
      <c r="F146" s="240" t="s">
        <v>1846</v>
      </c>
      <c r="G146" s="240" t="s">
        <v>1847</v>
      </c>
      <c r="H146" s="240" t="s">
        <v>1197</v>
      </c>
      <c r="I146" s="243" t="s">
        <v>1028</v>
      </c>
      <c r="J146" s="243"/>
      <c r="K146" s="243"/>
      <c r="L146" s="240" t="s">
        <v>1</v>
      </c>
      <c r="M146" s="244">
        <v>1</v>
      </c>
      <c r="N146" s="245">
        <v>35</v>
      </c>
      <c r="O146" s="243">
        <v>35</v>
      </c>
      <c r="P146" s="243"/>
      <c r="Q146" s="180" t="str">
        <f>IF(PEDIDOS[[#This Row],[Valor do item pago]]=PEDIDOS[[#This Row],[Total Item ]],"PAGO", "")</f>
        <v/>
      </c>
    </row>
    <row r="147" spans="1:17" s="216" customFormat="1" ht="39.950000000000003" customHeight="1" x14ac:dyDescent="0.25">
      <c r="A147" s="231"/>
      <c r="B147" s="240">
        <v>1548</v>
      </c>
      <c r="C147" s="241">
        <v>44111</v>
      </c>
      <c r="D147" s="242" t="s">
        <v>1025</v>
      </c>
      <c r="E147" s="240" t="s">
        <v>25</v>
      </c>
      <c r="F147" s="240" t="s">
        <v>1222</v>
      </c>
      <c r="G147" s="240" t="s">
        <v>1411</v>
      </c>
      <c r="H147" s="240" t="s">
        <v>406</v>
      </c>
      <c r="I147" s="243" t="s">
        <v>329</v>
      </c>
      <c r="J147" s="243" t="s">
        <v>1591</v>
      </c>
      <c r="K147" s="243"/>
      <c r="L147" s="240" t="s">
        <v>219</v>
      </c>
      <c r="M147" s="244">
        <v>2</v>
      </c>
      <c r="N147" s="245">
        <v>35</v>
      </c>
      <c r="O147" s="243">
        <v>70</v>
      </c>
      <c r="P147" s="243"/>
      <c r="Q147" s="180" t="str">
        <f>IF(PEDIDOS[[#This Row],[Valor do item pago]]=PEDIDOS[[#This Row],[Total Item ]],"PAGO", "")</f>
        <v/>
      </c>
    </row>
    <row r="148" spans="1:17" s="216" customFormat="1" ht="39.950000000000003" customHeight="1" x14ac:dyDescent="0.25">
      <c r="A148" s="231"/>
      <c r="B148" s="240">
        <v>1547</v>
      </c>
      <c r="C148" s="241">
        <v>44111</v>
      </c>
      <c r="D148" s="242" t="s">
        <v>45</v>
      </c>
      <c r="E148" s="240" t="s">
        <v>948</v>
      </c>
      <c r="F148" s="240" t="s">
        <v>951</v>
      </c>
      <c r="G148" s="240" t="s">
        <v>1444</v>
      </c>
      <c r="H148" s="240" t="s">
        <v>520</v>
      </c>
      <c r="I148" s="243" t="s">
        <v>950</v>
      </c>
      <c r="J148" s="243"/>
      <c r="K148" s="243"/>
      <c r="L148" s="240" t="s">
        <v>1</v>
      </c>
      <c r="M148" s="244">
        <v>1</v>
      </c>
      <c r="N148" s="245">
        <v>35</v>
      </c>
      <c r="O148" s="243">
        <v>35</v>
      </c>
      <c r="P148" s="243"/>
      <c r="Q148" s="180" t="str">
        <f>IF(PEDIDOS[[#This Row],[Valor do item pago]]=PEDIDOS[[#This Row],[Total Item ]],"PAGO", "")</f>
        <v/>
      </c>
    </row>
    <row r="149" spans="1:17" s="216" customFormat="1" ht="39.950000000000003" customHeight="1" x14ac:dyDescent="0.25">
      <c r="A149" s="231"/>
      <c r="B149" s="240">
        <v>1546</v>
      </c>
      <c r="C149" s="241">
        <v>44111</v>
      </c>
      <c r="D149" s="242" t="s">
        <v>229</v>
      </c>
      <c r="E149" s="240" t="s">
        <v>229</v>
      </c>
      <c r="F149" s="240">
        <v>0</v>
      </c>
      <c r="G149" s="240">
        <v>0</v>
      </c>
      <c r="H149" s="240">
        <v>0</v>
      </c>
      <c r="I149" s="243">
        <v>0</v>
      </c>
      <c r="J149" s="243"/>
      <c r="K149" s="243" t="s">
        <v>229</v>
      </c>
      <c r="L149" s="240" t="s">
        <v>3</v>
      </c>
      <c r="M149" s="244">
        <v>2</v>
      </c>
      <c r="N149" s="245">
        <v>35</v>
      </c>
      <c r="O149" s="243">
        <v>70</v>
      </c>
      <c r="P149" s="243"/>
      <c r="Q149" s="180" t="str">
        <f>IF(PEDIDOS[[#This Row],[Valor do item pago]]=PEDIDOS[[#This Row],[Total Item ]],"PAGO", "")</f>
        <v/>
      </c>
    </row>
    <row r="150" spans="1:17" s="216" customFormat="1" ht="39.950000000000003" customHeight="1" x14ac:dyDescent="0.25">
      <c r="A150" s="231"/>
      <c r="B150" s="240">
        <v>1546</v>
      </c>
      <c r="C150" s="241">
        <v>44111</v>
      </c>
      <c r="D150" s="242" t="s">
        <v>229</v>
      </c>
      <c r="E150" s="240" t="s">
        <v>229</v>
      </c>
      <c r="F150" s="240">
        <v>0</v>
      </c>
      <c r="G150" s="240">
        <v>0</v>
      </c>
      <c r="H150" s="240">
        <v>0</v>
      </c>
      <c r="I150" s="243">
        <v>0</v>
      </c>
      <c r="J150" s="243"/>
      <c r="K150" s="243" t="s">
        <v>229</v>
      </c>
      <c r="L150" s="240" t="s">
        <v>219</v>
      </c>
      <c r="M150" s="244">
        <v>2</v>
      </c>
      <c r="N150" s="245">
        <v>35</v>
      </c>
      <c r="O150" s="243">
        <v>70</v>
      </c>
      <c r="P150" s="243"/>
      <c r="Q150" s="180" t="str">
        <f>IF(PEDIDOS[[#This Row],[Valor do item pago]]=PEDIDOS[[#This Row],[Total Item ]],"PAGO", "")</f>
        <v/>
      </c>
    </row>
    <row r="151" spans="1:17" s="216" customFormat="1" ht="39.950000000000003" customHeight="1" x14ac:dyDescent="0.25">
      <c r="A151" s="231"/>
      <c r="B151" s="240">
        <v>1546</v>
      </c>
      <c r="C151" s="241">
        <v>44111</v>
      </c>
      <c r="D151" s="242" t="s">
        <v>229</v>
      </c>
      <c r="E151" s="240" t="s">
        <v>229</v>
      </c>
      <c r="F151" s="240">
        <v>0</v>
      </c>
      <c r="G151" s="240">
        <v>0</v>
      </c>
      <c r="H151" s="240">
        <v>0</v>
      </c>
      <c r="I151" s="243">
        <v>0</v>
      </c>
      <c r="J151" s="243"/>
      <c r="K151" s="243" t="s">
        <v>229</v>
      </c>
      <c r="L151" s="240" t="s">
        <v>1</v>
      </c>
      <c r="M151" s="244">
        <v>4</v>
      </c>
      <c r="N151" s="245">
        <v>35</v>
      </c>
      <c r="O151" s="243">
        <v>140</v>
      </c>
      <c r="P151" s="243"/>
      <c r="Q151" s="180" t="str">
        <f>IF(PEDIDOS[[#This Row],[Valor do item pago]]=PEDIDOS[[#This Row],[Total Item ]],"PAGO", "")</f>
        <v/>
      </c>
    </row>
    <row r="152" spans="1:17" s="216" customFormat="1" ht="39.950000000000003" customHeight="1" x14ac:dyDescent="0.25">
      <c r="A152" s="231"/>
      <c r="B152" s="240">
        <v>1545</v>
      </c>
      <c r="C152" s="241">
        <v>44111</v>
      </c>
      <c r="D152" s="242" t="s">
        <v>24</v>
      </c>
      <c r="E152" s="240" t="s">
        <v>25</v>
      </c>
      <c r="F152" s="240" t="s">
        <v>1222</v>
      </c>
      <c r="G152" s="240" t="s">
        <v>1411</v>
      </c>
      <c r="H152" s="240" t="s">
        <v>406</v>
      </c>
      <c r="I152" s="243" t="s">
        <v>329</v>
      </c>
      <c r="J152" s="243" t="s">
        <v>24</v>
      </c>
      <c r="K152" s="243"/>
      <c r="L152" s="240" t="s">
        <v>219</v>
      </c>
      <c r="M152" s="244">
        <v>2</v>
      </c>
      <c r="N152" s="245">
        <v>35</v>
      </c>
      <c r="O152" s="243">
        <v>70</v>
      </c>
      <c r="P152" s="243"/>
      <c r="Q152" s="180" t="str">
        <f>IF(PEDIDOS[[#This Row],[Valor do item pago]]=PEDIDOS[[#This Row],[Total Item ]],"PAGO", "")</f>
        <v/>
      </c>
    </row>
    <row r="153" spans="1:17" s="216" customFormat="1" ht="39.950000000000003" customHeight="1" x14ac:dyDescent="0.25">
      <c r="A153" s="231"/>
      <c r="B153" s="240">
        <v>1544</v>
      </c>
      <c r="C153" s="241">
        <v>44111</v>
      </c>
      <c r="D153" s="242" t="s">
        <v>24</v>
      </c>
      <c r="E153" s="240" t="s">
        <v>1255</v>
      </c>
      <c r="F153" s="240" t="s">
        <v>1210</v>
      </c>
      <c r="G153" s="240">
        <v>0</v>
      </c>
      <c r="H153" s="240">
        <v>0</v>
      </c>
      <c r="I153" s="243">
        <v>0</v>
      </c>
      <c r="J153" s="243"/>
      <c r="K153" s="243"/>
      <c r="L153" s="240" t="s">
        <v>3</v>
      </c>
      <c r="M153" s="244">
        <v>2</v>
      </c>
      <c r="N153" s="245">
        <v>35</v>
      </c>
      <c r="O153" s="243">
        <v>70</v>
      </c>
      <c r="P153" s="243"/>
      <c r="Q153" s="180" t="str">
        <f>IF(PEDIDOS[[#This Row],[Valor do item pago]]=PEDIDOS[[#This Row],[Total Item ]],"PAGO", "")</f>
        <v/>
      </c>
    </row>
    <row r="154" spans="1:17" s="216" customFormat="1" ht="39.950000000000003" customHeight="1" x14ac:dyDescent="0.25">
      <c r="A154" s="231"/>
      <c r="B154" s="240">
        <v>1543</v>
      </c>
      <c r="C154" s="241">
        <v>44111</v>
      </c>
      <c r="D154" s="242" t="s">
        <v>24</v>
      </c>
      <c r="E154" s="240" t="s">
        <v>23</v>
      </c>
      <c r="F154" s="240">
        <v>0</v>
      </c>
      <c r="G154" s="240">
        <v>0</v>
      </c>
      <c r="H154" s="240">
        <v>0</v>
      </c>
      <c r="I154" s="243">
        <v>0</v>
      </c>
      <c r="J154" s="243" t="s">
        <v>1881</v>
      </c>
      <c r="K154" s="243" t="s">
        <v>24</v>
      </c>
      <c r="L154" s="240" t="s">
        <v>1</v>
      </c>
      <c r="M154" s="244">
        <v>3</v>
      </c>
      <c r="N154" s="245">
        <v>35</v>
      </c>
      <c r="O154" s="243">
        <v>105</v>
      </c>
      <c r="P154" s="243"/>
      <c r="Q154" s="180" t="str">
        <f>IF(PEDIDOS[[#This Row],[Valor do item pago]]=PEDIDOS[[#This Row],[Total Item ]],"PAGO", "")</f>
        <v/>
      </c>
    </row>
    <row r="155" spans="1:17" s="216" customFormat="1" ht="39.950000000000003" customHeight="1" x14ac:dyDescent="0.25">
      <c r="A155" s="231"/>
      <c r="B155" s="240">
        <v>1542</v>
      </c>
      <c r="C155" s="241">
        <v>44111</v>
      </c>
      <c r="D155" s="242" t="s">
        <v>1134</v>
      </c>
      <c r="E155" s="240" t="s">
        <v>1692</v>
      </c>
      <c r="F155" s="240" t="s">
        <v>1693</v>
      </c>
      <c r="G155" s="240">
        <v>0</v>
      </c>
      <c r="H155" s="240">
        <v>0</v>
      </c>
      <c r="I155" s="243">
        <v>0</v>
      </c>
      <c r="J155" s="243"/>
      <c r="K155" s="243" t="s">
        <v>40</v>
      </c>
      <c r="L155" s="240" t="s">
        <v>3</v>
      </c>
      <c r="M155" s="244">
        <v>1</v>
      </c>
      <c r="N155" s="245">
        <v>35</v>
      </c>
      <c r="O155" s="243">
        <v>35</v>
      </c>
      <c r="P155" s="243"/>
      <c r="Q155" s="180" t="str">
        <f>IF(PEDIDOS[[#This Row],[Valor do item pago]]=PEDIDOS[[#This Row],[Total Item ]],"PAGO", "")</f>
        <v/>
      </c>
    </row>
    <row r="156" spans="1:17" s="216" customFormat="1" ht="39.950000000000003" customHeight="1" x14ac:dyDescent="0.25">
      <c r="A156" s="231"/>
      <c r="B156" s="240">
        <v>1542</v>
      </c>
      <c r="C156" s="241">
        <v>44111</v>
      </c>
      <c r="D156" s="242" t="s">
        <v>1134</v>
      </c>
      <c r="E156" s="240" t="s">
        <v>1692</v>
      </c>
      <c r="F156" s="240" t="s">
        <v>1693</v>
      </c>
      <c r="G156" s="240">
        <v>0</v>
      </c>
      <c r="H156" s="240">
        <v>0</v>
      </c>
      <c r="I156" s="243">
        <v>0</v>
      </c>
      <c r="J156" s="243"/>
      <c r="K156" s="243" t="s">
        <v>40</v>
      </c>
      <c r="L156" s="240" t="s">
        <v>1</v>
      </c>
      <c r="M156" s="244">
        <v>1</v>
      </c>
      <c r="N156" s="245">
        <v>35</v>
      </c>
      <c r="O156" s="243">
        <v>35</v>
      </c>
      <c r="P156" s="243"/>
      <c r="Q156" s="180" t="str">
        <f>IF(PEDIDOS[[#This Row],[Valor do item pago]]=PEDIDOS[[#This Row],[Total Item ]],"PAGO", "")</f>
        <v/>
      </c>
    </row>
    <row r="157" spans="1:17" s="216" customFormat="1" ht="39.950000000000003" customHeight="1" x14ac:dyDescent="0.25">
      <c r="A157" s="231"/>
      <c r="B157" s="240">
        <v>1541</v>
      </c>
      <c r="C157" s="241">
        <v>44111</v>
      </c>
      <c r="D157" s="242" t="s">
        <v>1134</v>
      </c>
      <c r="E157" s="240" t="s">
        <v>1680</v>
      </c>
      <c r="F157" s="240" t="s">
        <v>1691</v>
      </c>
      <c r="G157" s="240" t="s">
        <v>1682</v>
      </c>
      <c r="H157" s="240" t="s">
        <v>645</v>
      </c>
      <c r="I157" s="243" t="s">
        <v>1681</v>
      </c>
      <c r="J157" s="243" t="s">
        <v>1880</v>
      </c>
      <c r="K157" s="243"/>
      <c r="L157" s="240" t="s">
        <v>1</v>
      </c>
      <c r="M157" s="244">
        <v>1</v>
      </c>
      <c r="N157" s="245">
        <v>35</v>
      </c>
      <c r="O157" s="243">
        <v>35</v>
      </c>
      <c r="P157" s="243">
        <v>35</v>
      </c>
      <c r="Q157" s="180" t="str">
        <f>IF(PEDIDOS[[#This Row],[Valor do item pago]]=PEDIDOS[[#This Row],[Total Item ]],"PAGO", "")</f>
        <v>PAGO</v>
      </c>
    </row>
    <row r="158" spans="1:17" s="216" customFormat="1" ht="39.950000000000003" customHeight="1" x14ac:dyDescent="0.25">
      <c r="A158" s="231"/>
      <c r="B158" s="240">
        <v>1541</v>
      </c>
      <c r="C158" s="241">
        <v>44111</v>
      </c>
      <c r="D158" s="242" t="s">
        <v>1134</v>
      </c>
      <c r="E158" s="240" t="s">
        <v>1680</v>
      </c>
      <c r="F158" s="240" t="s">
        <v>1691</v>
      </c>
      <c r="G158" s="240" t="s">
        <v>1682</v>
      </c>
      <c r="H158" s="240" t="s">
        <v>645</v>
      </c>
      <c r="I158" s="243" t="s">
        <v>1681</v>
      </c>
      <c r="J158" s="243" t="s">
        <v>1880</v>
      </c>
      <c r="K158" s="243"/>
      <c r="L158" s="240" t="s">
        <v>0</v>
      </c>
      <c r="M158" s="244">
        <v>1</v>
      </c>
      <c r="N158" s="245">
        <v>35</v>
      </c>
      <c r="O158" s="243">
        <v>35</v>
      </c>
      <c r="P158" s="243">
        <v>35</v>
      </c>
      <c r="Q158" s="180" t="str">
        <f>IF(PEDIDOS[[#This Row],[Valor do item pago]]=PEDIDOS[[#This Row],[Total Item ]],"PAGO", "")</f>
        <v>PAGO</v>
      </c>
    </row>
    <row r="159" spans="1:17" s="216" customFormat="1" ht="39.950000000000003" customHeight="1" x14ac:dyDescent="0.25">
      <c r="A159" s="231"/>
      <c r="B159" s="240">
        <v>1540</v>
      </c>
      <c r="C159" s="241">
        <v>44111</v>
      </c>
      <c r="D159" s="242" t="s">
        <v>1134</v>
      </c>
      <c r="E159" s="240" t="s">
        <v>1683</v>
      </c>
      <c r="F159" s="240" t="s">
        <v>1687</v>
      </c>
      <c r="G159" s="240" t="s">
        <v>1684</v>
      </c>
      <c r="H159" s="240" t="s">
        <v>112</v>
      </c>
      <c r="I159" s="243" t="s">
        <v>1685</v>
      </c>
      <c r="J159" s="243"/>
      <c r="K159" s="243" t="s">
        <v>40</v>
      </c>
      <c r="L159" s="240" t="s">
        <v>3</v>
      </c>
      <c r="M159" s="244">
        <v>1</v>
      </c>
      <c r="N159" s="245">
        <v>35</v>
      </c>
      <c r="O159" s="243">
        <v>35</v>
      </c>
      <c r="P159" s="243"/>
      <c r="Q159" s="180" t="str">
        <f>IF(PEDIDOS[[#This Row],[Valor do item pago]]=PEDIDOS[[#This Row],[Total Item ]],"PAGO", "")</f>
        <v/>
      </c>
    </row>
    <row r="160" spans="1:17" s="216" customFormat="1" ht="39.950000000000003" customHeight="1" x14ac:dyDescent="0.25">
      <c r="A160" s="231"/>
      <c r="B160" s="240">
        <v>1539</v>
      </c>
      <c r="C160" s="241">
        <v>44111</v>
      </c>
      <c r="D160" s="242" t="s">
        <v>1134</v>
      </c>
      <c r="E160" s="240" t="s">
        <v>1584</v>
      </c>
      <c r="F160" s="240" t="s">
        <v>1585</v>
      </c>
      <c r="G160" s="240" t="s">
        <v>1586</v>
      </c>
      <c r="H160" s="240" t="s">
        <v>651</v>
      </c>
      <c r="I160" s="243" t="s">
        <v>1587</v>
      </c>
      <c r="J160" s="243"/>
      <c r="K160" s="243"/>
      <c r="L160" s="240" t="s">
        <v>1</v>
      </c>
      <c r="M160" s="244">
        <v>1</v>
      </c>
      <c r="N160" s="245">
        <v>35</v>
      </c>
      <c r="O160" s="243">
        <v>35</v>
      </c>
      <c r="P160" s="243"/>
      <c r="Q160" s="180" t="str">
        <f>IF(PEDIDOS[[#This Row],[Valor do item pago]]=PEDIDOS[[#This Row],[Total Item ]],"PAGO", "")</f>
        <v/>
      </c>
    </row>
    <row r="161" spans="1:17" s="216" customFormat="1" ht="39.950000000000003" customHeight="1" x14ac:dyDescent="0.25">
      <c r="A161" s="231"/>
      <c r="B161" s="240">
        <v>1538</v>
      </c>
      <c r="C161" s="241">
        <v>44111</v>
      </c>
      <c r="D161" s="242" t="s">
        <v>1134</v>
      </c>
      <c r="E161" s="240" t="s">
        <v>966</v>
      </c>
      <c r="F161" s="240" t="s">
        <v>1073</v>
      </c>
      <c r="G161" s="240">
        <v>0</v>
      </c>
      <c r="H161" s="240" t="s">
        <v>40</v>
      </c>
      <c r="I161" s="243">
        <v>0</v>
      </c>
      <c r="J161" s="243"/>
      <c r="K161" s="243" t="s">
        <v>40</v>
      </c>
      <c r="L161" s="240" t="s">
        <v>3</v>
      </c>
      <c r="M161" s="244">
        <v>1</v>
      </c>
      <c r="N161" s="245">
        <v>35</v>
      </c>
      <c r="O161" s="243">
        <v>35</v>
      </c>
      <c r="P161" s="243"/>
      <c r="Q161" s="180" t="str">
        <f>IF(PEDIDOS[[#This Row],[Valor do item pago]]=PEDIDOS[[#This Row],[Total Item ]],"PAGO", "")</f>
        <v/>
      </c>
    </row>
    <row r="162" spans="1:17" s="216" customFormat="1" ht="39.950000000000003" customHeight="1" x14ac:dyDescent="0.25">
      <c r="A162" s="231"/>
      <c r="B162" s="240">
        <v>1538</v>
      </c>
      <c r="C162" s="241">
        <v>44111</v>
      </c>
      <c r="D162" s="242" t="s">
        <v>1134</v>
      </c>
      <c r="E162" s="240" t="s">
        <v>966</v>
      </c>
      <c r="F162" s="240" t="s">
        <v>1073</v>
      </c>
      <c r="G162" s="240">
        <v>0</v>
      </c>
      <c r="H162" s="240" t="s">
        <v>40</v>
      </c>
      <c r="I162" s="243">
        <v>0</v>
      </c>
      <c r="J162" s="243"/>
      <c r="K162" s="243" t="s">
        <v>40</v>
      </c>
      <c r="L162" s="240" t="s">
        <v>219</v>
      </c>
      <c r="M162" s="244">
        <v>1</v>
      </c>
      <c r="N162" s="245">
        <v>35</v>
      </c>
      <c r="O162" s="243">
        <v>35</v>
      </c>
      <c r="P162" s="243"/>
      <c r="Q162" s="180" t="str">
        <f>IF(PEDIDOS[[#This Row],[Valor do item pago]]=PEDIDOS[[#This Row],[Total Item ]],"PAGO", "")</f>
        <v/>
      </c>
    </row>
    <row r="163" spans="1:17" s="216" customFormat="1" ht="39.950000000000003" customHeight="1" x14ac:dyDescent="0.25">
      <c r="A163" s="231"/>
      <c r="B163" s="240">
        <v>1538</v>
      </c>
      <c r="C163" s="241">
        <v>44111</v>
      </c>
      <c r="D163" s="242" t="s">
        <v>1134</v>
      </c>
      <c r="E163" s="240" t="s">
        <v>966</v>
      </c>
      <c r="F163" s="240" t="s">
        <v>1073</v>
      </c>
      <c r="G163" s="240">
        <v>0</v>
      </c>
      <c r="H163" s="240" t="s">
        <v>40</v>
      </c>
      <c r="I163" s="243">
        <v>0</v>
      </c>
      <c r="J163" s="243"/>
      <c r="K163" s="243" t="s">
        <v>40</v>
      </c>
      <c r="L163" s="240" t="s">
        <v>1</v>
      </c>
      <c r="M163" s="244">
        <v>1</v>
      </c>
      <c r="N163" s="245">
        <v>35</v>
      </c>
      <c r="O163" s="243">
        <v>35</v>
      </c>
      <c r="P163" s="243"/>
      <c r="Q163" s="180" t="str">
        <f>IF(PEDIDOS[[#This Row],[Valor do item pago]]=PEDIDOS[[#This Row],[Total Item ]],"PAGO", "")</f>
        <v/>
      </c>
    </row>
    <row r="164" spans="1:17" s="216" customFormat="1" ht="39.950000000000003" customHeight="1" x14ac:dyDescent="0.25">
      <c r="A164" s="231"/>
      <c r="B164" s="240">
        <v>1538</v>
      </c>
      <c r="C164" s="241">
        <v>44111</v>
      </c>
      <c r="D164" s="242" t="s">
        <v>1134</v>
      </c>
      <c r="E164" s="240" t="s">
        <v>966</v>
      </c>
      <c r="F164" s="240" t="s">
        <v>1073</v>
      </c>
      <c r="G164" s="240">
        <v>0</v>
      </c>
      <c r="H164" s="240" t="s">
        <v>40</v>
      </c>
      <c r="I164" s="243">
        <v>0</v>
      </c>
      <c r="J164" s="243"/>
      <c r="K164" s="243" t="s">
        <v>40</v>
      </c>
      <c r="L164" s="240" t="s">
        <v>0</v>
      </c>
      <c r="M164" s="244">
        <v>1</v>
      </c>
      <c r="N164" s="245">
        <v>35</v>
      </c>
      <c r="O164" s="243">
        <v>35</v>
      </c>
      <c r="P164" s="243"/>
      <c r="Q164" s="180" t="str">
        <f>IF(PEDIDOS[[#This Row],[Valor do item pago]]=PEDIDOS[[#This Row],[Total Item ]],"PAGO", "")</f>
        <v/>
      </c>
    </row>
    <row r="165" spans="1:17" s="216" customFormat="1" ht="39.950000000000003" customHeight="1" x14ac:dyDescent="0.25">
      <c r="A165" s="231"/>
      <c r="B165" s="240">
        <v>1537</v>
      </c>
      <c r="C165" s="241">
        <v>44111</v>
      </c>
      <c r="D165" s="242" t="s">
        <v>34</v>
      </c>
      <c r="E165" s="240" t="s">
        <v>1878</v>
      </c>
      <c r="F165" s="240" t="s">
        <v>1879</v>
      </c>
      <c r="G165" s="240">
        <v>0</v>
      </c>
      <c r="H165" s="240">
        <v>0</v>
      </c>
      <c r="I165" s="243">
        <v>0</v>
      </c>
      <c r="J165" s="243"/>
      <c r="K165" s="243" t="s">
        <v>40</v>
      </c>
      <c r="L165" s="240" t="s">
        <v>219</v>
      </c>
      <c r="M165" s="244">
        <v>1</v>
      </c>
      <c r="N165" s="245">
        <v>35</v>
      </c>
      <c r="O165" s="243">
        <v>35</v>
      </c>
      <c r="P165" s="243"/>
      <c r="Q165" s="180" t="str">
        <f>IF(PEDIDOS[[#This Row],[Valor do item pago]]=PEDIDOS[[#This Row],[Total Item ]],"PAGO", "")</f>
        <v/>
      </c>
    </row>
    <row r="166" spans="1:17" s="216" customFormat="1" ht="39.950000000000003" customHeight="1" x14ac:dyDescent="0.25">
      <c r="A166" s="231"/>
      <c r="B166" s="240">
        <v>1536</v>
      </c>
      <c r="C166" s="241">
        <v>44111</v>
      </c>
      <c r="D166" s="242" t="s">
        <v>411</v>
      </c>
      <c r="E166" s="240" t="s">
        <v>1688</v>
      </c>
      <c r="F166" s="240" t="s">
        <v>1689</v>
      </c>
      <c r="G166" s="240" t="s">
        <v>1745</v>
      </c>
      <c r="H166" s="240" t="s">
        <v>84</v>
      </c>
      <c r="I166" s="243" t="s">
        <v>1746</v>
      </c>
      <c r="J166" s="243"/>
      <c r="K166" s="243"/>
      <c r="L166" s="240" t="s">
        <v>3</v>
      </c>
      <c r="M166" s="244">
        <v>1</v>
      </c>
      <c r="N166" s="245">
        <v>35</v>
      </c>
      <c r="O166" s="243">
        <v>35</v>
      </c>
      <c r="P166" s="243"/>
      <c r="Q166" s="180" t="str">
        <f>IF(PEDIDOS[[#This Row],[Valor do item pago]]=PEDIDOS[[#This Row],[Total Item ]],"PAGO", "")</f>
        <v/>
      </c>
    </row>
    <row r="167" spans="1:17" s="216" customFormat="1" ht="39.950000000000003" customHeight="1" x14ac:dyDescent="0.25">
      <c r="A167" s="231"/>
      <c r="B167" s="240">
        <v>1536</v>
      </c>
      <c r="C167" s="241">
        <v>44111</v>
      </c>
      <c r="D167" s="242" t="s">
        <v>411</v>
      </c>
      <c r="E167" s="240" t="s">
        <v>1688</v>
      </c>
      <c r="F167" s="240" t="s">
        <v>1689</v>
      </c>
      <c r="G167" s="240" t="s">
        <v>1745</v>
      </c>
      <c r="H167" s="240" t="s">
        <v>84</v>
      </c>
      <c r="I167" s="243" t="s">
        <v>1746</v>
      </c>
      <c r="J167" s="243"/>
      <c r="K167" s="243"/>
      <c r="L167" s="240" t="s">
        <v>219</v>
      </c>
      <c r="M167" s="244">
        <v>1</v>
      </c>
      <c r="N167" s="245">
        <v>35</v>
      </c>
      <c r="O167" s="243">
        <v>35</v>
      </c>
      <c r="P167" s="243"/>
      <c r="Q167" s="180" t="str">
        <f>IF(PEDIDOS[[#This Row],[Valor do item pago]]=PEDIDOS[[#This Row],[Total Item ]],"PAGO", "")</f>
        <v/>
      </c>
    </row>
    <row r="168" spans="1:17" s="216" customFormat="1" ht="39.950000000000003" customHeight="1" x14ac:dyDescent="0.25">
      <c r="A168" s="231"/>
      <c r="B168" s="240">
        <v>1535</v>
      </c>
      <c r="C168" s="241">
        <v>44111</v>
      </c>
      <c r="D168" s="242" t="s">
        <v>732</v>
      </c>
      <c r="E168" s="240" t="s">
        <v>1874</v>
      </c>
      <c r="F168" s="240" t="s">
        <v>1875</v>
      </c>
      <c r="G168" s="240" t="s">
        <v>1876</v>
      </c>
      <c r="H168" s="240" t="s">
        <v>520</v>
      </c>
      <c r="I168" s="243" t="s">
        <v>1877</v>
      </c>
      <c r="J168" s="243"/>
      <c r="K168" s="243"/>
      <c r="L168" s="240" t="s">
        <v>219</v>
      </c>
      <c r="M168" s="244">
        <v>1</v>
      </c>
      <c r="N168" s="245">
        <v>35</v>
      </c>
      <c r="O168" s="243">
        <v>35</v>
      </c>
      <c r="P168" s="243"/>
      <c r="Q168" s="180" t="str">
        <f>IF(PEDIDOS[[#This Row],[Valor do item pago]]=PEDIDOS[[#This Row],[Total Item ]],"PAGO", "")</f>
        <v/>
      </c>
    </row>
    <row r="169" spans="1:17" s="216" customFormat="1" ht="39.950000000000003" customHeight="1" x14ac:dyDescent="0.25">
      <c r="A169" s="231"/>
      <c r="B169" s="240">
        <v>1534</v>
      </c>
      <c r="C169" s="241">
        <v>44111</v>
      </c>
      <c r="D169" s="242" t="s">
        <v>732</v>
      </c>
      <c r="E169" s="240" t="s">
        <v>732</v>
      </c>
      <c r="F169" s="240" t="s">
        <v>733</v>
      </c>
      <c r="G169" s="240" t="s">
        <v>1866</v>
      </c>
      <c r="H169" s="240" t="s">
        <v>1799</v>
      </c>
      <c r="I169" s="243" t="s">
        <v>1867</v>
      </c>
      <c r="J169" s="243"/>
      <c r="K169" s="243" t="s">
        <v>40</v>
      </c>
      <c r="L169" s="240" t="s">
        <v>219</v>
      </c>
      <c r="M169" s="244">
        <v>2</v>
      </c>
      <c r="N169" s="245">
        <v>35</v>
      </c>
      <c r="O169" s="243">
        <v>70</v>
      </c>
      <c r="P169" s="243"/>
      <c r="Q169" s="180" t="str">
        <f>IF(PEDIDOS[[#This Row],[Valor do item pago]]=PEDIDOS[[#This Row],[Total Item ]],"PAGO", "")</f>
        <v/>
      </c>
    </row>
    <row r="170" spans="1:17" s="216" customFormat="1" ht="39.950000000000003" customHeight="1" x14ac:dyDescent="0.25">
      <c r="A170" s="231"/>
      <c r="B170" s="240">
        <v>1534</v>
      </c>
      <c r="C170" s="241">
        <v>44111</v>
      </c>
      <c r="D170" s="242" t="s">
        <v>732</v>
      </c>
      <c r="E170" s="240" t="s">
        <v>732</v>
      </c>
      <c r="F170" s="240" t="s">
        <v>733</v>
      </c>
      <c r="G170" s="240" t="s">
        <v>1866</v>
      </c>
      <c r="H170" s="240" t="s">
        <v>1799</v>
      </c>
      <c r="I170" s="243" t="s">
        <v>1867</v>
      </c>
      <c r="J170" s="243"/>
      <c r="K170" s="243" t="s">
        <v>40</v>
      </c>
      <c r="L170" s="240" t="s">
        <v>1</v>
      </c>
      <c r="M170" s="244">
        <v>1</v>
      </c>
      <c r="N170" s="245">
        <v>35</v>
      </c>
      <c r="O170" s="243">
        <v>35</v>
      </c>
      <c r="P170" s="243"/>
      <c r="Q170" s="180" t="str">
        <f>IF(PEDIDOS[[#This Row],[Valor do item pago]]=PEDIDOS[[#This Row],[Total Item ]],"PAGO", "")</f>
        <v/>
      </c>
    </row>
    <row r="171" spans="1:17" s="216" customFormat="1" ht="39.950000000000003" customHeight="1" x14ac:dyDescent="0.25">
      <c r="A171" s="231"/>
      <c r="B171" s="240">
        <v>1533</v>
      </c>
      <c r="C171" s="241">
        <v>44111</v>
      </c>
      <c r="D171" s="242" t="s">
        <v>1134</v>
      </c>
      <c r="E171" s="240" t="s">
        <v>1583</v>
      </c>
      <c r="F171" s="240" t="s">
        <v>1696</v>
      </c>
      <c r="G171" s="240" t="s">
        <v>437</v>
      </c>
      <c r="H171" s="240" t="s">
        <v>84</v>
      </c>
      <c r="I171" s="243" t="s">
        <v>439</v>
      </c>
      <c r="J171" s="243"/>
      <c r="K171" s="243"/>
      <c r="L171" s="240" t="s">
        <v>219</v>
      </c>
      <c r="M171" s="244">
        <v>3</v>
      </c>
      <c r="N171" s="245">
        <v>35</v>
      </c>
      <c r="O171" s="243">
        <v>105</v>
      </c>
      <c r="P171" s="243"/>
      <c r="Q171" s="180" t="str">
        <f>IF(PEDIDOS[[#This Row],[Valor do item pago]]=PEDIDOS[[#This Row],[Total Item ]],"PAGO", "")</f>
        <v/>
      </c>
    </row>
    <row r="172" spans="1:17" s="216" customFormat="1" ht="39.950000000000003" customHeight="1" x14ac:dyDescent="0.25">
      <c r="A172" s="231"/>
      <c r="B172" s="240">
        <v>1532</v>
      </c>
      <c r="C172" s="241">
        <v>44111</v>
      </c>
      <c r="D172" s="242" t="s">
        <v>34</v>
      </c>
      <c r="E172" s="240" t="s">
        <v>588</v>
      </c>
      <c r="F172" s="240" t="s">
        <v>1079</v>
      </c>
      <c r="G172" s="240" t="s">
        <v>1770</v>
      </c>
      <c r="H172" s="240" t="s">
        <v>1771</v>
      </c>
      <c r="I172" s="243" t="s">
        <v>1772</v>
      </c>
      <c r="J172" s="243"/>
      <c r="K172" s="243"/>
      <c r="L172" s="240" t="s">
        <v>219</v>
      </c>
      <c r="M172" s="244">
        <v>1</v>
      </c>
      <c r="N172" s="245">
        <v>35</v>
      </c>
      <c r="O172" s="243">
        <v>35</v>
      </c>
      <c r="P172" s="243">
        <v>35</v>
      </c>
      <c r="Q172" s="180" t="str">
        <f>IF(PEDIDOS[[#This Row],[Valor do item pago]]=PEDIDOS[[#This Row],[Total Item ]],"PAGO", "")</f>
        <v>PAGO</v>
      </c>
    </row>
    <row r="173" spans="1:17" s="216" customFormat="1" ht="39.950000000000003" customHeight="1" x14ac:dyDescent="0.25">
      <c r="A173" s="231"/>
      <c r="B173" s="240">
        <v>1531</v>
      </c>
      <c r="C173" s="241">
        <v>44111</v>
      </c>
      <c r="D173" s="242" t="s">
        <v>34</v>
      </c>
      <c r="E173" s="240" t="s">
        <v>203</v>
      </c>
      <c r="F173" s="240" t="s">
        <v>1238</v>
      </c>
      <c r="G173" s="240" t="s">
        <v>41</v>
      </c>
      <c r="H173" s="240" t="s">
        <v>441</v>
      </c>
      <c r="I173" s="243" t="s">
        <v>442</v>
      </c>
      <c r="J173" s="243"/>
      <c r="K173" s="243"/>
      <c r="L173" s="240" t="s">
        <v>1</v>
      </c>
      <c r="M173" s="244">
        <v>3</v>
      </c>
      <c r="N173" s="245">
        <v>35</v>
      </c>
      <c r="O173" s="243">
        <v>105</v>
      </c>
      <c r="P173" s="243"/>
      <c r="Q173" s="180" t="str">
        <f>IF(PEDIDOS[[#This Row],[Valor do item pago]]=PEDIDOS[[#This Row],[Total Item ]],"PAGO", "")</f>
        <v/>
      </c>
    </row>
    <row r="174" spans="1:17" s="216" customFormat="1" ht="39.950000000000003" customHeight="1" x14ac:dyDescent="0.25">
      <c r="A174" s="231"/>
      <c r="B174" s="240">
        <v>1529</v>
      </c>
      <c r="C174" s="241">
        <v>44111</v>
      </c>
      <c r="D174" s="242" t="s">
        <v>34</v>
      </c>
      <c r="E174" s="240" t="s">
        <v>1436</v>
      </c>
      <c r="F174" s="240" t="s">
        <v>1099</v>
      </c>
      <c r="G174" s="240" t="s">
        <v>1766</v>
      </c>
      <c r="H174" s="240" t="s">
        <v>84</v>
      </c>
      <c r="I174" s="243" t="s">
        <v>1767</v>
      </c>
      <c r="J174" s="243"/>
      <c r="K174" s="243"/>
      <c r="L174" s="240" t="s">
        <v>3</v>
      </c>
      <c r="M174" s="244">
        <v>1</v>
      </c>
      <c r="N174" s="245">
        <v>35</v>
      </c>
      <c r="O174" s="243">
        <v>35</v>
      </c>
      <c r="P174" s="243"/>
      <c r="Q174" s="180" t="str">
        <f>IF(PEDIDOS[[#This Row],[Valor do item pago]]=PEDIDOS[[#This Row],[Total Item ]],"PAGO", "")</f>
        <v/>
      </c>
    </row>
    <row r="175" spans="1:17" s="264" customFormat="1" ht="39.950000000000003" customHeight="1" x14ac:dyDescent="0.25">
      <c r="A175" s="256"/>
      <c r="B175" s="257">
        <v>1529</v>
      </c>
      <c r="C175" s="258">
        <v>44111</v>
      </c>
      <c r="D175" s="259" t="s">
        <v>34</v>
      </c>
      <c r="E175" s="257" t="s">
        <v>1436</v>
      </c>
      <c r="F175" s="257" t="s">
        <v>1099</v>
      </c>
      <c r="G175" s="257" t="s">
        <v>1766</v>
      </c>
      <c r="H175" s="257" t="s">
        <v>84</v>
      </c>
      <c r="I175" s="260" t="s">
        <v>1767</v>
      </c>
      <c r="J175" s="260"/>
      <c r="K175" s="260"/>
      <c r="L175" s="257" t="s">
        <v>0</v>
      </c>
      <c r="M175" s="261">
        <v>1</v>
      </c>
      <c r="N175" s="262">
        <v>35</v>
      </c>
      <c r="O175" s="260">
        <v>35</v>
      </c>
      <c r="P175" s="260"/>
      <c r="Q175" s="263" t="str">
        <f>IF(PEDIDOS[[#This Row],[Valor do item pago]]=PEDIDOS[[#This Row],[Total Item ]],"PAGO", "")</f>
        <v/>
      </c>
    </row>
    <row r="176" spans="1:17" s="216" customFormat="1" ht="39.950000000000003" customHeight="1" x14ac:dyDescent="0.25">
      <c r="A176" s="231"/>
      <c r="B176" s="240">
        <v>1528</v>
      </c>
      <c r="C176" s="241">
        <v>44078</v>
      </c>
      <c r="D176" s="242" t="s">
        <v>1134</v>
      </c>
      <c r="E176" s="240" t="s">
        <v>1680</v>
      </c>
      <c r="F176" s="240" t="s">
        <v>1691</v>
      </c>
      <c r="G176" s="240" t="s">
        <v>1682</v>
      </c>
      <c r="H176" s="240" t="s">
        <v>645</v>
      </c>
      <c r="I176" s="243" t="s">
        <v>1681</v>
      </c>
      <c r="J176" s="243"/>
      <c r="K176" s="243"/>
      <c r="L176" s="240" t="s">
        <v>1</v>
      </c>
      <c r="M176" s="244">
        <v>1</v>
      </c>
      <c r="N176" s="245">
        <v>35</v>
      </c>
      <c r="O176" s="243">
        <v>35</v>
      </c>
      <c r="P176" s="243"/>
      <c r="Q176" s="180" t="str">
        <f>IF(PEDIDOS[[#This Row],[Valor do item pago]]=PEDIDOS[[#This Row],[Total Item ]],"PAGO", "")</f>
        <v/>
      </c>
    </row>
    <row r="177" spans="1:17" s="216" customFormat="1" ht="39.950000000000003" customHeight="1" x14ac:dyDescent="0.25">
      <c r="A177" s="231"/>
      <c r="B177" s="240">
        <v>1528</v>
      </c>
      <c r="C177" s="241">
        <v>44078</v>
      </c>
      <c r="D177" s="242" t="s">
        <v>1134</v>
      </c>
      <c r="E177" s="240" t="s">
        <v>1680</v>
      </c>
      <c r="F177" s="240" t="s">
        <v>1691</v>
      </c>
      <c r="G177" s="240" t="s">
        <v>1682</v>
      </c>
      <c r="H177" s="240" t="s">
        <v>645</v>
      </c>
      <c r="I177" s="243" t="s">
        <v>1681</v>
      </c>
      <c r="J177" s="243"/>
      <c r="K177" s="243"/>
      <c r="L177" s="240" t="s">
        <v>0</v>
      </c>
      <c r="M177" s="244">
        <v>1</v>
      </c>
      <c r="N177" s="245">
        <v>35</v>
      </c>
      <c r="O177" s="243">
        <v>35</v>
      </c>
      <c r="P177" s="243"/>
      <c r="Q177" s="180" t="str">
        <f>IF(PEDIDOS[[#This Row],[Valor do item pago]]=PEDIDOS[[#This Row],[Total Item ]],"PAGO", "")</f>
        <v/>
      </c>
    </row>
    <row r="178" spans="1:17" s="216" customFormat="1" ht="39.950000000000003" customHeight="1" x14ac:dyDescent="0.25">
      <c r="A178" s="231"/>
      <c r="B178" s="240">
        <v>1527</v>
      </c>
      <c r="C178" s="241">
        <v>44078</v>
      </c>
      <c r="D178" s="242" t="s">
        <v>11</v>
      </c>
      <c r="E178" s="240" t="s">
        <v>531</v>
      </c>
      <c r="F178" s="240" t="s">
        <v>533</v>
      </c>
      <c r="G178" s="240" t="s">
        <v>1300</v>
      </c>
      <c r="H178" s="240" t="s">
        <v>532</v>
      </c>
      <c r="I178" s="243" t="s">
        <v>664</v>
      </c>
      <c r="J178" s="243"/>
      <c r="K178" s="243"/>
      <c r="L178" s="240" t="s">
        <v>0</v>
      </c>
      <c r="M178" s="244">
        <v>1</v>
      </c>
      <c r="N178" s="245">
        <v>35</v>
      </c>
      <c r="O178" s="243">
        <v>35</v>
      </c>
      <c r="P178" s="243"/>
      <c r="Q178" s="180" t="str">
        <f>IF(PEDIDOS[[#This Row],[Valor do item pago]]=PEDIDOS[[#This Row],[Total Item ]],"PAGO", "")</f>
        <v/>
      </c>
    </row>
    <row r="179" spans="1:17" s="216" customFormat="1" ht="39.950000000000003" customHeight="1" x14ac:dyDescent="0.25">
      <c r="A179" s="231"/>
      <c r="B179" s="240">
        <v>1526</v>
      </c>
      <c r="C179" s="241">
        <v>44078</v>
      </c>
      <c r="D179" s="242" t="s">
        <v>11</v>
      </c>
      <c r="E179" s="240" t="s">
        <v>1775</v>
      </c>
      <c r="F179" s="240" t="s">
        <v>1088</v>
      </c>
      <c r="G179" s="240" t="s">
        <v>1407</v>
      </c>
      <c r="H179" s="240" t="s">
        <v>570</v>
      </c>
      <c r="I179" s="243" t="s">
        <v>1090</v>
      </c>
      <c r="J179" s="243"/>
      <c r="K179" s="243"/>
      <c r="L179" s="240" t="s">
        <v>219</v>
      </c>
      <c r="M179" s="244">
        <v>1</v>
      </c>
      <c r="N179" s="245">
        <v>35</v>
      </c>
      <c r="O179" s="243">
        <v>35</v>
      </c>
      <c r="P179" s="243">
        <v>35</v>
      </c>
      <c r="Q179" s="180" t="str">
        <f>IF(PEDIDOS[[#This Row],[Valor do item pago]]=PEDIDOS[[#This Row],[Total Item ]],"PAGO", "")</f>
        <v>PAGO</v>
      </c>
    </row>
    <row r="180" spans="1:17" s="216" customFormat="1" ht="39.950000000000003" customHeight="1" x14ac:dyDescent="0.25">
      <c r="A180" s="231"/>
      <c r="B180" s="240">
        <v>1525</v>
      </c>
      <c r="C180" s="241">
        <v>44078</v>
      </c>
      <c r="D180" s="242" t="s">
        <v>11</v>
      </c>
      <c r="E180" s="240" t="s">
        <v>343</v>
      </c>
      <c r="F180" s="240" t="s">
        <v>826</v>
      </c>
      <c r="G180" s="240" t="s">
        <v>1404</v>
      </c>
      <c r="H180" s="240" t="s">
        <v>441</v>
      </c>
      <c r="I180" s="243" t="s">
        <v>874</v>
      </c>
      <c r="J180" s="243"/>
      <c r="K180" s="243"/>
      <c r="L180" s="240" t="s">
        <v>3</v>
      </c>
      <c r="M180" s="244">
        <v>1</v>
      </c>
      <c r="N180" s="245">
        <v>35</v>
      </c>
      <c r="O180" s="243">
        <v>35</v>
      </c>
      <c r="P180" s="243"/>
      <c r="Q180" s="180" t="str">
        <f>IF(PEDIDOS[[#This Row],[Valor do item pago]]=PEDIDOS[[#This Row],[Total Item ]],"PAGO", "")</f>
        <v/>
      </c>
    </row>
    <row r="181" spans="1:17" s="216" customFormat="1" ht="39.950000000000003" customHeight="1" x14ac:dyDescent="0.25">
      <c r="A181" s="231"/>
      <c r="B181" s="240">
        <v>1524</v>
      </c>
      <c r="C181" s="241">
        <v>44078</v>
      </c>
      <c r="D181" s="242" t="s">
        <v>11</v>
      </c>
      <c r="E181" s="240" t="s">
        <v>340</v>
      </c>
      <c r="F181" s="240" t="s">
        <v>974</v>
      </c>
      <c r="G181" s="240" t="s">
        <v>1462</v>
      </c>
      <c r="H181" s="240" t="s">
        <v>388</v>
      </c>
      <c r="I181" s="243" t="s">
        <v>417</v>
      </c>
      <c r="J181" s="243"/>
      <c r="K181" s="243"/>
      <c r="L181" s="240" t="s">
        <v>219</v>
      </c>
      <c r="M181" s="244">
        <v>1</v>
      </c>
      <c r="N181" s="245">
        <v>35</v>
      </c>
      <c r="O181" s="243">
        <v>35</v>
      </c>
      <c r="P181" s="243"/>
      <c r="Q181" s="180" t="str">
        <f>IF(PEDIDOS[[#This Row],[Valor do item pago]]=PEDIDOS[[#This Row],[Total Item ]],"PAGO", "")</f>
        <v/>
      </c>
    </row>
    <row r="182" spans="1:17" s="216" customFormat="1" ht="39.950000000000003" customHeight="1" x14ac:dyDescent="0.25">
      <c r="A182" s="231"/>
      <c r="B182" s="240">
        <v>1523</v>
      </c>
      <c r="C182" s="241">
        <v>44078</v>
      </c>
      <c r="D182" s="242" t="s">
        <v>11</v>
      </c>
      <c r="E182" s="240" t="s">
        <v>11</v>
      </c>
      <c r="F182" s="240" t="s">
        <v>882</v>
      </c>
      <c r="G182" s="240" t="s">
        <v>1382</v>
      </c>
      <c r="H182" s="240" t="s">
        <v>441</v>
      </c>
      <c r="I182" s="243" t="s">
        <v>884</v>
      </c>
      <c r="J182" s="243"/>
      <c r="K182" s="243"/>
      <c r="L182" s="240" t="s">
        <v>1</v>
      </c>
      <c r="M182" s="244">
        <v>4</v>
      </c>
      <c r="N182" s="245">
        <v>35</v>
      </c>
      <c r="O182" s="243">
        <v>140</v>
      </c>
      <c r="P182" s="243">
        <v>140</v>
      </c>
      <c r="Q182" s="180" t="str">
        <f>IF(PEDIDOS[[#This Row],[Valor do item pago]]=PEDIDOS[[#This Row],[Total Item ]],"PAGO", "")</f>
        <v>PAGO</v>
      </c>
    </row>
    <row r="183" spans="1:17" s="216" customFormat="1" ht="39.950000000000003" customHeight="1" x14ac:dyDescent="0.25">
      <c r="A183" s="231"/>
      <c r="B183" s="240">
        <v>1522</v>
      </c>
      <c r="C183" s="241">
        <v>44078</v>
      </c>
      <c r="D183" s="242" t="s">
        <v>11</v>
      </c>
      <c r="E183" s="240" t="s">
        <v>1278</v>
      </c>
      <c r="F183" s="240" t="s">
        <v>1757</v>
      </c>
      <c r="G183" s="240" t="s">
        <v>1758</v>
      </c>
      <c r="H183" s="240" t="s">
        <v>1257</v>
      </c>
      <c r="I183" s="243" t="s">
        <v>1759</v>
      </c>
      <c r="J183" s="243"/>
      <c r="K183" s="243"/>
      <c r="L183" s="240" t="s">
        <v>0</v>
      </c>
      <c r="M183" s="244">
        <v>1</v>
      </c>
      <c r="N183" s="245">
        <v>35</v>
      </c>
      <c r="O183" s="243">
        <v>35</v>
      </c>
      <c r="P183" s="243"/>
      <c r="Q183" s="180" t="str">
        <f>IF(PEDIDOS[[#This Row],[Valor do item pago]]=PEDIDOS[[#This Row],[Total Item ]],"PAGO", "")</f>
        <v/>
      </c>
    </row>
    <row r="184" spans="1:17" s="216" customFormat="1" ht="39.950000000000003" customHeight="1" x14ac:dyDescent="0.25">
      <c r="A184" s="231"/>
      <c r="B184" s="240">
        <v>1521</v>
      </c>
      <c r="C184" s="241">
        <v>44078</v>
      </c>
      <c r="D184" s="242" t="s">
        <v>11</v>
      </c>
      <c r="E184" s="240" t="s">
        <v>1262</v>
      </c>
      <c r="F184" s="240">
        <v>0</v>
      </c>
      <c r="G184" s="240">
        <v>0</v>
      </c>
      <c r="H184" s="240">
        <v>0</v>
      </c>
      <c r="I184" s="243">
        <v>0</v>
      </c>
      <c r="J184" s="243"/>
      <c r="K184" s="243"/>
      <c r="L184" s="240" t="s">
        <v>1</v>
      </c>
      <c r="M184" s="244">
        <v>1</v>
      </c>
      <c r="N184" s="245">
        <v>35</v>
      </c>
      <c r="O184" s="243">
        <v>35</v>
      </c>
      <c r="P184" s="243">
        <v>35</v>
      </c>
      <c r="Q184" s="180" t="str">
        <f>IF(PEDIDOS[[#This Row],[Valor do item pago]]=PEDIDOS[[#This Row],[Total Item ]],"PAGO", "")</f>
        <v>PAGO</v>
      </c>
    </row>
    <row r="185" spans="1:17" s="216" customFormat="1" ht="39.950000000000003" customHeight="1" x14ac:dyDescent="0.25">
      <c r="A185" s="231"/>
      <c r="B185" s="240">
        <v>1520</v>
      </c>
      <c r="C185" s="241">
        <v>44078</v>
      </c>
      <c r="D185" s="242" t="s">
        <v>11</v>
      </c>
      <c r="E185" s="240" t="s">
        <v>506</v>
      </c>
      <c r="F185" s="240" t="s">
        <v>503</v>
      </c>
      <c r="G185" s="240" t="s">
        <v>1416</v>
      </c>
      <c r="H185" s="240" t="s">
        <v>505</v>
      </c>
      <c r="I185" s="243" t="s">
        <v>660</v>
      </c>
      <c r="J185" s="243"/>
      <c r="K185" s="243"/>
      <c r="L185" s="240" t="s">
        <v>1</v>
      </c>
      <c r="M185" s="244">
        <v>2</v>
      </c>
      <c r="N185" s="245">
        <v>35</v>
      </c>
      <c r="O185" s="243">
        <v>70</v>
      </c>
      <c r="P185" s="243"/>
      <c r="Q185" s="180" t="str">
        <f>IF(PEDIDOS[[#This Row],[Valor do item pago]]=PEDIDOS[[#This Row],[Total Item ]],"PAGO", "")</f>
        <v/>
      </c>
    </row>
    <row r="186" spans="1:17" s="216" customFormat="1" ht="39.950000000000003" customHeight="1" x14ac:dyDescent="0.25">
      <c r="A186" s="231"/>
      <c r="B186" s="240">
        <v>1519</v>
      </c>
      <c r="C186" s="241">
        <v>44078</v>
      </c>
      <c r="D186" s="242" t="s">
        <v>11</v>
      </c>
      <c r="E186" s="240" t="s">
        <v>25</v>
      </c>
      <c r="F186" s="240" t="s">
        <v>1222</v>
      </c>
      <c r="G186" s="240" t="s">
        <v>1411</v>
      </c>
      <c r="H186" s="240" t="s">
        <v>406</v>
      </c>
      <c r="I186" s="243" t="s">
        <v>329</v>
      </c>
      <c r="J186" s="243"/>
      <c r="K186" s="243"/>
      <c r="L186" s="240" t="s">
        <v>219</v>
      </c>
      <c r="M186" s="244">
        <v>1</v>
      </c>
      <c r="N186" s="245">
        <v>35</v>
      </c>
      <c r="O186" s="243">
        <v>35</v>
      </c>
      <c r="P186" s="243"/>
      <c r="Q186" s="180" t="str">
        <f>IF(PEDIDOS[[#This Row],[Valor do item pago]]=PEDIDOS[[#This Row],[Total Item ]],"PAGO", "")</f>
        <v/>
      </c>
    </row>
    <row r="187" spans="1:17" s="216" customFormat="1" ht="39.950000000000003" customHeight="1" x14ac:dyDescent="0.25">
      <c r="A187" s="231"/>
      <c r="B187" s="240">
        <v>1518</v>
      </c>
      <c r="C187" s="241">
        <v>44078</v>
      </c>
      <c r="D187" s="242" t="s">
        <v>11</v>
      </c>
      <c r="E187" s="240" t="s">
        <v>1820</v>
      </c>
      <c r="F187" s="240" t="s">
        <v>1654</v>
      </c>
      <c r="G187" s="240" t="s">
        <v>1821</v>
      </c>
      <c r="H187" s="240" t="s">
        <v>1822</v>
      </c>
      <c r="I187" s="243" t="s">
        <v>990</v>
      </c>
      <c r="J187" s="243"/>
      <c r="K187" s="243"/>
      <c r="L187" s="240" t="s">
        <v>219</v>
      </c>
      <c r="M187" s="244">
        <v>1</v>
      </c>
      <c r="N187" s="245">
        <v>35</v>
      </c>
      <c r="O187" s="243">
        <v>35</v>
      </c>
      <c r="P187" s="243"/>
      <c r="Q187" s="180" t="str">
        <f>IF(PEDIDOS[[#This Row],[Valor do item pago]]=PEDIDOS[[#This Row],[Total Item ]],"PAGO", "")</f>
        <v/>
      </c>
    </row>
    <row r="188" spans="1:17" s="216" customFormat="1" ht="39.950000000000003" customHeight="1" x14ac:dyDescent="0.25">
      <c r="A188" s="231"/>
      <c r="B188" s="240">
        <v>1517</v>
      </c>
      <c r="C188" s="241">
        <v>44078</v>
      </c>
      <c r="D188" s="242" t="s">
        <v>11</v>
      </c>
      <c r="E188" s="240" t="s">
        <v>1188</v>
      </c>
      <c r="F188" s="240" t="s">
        <v>1241</v>
      </c>
      <c r="G188" s="240" t="s">
        <v>1350</v>
      </c>
      <c r="H188" s="240" t="s">
        <v>401</v>
      </c>
      <c r="I188" s="243" t="s">
        <v>445</v>
      </c>
      <c r="J188" s="243"/>
      <c r="K188" s="243"/>
      <c r="L188" s="240" t="s">
        <v>1</v>
      </c>
      <c r="M188" s="244">
        <v>1</v>
      </c>
      <c r="N188" s="245">
        <v>35</v>
      </c>
      <c r="O188" s="243">
        <v>35</v>
      </c>
      <c r="P188" s="243"/>
      <c r="Q188" s="180" t="str">
        <f>IF(PEDIDOS[[#This Row],[Valor do item pago]]=PEDIDOS[[#This Row],[Total Item ]],"PAGO", "")</f>
        <v/>
      </c>
    </row>
    <row r="189" spans="1:17" s="216" customFormat="1" ht="39.950000000000003" customHeight="1" x14ac:dyDescent="0.25">
      <c r="A189" s="231"/>
      <c r="B189" s="240">
        <v>1516</v>
      </c>
      <c r="C189" s="241">
        <v>44078</v>
      </c>
      <c r="D189" s="242" t="s">
        <v>11</v>
      </c>
      <c r="E189" s="240" t="s">
        <v>513</v>
      </c>
      <c r="F189" s="240" t="s">
        <v>514</v>
      </c>
      <c r="G189" s="240" t="s">
        <v>1419</v>
      </c>
      <c r="H189" s="240" t="s">
        <v>1455</v>
      </c>
      <c r="I189" s="243" t="s">
        <v>661</v>
      </c>
      <c r="J189" s="243"/>
      <c r="K189" s="243"/>
      <c r="L189" s="240" t="s">
        <v>219</v>
      </c>
      <c r="M189" s="244">
        <v>1</v>
      </c>
      <c r="N189" s="245">
        <v>35</v>
      </c>
      <c r="O189" s="243">
        <v>35</v>
      </c>
      <c r="P189" s="243"/>
      <c r="Q189" s="180" t="str">
        <f>IF(PEDIDOS[[#This Row],[Valor do item pago]]=PEDIDOS[[#This Row],[Total Item ]],"PAGO", "")</f>
        <v/>
      </c>
    </row>
    <row r="190" spans="1:17" s="216" customFormat="1" ht="39.950000000000003" customHeight="1" x14ac:dyDescent="0.25">
      <c r="A190" s="231"/>
      <c r="B190" s="240">
        <v>1516</v>
      </c>
      <c r="C190" s="241">
        <v>44078</v>
      </c>
      <c r="D190" s="242" t="s">
        <v>11</v>
      </c>
      <c r="E190" s="240" t="s">
        <v>513</v>
      </c>
      <c r="F190" s="240" t="s">
        <v>514</v>
      </c>
      <c r="G190" s="240" t="s">
        <v>1419</v>
      </c>
      <c r="H190" s="240" t="s">
        <v>1455</v>
      </c>
      <c r="I190" s="243" t="s">
        <v>661</v>
      </c>
      <c r="J190" s="243"/>
      <c r="K190" s="243"/>
      <c r="L190" s="240" t="s">
        <v>1</v>
      </c>
      <c r="M190" s="244">
        <v>1</v>
      </c>
      <c r="N190" s="245">
        <v>35</v>
      </c>
      <c r="O190" s="243">
        <v>35</v>
      </c>
      <c r="P190" s="243"/>
      <c r="Q190" s="180" t="str">
        <f>IF(PEDIDOS[[#This Row],[Valor do item pago]]=PEDIDOS[[#This Row],[Total Item ]],"PAGO", "")</f>
        <v/>
      </c>
    </row>
    <row r="191" spans="1:17" s="216" customFormat="1" ht="39.950000000000003" customHeight="1" x14ac:dyDescent="0.25">
      <c r="A191" s="231"/>
      <c r="B191" s="240">
        <v>1515</v>
      </c>
      <c r="C191" s="241">
        <v>44078</v>
      </c>
      <c r="D191" s="242" t="s">
        <v>11</v>
      </c>
      <c r="E191" s="240" t="s">
        <v>367</v>
      </c>
      <c r="F191" s="240" t="s">
        <v>1237</v>
      </c>
      <c r="G191" s="240" t="s">
        <v>1418</v>
      </c>
      <c r="H191" s="240" t="s">
        <v>392</v>
      </c>
      <c r="I191" s="243" t="s">
        <v>656</v>
      </c>
      <c r="J191" s="243"/>
      <c r="K191" s="243"/>
      <c r="L191" s="240" t="s">
        <v>0</v>
      </c>
      <c r="M191" s="244">
        <v>1</v>
      </c>
      <c r="N191" s="245">
        <v>35</v>
      </c>
      <c r="O191" s="243">
        <v>35</v>
      </c>
      <c r="P191" s="243"/>
      <c r="Q191" s="180" t="str">
        <f>IF(PEDIDOS[[#This Row],[Valor do item pago]]=PEDIDOS[[#This Row],[Total Item ]],"PAGO", "")</f>
        <v/>
      </c>
    </row>
    <row r="192" spans="1:17" s="216" customFormat="1" ht="39.950000000000003" customHeight="1" x14ac:dyDescent="0.25">
      <c r="A192" s="231"/>
      <c r="B192" s="240">
        <v>1514</v>
      </c>
      <c r="C192" s="241">
        <v>44078</v>
      </c>
      <c r="D192" s="242" t="s">
        <v>11</v>
      </c>
      <c r="E192" s="240" t="s">
        <v>1823</v>
      </c>
      <c r="F192" s="240" t="s">
        <v>1825</v>
      </c>
      <c r="G192" s="240" t="s">
        <v>1827</v>
      </c>
      <c r="H192" s="240" t="s">
        <v>1828</v>
      </c>
      <c r="I192" s="243" t="s">
        <v>1829</v>
      </c>
      <c r="J192" s="243"/>
      <c r="K192" s="243"/>
      <c r="L192" s="240" t="s">
        <v>219</v>
      </c>
      <c r="M192" s="244">
        <v>1</v>
      </c>
      <c r="N192" s="245">
        <v>35</v>
      </c>
      <c r="O192" s="243">
        <v>35</v>
      </c>
      <c r="P192" s="243">
        <v>35</v>
      </c>
      <c r="Q192" s="180" t="str">
        <f>IF(PEDIDOS[[#This Row],[Valor do item pago]]=PEDIDOS[[#This Row],[Total Item ]],"PAGO", "")</f>
        <v>PAGO</v>
      </c>
    </row>
    <row r="193" spans="1:17" s="216" customFormat="1" ht="39.950000000000003" customHeight="1" x14ac:dyDescent="0.25">
      <c r="A193" s="231"/>
      <c r="B193" s="240">
        <v>1513</v>
      </c>
      <c r="C193" s="241">
        <v>44078</v>
      </c>
      <c r="D193" s="242" t="s">
        <v>11</v>
      </c>
      <c r="E193" s="240" t="s">
        <v>1824</v>
      </c>
      <c r="F193" s="240" t="s">
        <v>1826</v>
      </c>
      <c r="G193" s="240" t="s">
        <v>1830</v>
      </c>
      <c r="H193" s="240" t="s">
        <v>1205</v>
      </c>
      <c r="I193" s="243" t="s">
        <v>1831</v>
      </c>
      <c r="J193" s="243"/>
      <c r="K193" s="243"/>
      <c r="L193" s="240" t="s">
        <v>219</v>
      </c>
      <c r="M193" s="244">
        <v>1</v>
      </c>
      <c r="N193" s="245">
        <v>35</v>
      </c>
      <c r="O193" s="243">
        <v>35</v>
      </c>
      <c r="P193" s="243">
        <v>35</v>
      </c>
      <c r="Q193" s="180" t="str">
        <f>IF(PEDIDOS[[#This Row],[Valor do item pago]]=PEDIDOS[[#This Row],[Total Item ]],"PAGO", "")</f>
        <v>PAGO</v>
      </c>
    </row>
    <row r="194" spans="1:17" s="216" customFormat="1" ht="39.950000000000003" customHeight="1" x14ac:dyDescent="0.25">
      <c r="A194" s="231"/>
      <c r="B194" s="240">
        <v>1512</v>
      </c>
      <c r="C194" s="241">
        <v>44078</v>
      </c>
      <c r="D194" s="242" t="s">
        <v>1134</v>
      </c>
      <c r="E194" s="240" t="s">
        <v>1692</v>
      </c>
      <c r="F194" s="240" t="s">
        <v>1693</v>
      </c>
      <c r="G194" s="240">
        <v>0</v>
      </c>
      <c r="H194" s="240">
        <v>0</v>
      </c>
      <c r="I194" s="243">
        <v>0</v>
      </c>
      <c r="J194" s="243"/>
      <c r="K194" s="243" t="s">
        <v>1692</v>
      </c>
      <c r="L194" s="240" t="s">
        <v>3</v>
      </c>
      <c r="M194" s="244">
        <v>1</v>
      </c>
      <c r="N194" s="245">
        <v>35</v>
      </c>
      <c r="O194" s="243">
        <v>35</v>
      </c>
      <c r="P194" s="243"/>
      <c r="Q194" s="180" t="str">
        <f>IF(PEDIDOS[[#This Row],[Valor do item pago]]=PEDIDOS[[#This Row],[Total Item ]],"PAGO", "")</f>
        <v/>
      </c>
    </row>
    <row r="195" spans="1:17" s="216" customFormat="1" ht="39.950000000000003" customHeight="1" x14ac:dyDescent="0.25">
      <c r="A195" s="231"/>
      <c r="B195" s="240">
        <v>1512</v>
      </c>
      <c r="C195" s="241">
        <v>44078</v>
      </c>
      <c r="D195" s="242" t="s">
        <v>1134</v>
      </c>
      <c r="E195" s="240" t="s">
        <v>1692</v>
      </c>
      <c r="F195" s="240" t="s">
        <v>1693</v>
      </c>
      <c r="G195" s="240">
        <v>0</v>
      </c>
      <c r="H195" s="240">
        <v>0</v>
      </c>
      <c r="I195" s="243">
        <v>0</v>
      </c>
      <c r="J195" s="243"/>
      <c r="K195" s="243" t="s">
        <v>1692</v>
      </c>
      <c r="L195" s="240" t="s">
        <v>1</v>
      </c>
      <c r="M195" s="244">
        <v>1</v>
      </c>
      <c r="N195" s="245">
        <v>35</v>
      </c>
      <c r="O195" s="243">
        <v>35</v>
      </c>
      <c r="P195" s="243"/>
      <c r="Q195" s="180" t="str">
        <f>IF(PEDIDOS[[#This Row],[Valor do item pago]]=PEDIDOS[[#This Row],[Total Item ]],"PAGO", "")</f>
        <v/>
      </c>
    </row>
    <row r="196" spans="1:17" s="216" customFormat="1" ht="39.950000000000003" customHeight="1" x14ac:dyDescent="0.25">
      <c r="A196" s="231"/>
      <c r="B196" s="240">
        <v>1511</v>
      </c>
      <c r="C196" s="241">
        <v>44078</v>
      </c>
      <c r="D196" s="242" t="s">
        <v>231</v>
      </c>
      <c r="E196" s="240" t="s">
        <v>381</v>
      </c>
      <c r="F196" s="240">
        <v>0</v>
      </c>
      <c r="G196" s="240">
        <v>0</v>
      </c>
      <c r="H196" s="240">
        <v>0</v>
      </c>
      <c r="I196" s="243">
        <v>0</v>
      </c>
      <c r="J196" s="243"/>
      <c r="K196" s="243"/>
      <c r="L196" s="240" t="s">
        <v>1</v>
      </c>
      <c r="M196" s="244">
        <v>1</v>
      </c>
      <c r="N196" s="245">
        <v>35</v>
      </c>
      <c r="O196" s="243">
        <v>35</v>
      </c>
      <c r="P196" s="243">
        <v>35</v>
      </c>
      <c r="Q196" s="180" t="str">
        <f>IF(PEDIDOS[[#This Row],[Valor do item pago]]=PEDIDOS[[#This Row],[Total Item ]],"PAGO", "")</f>
        <v>PAGO</v>
      </c>
    </row>
    <row r="197" spans="1:17" s="216" customFormat="1" ht="39.950000000000003" customHeight="1" x14ac:dyDescent="0.25">
      <c r="A197" s="231"/>
      <c r="B197" s="240">
        <v>1510</v>
      </c>
      <c r="C197" s="241">
        <v>44078</v>
      </c>
      <c r="D197" s="242" t="s">
        <v>231</v>
      </c>
      <c r="E197" s="240" t="s">
        <v>375</v>
      </c>
      <c r="F197" s="240" t="s">
        <v>1065</v>
      </c>
      <c r="G197" s="240">
        <v>0</v>
      </c>
      <c r="H197" s="240" t="s">
        <v>40</v>
      </c>
      <c r="I197" s="243">
        <v>0</v>
      </c>
      <c r="J197" s="243"/>
      <c r="K197" s="243" t="s">
        <v>231</v>
      </c>
      <c r="L197" s="240" t="s">
        <v>1</v>
      </c>
      <c r="M197" s="244">
        <v>1</v>
      </c>
      <c r="N197" s="245">
        <v>35</v>
      </c>
      <c r="O197" s="243">
        <v>35</v>
      </c>
      <c r="P197" s="243">
        <v>35</v>
      </c>
      <c r="Q197" s="180" t="str">
        <f>IF(PEDIDOS[[#This Row],[Valor do item pago]]=PEDIDOS[[#This Row],[Total Item ]],"PAGO", "")</f>
        <v>PAGO</v>
      </c>
    </row>
    <row r="198" spans="1:17" s="216" customFormat="1" ht="39.950000000000003" customHeight="1" x14ac:dyDescent="0.25">
      <c r="A198" s="231"/>
      <c r="B198" s="240">
        <v>1509</v>
      </c>
      <c r="C198" s="241">
        <v>44078</v>
      </c>
      <c r="D198" s="242" t="s">
        <v>231</v>
      </c>
      <c r="E198" s="240" t="s">
        <v>597</v>
      </c>
      <c r="F198" s="240" t="s">
        <v>703</v>
      </c>
      <c r="G198" s="240" t="s">
        <v>1456</v>
      </c>
      <c r="H198" s="240" t="s">
        <v>84</v>
      </c>
      <c r="I198" s="243" t="s">
        <v>679</v>
      </c>
      <c r="J198" s="243"/>
      <c r="K198" s="243" t="s">
        <v>231</v>
      </c>
      <c r="L198" s="240" t="s">
        <v>219</v>
      </c>
      <c r="M198" s="244">
        <v>1</v>
      </c>
      <c r="N198" s="245">
        <v>35</v>
      </c>
      <c r="O198" s="243">
        <v>35</v>
      </c>
      <c r="P198" s="243">
        <v>35</v>
      </c>
      <c r="Q198" s="180" t="str">
        <f>IF(PEDIDOS[[#This Row],[Valor do item pago]]=PEDIDOS[[#This Row],[Total Item ]],"PAGO", "")</f>
        <v>PAGO</v>
      </c>
    </row>
    <row r="199" spans="1:17" s="216" customFormat="1" ht="39.950000000000003" customHeight="1" x14ac:dyDescent="0.25">
      <c r="A199" s="231"/>
      <c r="B199" s="240">
        <v>1508</v>
      </c>
      <c r="C199" s="241">
        <v>44078</v>
      </c>
      <c r="D199" s="242" t="s">
        <v>231</v>
      </c>
      <c r="E199" s="240" t="s">
        <v>345</v>
      </c>
      <c r="F199" s="240" t="s">
        <v>1216</v>
      </c>
      <c r="G199" s="240">
        <v>0</v>
      </c>
      <c r="H199" s="240">
        <v>0</v>
      </c>
      <c r="I199" s="243">
        <v>0</v>
      </c>
      <c r="J199" s="243"/>
      <c r="K199" s="243" t="s">
        <v>231</v>
      </c>
      <c r="L199" s="240" t="s">
        <v>219</v>
      </c>
      <c r="M199" s="244">
        <v>1</v>
      </c>
      <c r="N199" s="245">
        <v>35</v>
      </c>
      <c r="O199" s="243">
        <v>35</v>
      </c>
      <c r="P199" s="243">
        <v>35</v>
      </c>
      <c r="Q199" s="180" t="str">
        <f>IF(PEDIDOS[[#This Row],[Valor do item pago]]=PEDIDOS[[#This Row],[Total Item ]],"PAGO", "")</f>
        <v>PAGO</v>
      </c>
    </row>
    <row r="200" spans="1:17" s="216" customFormat="1" ht="39.950000000000003" customHeight="1" x14ac:dyDescent="0.25">
      <c r="A200" s="231"/>
      <c r="B200" s="240">
        <v>1508</v>
      </c>
      <c r="C200" s="241">
        <v>44078</v>
      </c>
      <c r="D200" s="242" t="s">
        <v>231</v>
      </c>
      <c r="E200" s="240" t="s">
        <v>345</v>
      </c>
      <c r="F200" s="240" t="s">
        <v>1216</v>
      </c>
      <c r="G200" s="240">
        <v>0</v>
      </c>
      <c r="H200" s="240">
        <v>0</v>
      </c>
      <c r="I200" s="243">
        <v>0</v>
      </c>
      <c r="J200" s="243"/>
      <c r="K200" s="243" t="s">
        <v>231</v>
      </c>
      <c r="L200" s="240" t="s">
        <v>0</v>
      </c>
      <c r="M200" s="244">
        <v>1</v>
      </c>
      <c r="N200" s="245">
        <v>35</v>
      </c>
      <c r="O200" s="243">
        <v>35</v>
      </c>
      <c r="P200" s="243">
        <v>35</v>
      </c>
      <c r="Q200" s="180" t="str">
        <f>IF(PEDIDOS[[#This Row],[Valor do item pago]]=PEDIDOS[[#This Row],[Total Item ]],"PAGO", "")</f>
        <v>PAGO</v>
      </c>
    </row>
    <row r="201" spans="1:17" s="216" customFormat="1" ht="39.950000000000003" customHeight="1" x14ac:dyDescent="0.25">
      <c r="A201" s="231"/>
      <c r="B201" s="240">
        <v>1507</v>
      </c>
      <c r="C201" s="241">
        <v>44078</v>
      </c>
      <c r="D201" s="242" t="s">
        <v>231</v>
      </c>
      <c r="E201" s="240" t="s">
        <v>1606</v>
      </c>
      <c r="F201" s="240" t="s">
        <v>1781</v>
      </c>
      <c r="G201" s="240">
        <v>0</v>
      </c>
      <c r="H201" s="240">
        <v>0</v>
      </c>
      <c r="I201" s="243">
        <v>0</v>
      </c>
      <c r="J201" s="243"/>
      <c r="K201" s="243" t="s">
        <v>40</v>
      </c>
      <c r="L201" s="240" t="s">
        <v>1</v>
      </c>
      <c r="M201" s="244">
        <v>1</v>
      </c>
      <c r="N201" s="245">
        <v>35</v>
      </c>
      <c r="O201" s="243">
        <v>35</v>
      </c>
      <c r="P201" s="243"/>
      <c r="Q201" s="180" t="str">
        <f>IF(PEDIDOS[[#This Row],[Valor do item pago]]=PEDIDOS[[#This Row],[Total Item ]],"PAGO", "")</f>
        <v/>
      </c>
    </row>
    <row r="202" spans="1:17" s="216" customFormat="1" ht="39.950000000000003" customHeight="1" x14ac:dyDescent="0.25">
      <c r="A202" s="231"/>
      <c r="B202" s="240">
        <v>1506</v>
      </c>
      <c r="C202" s="241">
        <v>44078</v>
      </c>
      <c r="D202" s="242" t="s">
        <v>231</v>
      </c>
      <c r="E202" s="240" t="s">
        <v>90</v>
      </c>
      <c r="F202" s="240" t="s">
        <v>806</v>
      </c>
      <c r="G202" s="240">
        <v>0</v>
      </c>
      <c r="H202" s="240" t="s">
        <v>40</v>
      </c>
      <c r="I202" s="243">
        <v>0</v>
      </c>
      <c r="J202" s="243" t="s">
        <v>90</v>
      </c>
      <c r="K202" s="243"/>
      <c r="L202" s="240" t="s">
        <v>1</v>
      </c>
      <c r="M202" s="244">
        <v>2</v>
      </c>
      <c r="N202" s="245">
        <v>35</v>
      </c>
      <c r="O202" s="243">
        <v>70</v>
      </c>
      <c r="P202" s="243"/>
      <c r="Q202" s="180" t="str">
        <f>IF(PEDIDOS[[#This Row],[Valor do item pago]]=PEDIDOS[[#This Row],[Total Item ]],"PAGO", "")</f>
        <v/>
      </c>
    </row>
    <row r="203" spans="1:17" s="216" customFormat="1" ht="39.950000000000003" customHeight="1" x14ac:dyDescent="0.25">
      <c r="A203" s="231"/>
      <c r="B203" s="240">
        <v>1505</v>
      </c>
      <c r="C203" s="241">
        <v>44078</v>
      </c>
      <c r="D203" s="242" t="s">
        <v>231</v>
      </c>
      <c r="E203" s="240" t="s">
        <v>356</v>
      </c>
      <c r="F203" s="240" t="s">
        <v>1774</v>
      </c>
      <c r="G203" s="240" t="s">
        <v>1377</v>
      </c>
      <c r="H203" s="240" t="s">
        <v>1378</v>
      </c>
      <c r="I203" s="243" t="s">
        <v>702</v>
      </c>
      <c r="J203" s="243"/>
      <c r="K203" s="243"/>
      <c r="L203" s="240" t="s">
        <v>219</v>
      </c>
      <c r="M203" s="244">
        <v>1</v>
      </c>
      <c r="N203" s="245">
        <v>35</v>
      </c>
      <c r="O203" s="243">
        <v>35</v>
      </c>
      <c r="P203" s="243">
        <v>35</v>
      </c>
      <c r="Q203" s="180" t="str">
        <f>IF(PEDIDOS[[#This Row],[Valor do item pago]]=PEDIDOS[[#This Row],[Total Item ]],"PAGO", "")</f>
        <v>PAGO</v>
      </c>
    </row>
    <row r="204" spans="1:17" s="216" customFormat="1" ht="39.950000000000003" customHeight="1" x14ac:dyDescent="0.25">
      <c r="A204" s="231"/>
      <c r="B204" s="240">
        <v>1504</v>
      </c>
      <c r="C204" s="241">
        <v>44078</v>
      </c>
      <c r="D204" s="242" t="s">
        <v>1134</v>
      </c>
      <c r="E204" s="240" t="s">
        <v>1868</v>
      </c>
      <c r="F204" s="240">
        <v>0</v>
      </c>
      <c r="G204" s="240">
        <v>0</v>
      </c>
      <c r="H204" s="240">
        <v>0</v>
      </c>
      <c r="I204" s="243">
        <v>0</v>
      </c>
      <c r="J204" s="243"/>
      <c r="K204" s="243"/>
      <c r="L204" s="240" t="s">
        <v>1</v>
      </c>
      <c r="M204" s="244">
        <v>1</v>
      </c>
      <c r="N204" s="245">
        <v>35</v>
      </c>
      <c r="O204" s="243">
        <v>35</v>
      </c>
      <c r="P204" s="243"/>
      <c r="Q204" s="180" t="str">
        <f>IF(PEDIDOS[[#This Row],[Valor do item pago]]=PEDIDOS[[#This Row],[Total Item ]],"PAGO", "")</f>
        <v/>
      </c>
    </row>
    <row r="205" spans="1:17" s="216" customFormat="1" ht="39.950000000000003" customHeight="1" x14ac:dyDescent="0.25">
      <c r="A205" s="231"/>
      <c r="B205" s="240">
        <v>1503</v>
      </c>
      <c r="C205" s="241">
        <v>44078</v>
      </c>
      <c r="D205" s="242" t="s">
        <v>732</v>
      </c>
      <c r="E205" s="240" t="s">
        <v>732</v>
      </c>
      <c r="F205" s="240" t="s">
        <v>733</v>
      </c>
      <c r="G205" s="240" t="s">
        <v>1866</v>
      </c>
      <c r="H205" s="240" t="s">
        <v>1799</v>
      </c>
      <c r="I205" s="243" t="s">
        <v>1867</v>
      </c>
      <c r="J205" s="243"/>
      <c r="K205" s="243"/>
      <c r="L205" s="240" t="s">
        <v>1</v>
      </c>
      <c r="M205" s="244">
        <v>2</v>
      </c>
      <c r="N205" s="245">
        <v>35</v>
      </c>
      <c r="O205" s="243">
        <v>70</v>
      </c>
      <c r="P205" s="243"/>
      <c r="Q205" s="180" t="str">
        <f>IF(PEDIDOS[[#This Row],[Valor do item pago]]=PEDIDOS[[#This Row],[Total Item ]],"PAGO", "")</f>
        <v/>
      </c>
    </row>
    <row r="206" spans="1:17" s="216" customFormat="1" ht="39.950000000000003" customHeight="1" x14ac:dyDescent="0.25">
      <c r="A206" s="231"/>
      <c r="B206" s="240">
        <v>1503</v>
      </c>
      <c r="C206" s="241">
        <v>44078</v>
      </c>
      <c r="D206" s="242" t="s">
        <v>732</v>
      </c>
      <c r="E206" s="240" t="s">
        <v>732</v>
      </c>
      <c r="F206" s="240" t="s">
        <v>733</v>
      </c>
      <c r="G206" s="240" t="s">
        <v>1866</v>
      </c>
      <c r="H206" s="240" t="s">
        <v>1799</v>
      </c>
      <c r="I206" s="243" t="s">
        <v>1867</v>
      </c>
      <c r="J206" s="243"/>
      <c r="K206" s="243"/>
      <c r="L206" s="240" t="s">
        <v>0</v>
      </c>
      <c r="M206" s="244">
        <v>1</v>
      </c>
      <c r="N206" s="245">
        <v>35</v>
      </c>
      <c r="O206" s="243">
        <v>35</v>
      </c>
      <c r="P206" s="243"/>
      <c r="Q206" s="180" t="str">
        <f>IF(PEDIDOS[[#This Row],[Valor do item pago]]=PEDIDOS[[#This Row],[Total Item ]],"PAGO", "")</f>
        <v/>
      </c>
    </row>
    <row r="207" spans="1:17" s="216" customFormat="1" ht="39.950000000000003" customHeight="1" x14ac:dyDescent="0.25">
      <c r="A207" s="231"/>
      <c r="B207" s="240">
        <v>1502</v>
      </c>
      <c r="C207" s="241">
        <v>44078</v>
      </c>
      <c r="D207" s="242" t="s">
        <v>229</v>
      </c>
      <c r="E207" s="240" t="s">
        <v>229</v>
      </c>
      <c r="F207" s="240">
        <v>0</v>
      </c>
      <c r="G207" s="240">
        <v>0</v>
      </c>
      <c r="H207" s="240">
        <v>0</v>
      </c>
      <c r="I207" s="243">
        <v>0</v>
      </c>
      <c r="J207" s="243"/>
      <c r="K207" s="243" t="s">
        <v>229</v>
      </c>
      <c r="L207" s="240" t="s">
        <v>3</v>
      </c>
      <c r="M207" s="244">
        <v>2</v>
      </c>
      <c r="N207" s="245">
        <v>35</v>
      </c>
      <c r="O207" s="243">
        <v>70</v>
      </c>
      <c r="P207" s="243"/>
      <c r="Q207" s="180" t="str">
        <f>IF(PEDIDOS[[#This Row],[Valor do item pago]]=PEDIDOS[[#This Row],[Total Item ]],"PAGO", "")</f>
        <v/>
      </c>
    </row>
    <row r="208" spans="1:17" s="216" customFormat="1" ht="39.950000000000003" customHeight="1" x14ac:dyDescent="0.25">
      <c r="A208" s="231"/>
      <c r="B208" s="240">
        <v>1502</v>
      </c>
      <c r="C208" s="241">
        <v>44078</v>
      </c>
      <c r="D208" s="242" t="s">
        <v>229</v>
      </c>
      <c r="E208" s="240" t="s">
        <v>229</v>
      </c>
      <c r="F208" s="240">
        <v>0</v>
      </c>
      <c r="G208" s="240">
        <v>0</v>
      </c>
      <c r="H208" s="240">
        <v>0</v>
      </c>
      <c r="I208" s="243">
        <v>0</v>
      </c>
      <c r="J208" s="243"/>
      <c r="K208" s="243" t="s">
        <v>229</v>
      </c>
      <c r="L208" s="240" t="s">
        <v>219</v>
      </c>
      <c r="M208" s="244">
        <v>4</v>
      </c>
      <c r="N208" s="245">
        <v>35</v>
      </c>
      <c r="O208" s="243">
        <v>140</v>
      </c>
      <c r="P208" s="243"/>
      <c r="Q208" s="180" t="str">
        <f>IF(PEDIDOS[[#This Row],[Valor do item pago]]=PEDIDOS[[#This Row],[Total Item ]],"PAGO", "")</f>
        <v/>
      </c>
    </row>
    <row r="209" spans="1:17" s="216" customFormat="1" ht="39.950000000000003" customHeight="1" x14ac:dyDescent="0.25">
      <c r="A209" s="231"/>
      <c r="B209" s="240">
        <v>1502</v>
      </c>
      <c r="C209" s="241">
        <v>44078</v>
      </c>
      <c r="D209" s="242" t="s">
        <v>229</v>
      </c>
      <c r="E209" s="240" t="s">
        <v>229</v>
      </c>
      <c r="F209" s="240">
        <v>0</v>
      </c>
      <c r="G209" s="240">
        <v>0</v>
      </c>
      <c r="H209" s="240">
        <v>0</v>
      </c>
      <c r="I209" s="243">
        <v>0</v>
      </c>
      <c r="J209" s="243"/>
      <c r="K209" s="243" t="s">
        <v>229</v>
      </c>
      <c r="L209" s="240" t="s">
        <v>1</v>
      </c>
      <c r="M209" s="244">
        <v>6</v>
      </c>
      <c r="N209" s="245">
        <v>35</v>
      </c>
      <c r="O209" s="243">
        <v>210</v>
      </c>
      <c r="P209" s="243"/>
      <c r="Q209" s="180" t="str">
        <f>IF(PEDIDOS[[#This Row],[Valor do item pago]]=PEDIDOS[[#This Row],[Total Item ]],"PAGO", "")</f>
        <v/>
      </c>
    </row>
    <row r="210" spans="1:17" s="216" customFormat="1" ht="39.950000000000003" customHeight="1" x14ac:dyDescent="0.25">
      <c r="A210" s="231"/>
      <c r="B210" s="240">
        <v>1502</v>
      </c>
      <c r="C210" s="241">
        <v>44078</v>
      </c>
      <c r="D210" s="242" t="s">
        <v>229</v>
      </c>
      <c r="E210" s="240" t="s">
        <v>229</v>
      </c>
      <c r="F210" s="240">
        <v>0</v>
      </c>
      <c r="G210" s="240">
        <v>0</v>
      </c>
      <c r="H210" s="240">
        <v>0</v>
      </c>
      <c r="I210" s="243">
        <v>0</v>
      </c>
      <c r="J210" s="243"/>
      <c r="K210" s="243" t="s">
        <v>229</v>
      </c>
      <c r="L210" s="240" t="s">
        <v>0</v>
      </c>
      <c r="M210" s="244">
        <v>1</v>
      </c>
      <c r="N210" s="245">
        <v>35</v>
      </c>
      <c r="O210" s="243">
        <v>35</v>
      </c>
      <c r="P210" s="243"/>
      <c r="Q210" s="180" t="str">
        <f>IF(PEDIDOS[[#This Row],[Valor do item pago]]=PEDIDOS[[#This Row],[Total Item ]],"PAGO", "")</f>
        <v/>
      </c>
    </row>
    <row r="211" spans="1:17" s="216" customFormat="1" ht="39.950000000000003" customHeight="1" x14ac:dyDescent="0.25">
      <c r="A211" s="231"/>
      <c r="B211" s="240">
        <v>1501</v>
      </c>
      <c r="C211" s="241">
        <v>44078</v>
      </c>
      <c r="D211" s="242" t="s">
        <v>24</v>
      </c>
      <c r="E211" s="240" t="s">
        <v>13</v>
      </c>
      <c r="F211" s="240" t="s">
        <v>1491</v>
      </c>
      <c r="G211" s="240" t="s">
        <v>1492</v>
      </c>
      <c r="H211" s="240" t="s">
        <v>1197</v>
      </c>
      <c r="I211" s="243" t="s">
        <v>1493</v>
      </c>
      <c r="J211" s="243"/>
      <c r="K211" s="243" t="s">
        <v>24</v>
      </c>
      <c r="L211" s="240" t="s">
        <v>3</v>
      </c>
      <c r="M211" s="244">
        <v>1</v>
      </c>
      <c r="N211" s="245">
        <v>35</v>
      </c>
      <c r="O211" s="243">
        <v>35</v>
      </c>
      <c r="P211" s="243"/>
      <c r="Q211" s="180" t="str">
        <f>IF(PEDIDOS[[#This Row],[Valor do item pago]]=PEDIDOS[[#This Row],[Total Item ]],"PAGO", "")</f>
        <v/>
      </c>
    </row>
    <row r="212" spans="1:17" s="216" customFormat="1" ht="39.950000000000003" customHeight="1" x14ac:dyDescent="0.25">
      <c r="A212" s="231"/>
      <c r="B212" s="240">
        <v>1501</v>
      </c>
      <c r="C212" s="241">
        <v>44078</v>
      </c>
      <c r="D212" s="242" t="s">
        <v>24</v>
      </c>
      <c r="E212" s="240" t="s">
        <v>13</v>
      </c>
      <c r="F212" s="240" t="s">
        <v>1491</v>
      </c>
      <c r="G212" s="240" t="s">
        <v>1492</v>
      </c>
      <c r="H212" s="240" t="s">
        <v>1197</v>
      </c>
      <c r="I212" s="243" t="s">
        <v>1493</v>
      </c>
      <c r="J212" s="243"/>
      <c r="K212" s="243" t="s">
        <v>24</v>
      </c>
      <c r="L212" s="240" t="s">
        <v>219</v>
      </c>
      <c r="M212" s="244">
        <v>1</v>
      </c>
      <c r="N212" s="245">
        <v>35</v>
      </c>
      <c r="O212" s="243">
        <v>35</v>
      </c>
      <c r="P212" s="243"/>
      <c r="Q212" s="180" t="str">
        <f>IF(PEDIDOS[[#This Row],[Valor do item pago]]=PEDIDOS[[#This Row],[Total Item ]],"PAGO", "")</f>
        <v/>
      </c>
    </row>
    <row r="213" spans="1:17" s="216" customFormat="1" ht="39.950000000000003" customHeight="1" x14ac:dyDescent="0.25">
      <c r="A213" s="231"/>
      <c r="B213" s="240">
        <v>1500</v>
      </c>
      <c r="C213" s="241">
        <v>44078</v>
      </c>
      <c r="D213" s="242" t="s">
        <v>24</v>
      </c>
      <c r="E213" s="240" t="s">
        <v>1255</v>
      </c>
      <c r="F213" s="240" t="s">
        <v>1210</v>
      </c>
      <c r="G213" s="240">
        <v>0</v>
      </c>
      <c r="H213" s="240">
        <v>0</v>
      </c>
      <c r="I213" s="243">
        <v>0</v>
      </c>
      <c r="J213" s="243"/>
      <c r="K213" s="243" t="s">
        <v>24</v>
      </c>
      <c r="L213" s="240" t="s">
        <v>3</v>
      </c>
      <c r="M213" s="244">
        <v>2</v>
      </c>
      <c r="N213" s="245">
        <v>35</v>
      </c>
      <c r="O213" s="243">
        <v>70</v>
      </c>
      <c r="P213" s="243"/>
      <c r="Q213" s="180" t="str">
        <f>IF(PEDIDOS[[#This Row],[Valor do item pago]]=PEDIDOS[[#This Row],[Total Item ]],"PAGO", "")</f>
        <v/>
      </c>
    </row>
    <row r="214" spans="1:17" s="216" customFormat="1" ht="39.950000000000003" customHeight="1" x14ac:dyDescent="0.25">
      <c r="A214" s="231"/>
      <c r="B214" s="240">
        <v>1499</v>
      </c>
      <c r="C214" s="241">
        <v>44078</v>
      </c>
      <c r="D214" s="242" t="s">
        <v>24</v>
      </c>
      <c r="E214" s="240" t="s">
        <v>25</v>
      </c>
      <c r="F214" s="240" t="s">
        <v>1222</v>
      </c>
      <c r="G214" s="240" t="s">
        <v>1411</v>
      </c>
      <c r="H214" s="240" t="s">
        <v>406</v>
      </c>
      <c r="I214" s="243" t="s">
        <v>329</v>
      </c>
      <c r="J214" s="243" t="s">
        <v>24</v>
      </c>
      <c r="K214" s="243"/>
      <c r="L214" s="240" t="s">
        <v>219</v>
      </c>
      <c r="M214" s="244">
        <v>2</v>
      </c>
      <c r="N214" s="245">
        <v>35</v>
      </c>
      <c r="O214" s="243">
        <v>70</v>
      </c>
      <c r="P214" s="243"/>
      <c r="Q214" s="180" t="str">
        <f>IF(PEDIDOS[[#This Row],[Valor do item pago]]=PEDIDOS[[#This Row],[Total Item ]],"PAGO", "")</f>
        <v/>
      </c>
    </row>
    <row r="215" spans="1:17" s="216" customFormat="1" ht="39.950000000000003" customHeight="1" x14ac:dyDescent="0.25">
      <c r="A215" s="231"/>
      <c r="B215" s="240">
        <v>1498</v>
      </c>
      <c r="C215" s="241">
        <v>44078</v>
      </c>
      <c r="D215" s="242" t="s">
        <v>24</v>
      </c>
      <c r="E215" s="240" t="s">
        <v>23</v>
      </c>
      <c r="F215" s="240">
        <v>0</v>
      </c>
      <c r="G215" s="240">
        <v>0</v>
      </c>
      <c r="H215" s="240">
        <v>0</v>
      </c>
      <c r="I215" s="243">
        <v>0</v>
      </c>
      <c r="J215" s="243"/>
      <c r="K215" s="243" t="s">
        <v>24</v>
      </c>
      <c r="L215" s="240" t="s">
        <v>219</v>
      </c>
      <c r="M215" s="244">
        <v>2</v>
      </c>
      <c r="N215" s="245">
        <v>35</v>
      </c>
      <c r="O215" s="243">
        <v>70</v>
      </c>
      <c r="P215" s="243"/>
      <c r="Q215" s="180" t="str">
        <f>IF(PEDIDOS[[#This Row],[Valor do item pago]]=PEDIDOS[[#This Row],[Total Item ]],"PAGO", "")</f>
        <v/>
      </c>
    </row>
    <row r="216" spans="1:17" s="216" customFormat="1" ht="39.950000000000003" customHeight="1" x14ac:dyDescent="0.25">
      <c r="A216" s="231"/>
      <c r="B216" s="240">
        <v>1497</v>
      </c>
      <c r="C216" s="241">
        <v>44078</v>
      </c>
      <c r="D216" s="242" t="s">
        <v>45</v>
      </c>
      <c r="E216" s="240" t="s">
        <v>1269</v>
      </c>
      <c r="F216" s="240" t="s">
        <v>1863</v>
      </c>
      <c r="G216" s="240" t="s">
        <v>1864</v>
      </c>
      <c r="H216" s="240" t="s">
        <v>84</v>
      </c>
      <c r="I216" s="243" t="s">
        <v>1865</v>
      </c>
      <c r="J216" s="243"/>
      <c r="K216" s="243"/>
      <c r="L216" s="240" t="s">
        <v>219</v>
      </c>
      <c r="M216" s="244">
        <v>1</v>
      </c>
      <c r="N216" s="245">
        <v>35</v>
      </c>
      <c r="O216" s="243">
        <v>35</v>
      </c>
      <c r="P216" s="243"/>
      <c r="Q216" s="180" t="str">
        <f>IF(PEDIDOS[[#This Row],[Valor do item pago]]=PEDIDOS[[#This Row],[Total Item ]],"PAGO", "")</f>
        <v/>
      </c>
    </row>
    <row r="217" spans="1:17" s="216" customFormat="1" ht="39.950000000000003" customHeight="1" x14ac:dyDescent="0.25">
      <c r="A217" s="231"/>
      <c r="B217" s="240">
        <v>1496</v>
      </c>
      <c r="C217" s="241">
        <v>44078</v>
      </c>
      <c r="D217" s="242" t="s">
        <v>45</v>
      </c>
      <c r="E217" s="240" t="s">
        <v>350</v>
      </c>
      <c r="F217" s="240" t="s">
        <v>1221</v>
      </c>
      <c r="G217" s="240" t="s">
        <v>1366</v>
      </c>
      <c r="H217" s="240" t="s">
        <v>394</v>
      </c>
      <c r="I217" s="243" t="s">
        <v>424</v>
      </c>
      <c r="J217" s="243" t="s">
        <v>1862</v>
      </c>
      <c r="K217" s="243"/>
      <c r="L217" s="240" t="s">
        <v>0</v>
      </c>
      <c r="M217" s="244">
        <v>1</v>
      </c>
      <c r="N217" s="245">
        <v>35</v>
      </c>
      <c r="O217" s="243">
        <v>35</v>
      </c>
      <c r="P217" s="243"/>
      <c r="Q217" s="180" t="str">
        <f>IF(PEDIDOS[[#This Row],[Valor do item pago]]=PEDIDOS[[#This Row],[Total Item ]],"PAGO", "")</f>
        <v/>
      </c>
    </row>
    <row r="218" spans="1:17" s="216" customFormat="1" ht="39.950000000000003" customHeight="1" x14ac:dyDescent="0.25">
      <c r="A218" s="231"/>
      <c r="B218" s="240">
        <v>1495</v>
      </c>
      <c r="C218" s="241">
        <v>44078</v>
      </c>
      <c r="D218" s="242" t="s">
        <v>1134</v>
      </c>
      <c r="E218" s="240" t="s">
        <v>1583</v>
      </c>
      <c r="F218" s="240" t="s">
        <v>1696</v>
      </c>
      <c r="G218" s="240" t="s">
        <v>437</v>
      </c>
      <c r="H218" s="240" t="s">
        <v>84</v>
      </c>
      <c r="I218" s="243" t="s">
        <v>439</v>
      </c>
      <c r="J218" s="243" t="s">
        <v>1861</v>
      </c>
      <c r="K218" s="243"/>
      <c r="L218" s="240" t="s">
        <v>219</v>
      </c>
      <c r="M218" s="244">
        <v>3</v>
      </c>
      <c r="N218" s="245">
        <v>35</v>
      </c>
      <c r="O218" s="243">
        <v>105</v>
      </c>
      <c r="P218" s="243"/>
      <c r="Q218" s="180" t="str">
        <f>IF(PEDIDOS[[#This Row],[Valor do item pago]]=PEDIDOS[[#This Row],[Total Item ]],"PAGO", "")</f>
        <v/>
      </c>
    </row>
    <row r="219" spans="1:17" s="216" customFormat="1" ht="39.950000000000003" customHeight="1" x14ac:dyDescent="0.25">
      <c r="A219" s="231"/>
      <c r="B219" s="240">
        <v>1494</v>
      </c>
      <c r="C219" s="241">
        <v>44078</v>
      </c>
      <c r="D219" s="242" t="s">
        <v>34</v>
      </c>
      <c r="E219" s="240" t="s">
        <v>203</v>
      </c>
      <c r="F219" s="240" t="s">
        <v>1238</v>
      </c>
      <c r="G219" s="240" t="s">
        <v>41</v>
      </c>
      <c r="H219" s="240" t="s">
        <v>441</v>
      </c>
      <c r="I219" s="243" t="s">
        <v>442</v>
      </c>
      <c r="J219" s="243"/>
      <c r="K219" s="243" t="s">
        <v>648</v>
      </c>
      <c r="L219" s="240" t="s">
        <v>1</v>
      </c>
      <c r="M219" s="244">
        <v>3</v>
      </c>
      <c r="N219" s="245">
        <v>35</v>
      </c>
      <c r="O219" s="243">
        <v>105</v>
      </c>
      <c r="P219" s="243"/>
      <c r="Q219" s="180" t="str">
        <f>IF(PEDIDOS[[#This Row],[Valor do item pago]]=PEDIDOS[[#This Row],[Total Item ]],"PAGO", "")</f>
        <v/>
      </c>
    </row>
    <row r="220" spans="1:17" s="216" customFormat="1" ht="39.950000000000003" customHeight="1" x14ac:dyDescent="0.25">
      <c r="A220" s="231"/>
      <c r="B220" s="240">
        <v>1493</v>
      </c>
      <c r="C220" s="241">
        <v>44078</v>
      </c>
      <c r="D220" s="242" t="s">
        <v>34</v>
      </c>
      <c r="E220" s="240" t="s">
        <v>588</v>
      </c>
      <c r="F220" s="240" t="s">
        <v>1079</v>
      </c>
      <c r="G220" s="240" t="s">
        <v>1770</v>
      </c>
      <c r="H220" s="240" t="s">
        <v>1771</v>
      </c>
      <c r="I220" s="243" t="s">
        <v>1772</v>
      </c>
      <c r="J220" s="243"/>
      <c r="K220" s="243"/>
      <c r="L220" s="240" t="s">
        <v>219</v>
      </c>
      <c r="M220" s="244">
        <v>1</v>
      </c>
      <c r="N220" s="245">
        <v>35</v>
      </c>
      <c r="O220" s="243">
        <v>35</v>
      </c>
      <c r="P220" s="243">
        <v>35</v>
      </c>
      <c r="Q220" s="180" t="str">
        <f>IF(PEDIDOS[[#This Row],[Valor do item pago]]=PEDIDOS[[#This Row],[Total Item ]],"PAGO", "")</f>
        <v>PAGO</v>
      </c>
    </row>
    <row r="221" spans="1:17" s="216" customFormat="1" ht="39.950000000000003" customHeight="1" x14ac:dyDescent="0.25">
      <c r="A221" s="231"/>
      <c r="B221" s="240">
        <v>1492</v>
      </c>
      <c r="C221" s="241">
        <v>44078</v>
      </c>
      <c r="D221" s="242" t="s">
        <v>411</v>
      </c>
      <c r="E221" s="240" t="s">
        <v>622</v>
      </c>
      <c r="F221" s="240" t="s">
        <v>623</v>
      </c>
      <c r="G221" s="240" t="s">
        <v>1323</v>
      </c>
      <c r="H221" s="240" t="s">
        <v>520</v>
      </c>
      <c r="I221" s="243" t="s">
        <v>682</v>
      </c>
      <c r="J221" s="243"/>
      <c r="K221" s="243"/>
      <c r="L221" s="240" t="s">
        <v>219</v>
      </c>
      <c r="M221" s="244">
        <v>1</v>
      </c>
      <c r="N221" s="245">
        <v>35</v>
      </c>
      <c r="O221" s="243">
        <v>35</v>
      </c>
      <c r="P221" s="243"/>
      <c r="Q221" s="180" t="str">
        <f>IF(PEDIDOS[[#This Row],[Valor do item pago]]=PEDIDOS[[#This Row],[Total Item ]],"PAGO", "")</f>
        <v/>
      </c>
    </row>
    <row r="222" spans="1:17" s="216" customFormat="1" ht="39.950000000000003" customHeight="1" x14ac:dyDescent="0.25">
      <c r="A222" s="231"/>
      <c r="B222" s="240">
        <v>1491</v>
      </c>
      <c r="C222" s="241">
        <v>44078</v>
      </c>
      <c r="D222" s="242" t="s">
        <v>411</v>
      </c>
      <c r="E222" s="240" t="s">
        <v>1859</v>
      </c>
      <c r="F222" s="240" t="s">
        <v>571</v>
      </c>
      <c r="G222" s="240" t="s">
        <v>1754</v>
      </c>
      <c r="H222" s="240" t="s">
        <v>461</v>
      </c>
      <c r="I222" s="243" t="s">
        <v>1755</v>
      </c>
      <c r="J222" s="243"/>
      <c r="K222" s="243"/>
      <c r="L222" s="240" t="s">
        <v>1</v>
      </c>
      <c r="M222" s="244">
        <v>2</v>
      </c>
      <c r="N222" s="245">
        <v>35</v>
      </c>
      <c r="O222" s="243">
        <v>70</v>
      </c>
      <c r="P222" s="243"/>
      <c r="Q222" s="180" t="str">
        <f>IF(PEDIDOS[[#This Row],[Valor do item pago]]=PEDIDOS[[#This Row],[Total Item ]],"PAGO", "")</f>
        <v/>
      </c>
    </row>
    <row r="223" spans="1:17" s="216" customFormat="1" ht="39.950000000000003" customHeight="1" x14ac:dyDescent="0.25">
      <c r="A223" s="231"/>
      <c r="B223" s="240">
        <v>1490</v>
      </c>
      <c r="C223" s="241">
        <v>44078</v>
      </c>
      <c r="D223" s="242" t="s">
        <v>411</v>
      </c>
      <c r="E223" s="240" t="s">
        <v>1855</v>
      </c>
      <c r="F223" s="240" t="s">
        <v>1856</v>
      </c>
      <c r="G223" s="240" t="s">
        <v>1857</v>
      </c>
      <c r="H223" s="240" t="s">
        <v>461</v>
      </c>
      <c r="I223" s="243" t="s">
        <v>1858</v>
      </c>
      <c r="J223" s="243"/>
      <c r="K223" s="243"/>
      <c r="L223" s="240" t="s">
        <v>219</v>
      </c>
      <c r="M223" s="244">
        <v>1</v>
      </c>
      <c r="N223" s="245">
        <v>35</v>
      </c>
      <c r="O223" s="243">
        <v>35</v>
      </c>
      <c r="P223" s="243"/>
      <c r="Q223" s="180" t="str">
        <f>IF(PEDIDOS[[#This Row],[Valor do item pago]]=PEDIDOS[[#This Row],[Total Item ]],"PAGO", "")</f>
        <v/>
      </c>
    </row>
    <row r="224" spans="1:17" s="216" customFormat="1" ht="39.950000000000003" customHeight="1" x14ac:dyDescent="0.25">
      <c r="A224" s="231"/>
      <c r="B224" s="240">
        <v>1489</v>
      </c>
      <c r="C224" s="241">
        <v>44078</v>
      </c>
      <c r="D224" s="242" t="s">
        <v>411</v>
      </c>
      <c r="E224" s="240" t="s">
        <v>1747</v>
      </c>
      <c r="F224" s="240" t="s">
        <v>1748</v>
      </c>
      <c r="G224" s="240" t="s">
        <v>1749</v>
      </c>
      <c r="H224" s="240" t="s">
        <v>1750</v>
      </c>
      <c r="I224" s="243" t="s">
        <v>1751</v>
      </c>
      <c r="J224" s="243"/>
      <c r="K224" s="243"/>
      <c r="L224" s="240" t="s">
        <v>219</v>
      </c>
      <c r="M224" s="244">
        <v>1</v>
      </c>
      <c r="N224" s="245">
        <v>35</v>
      </c>
      <c r="O224" s="243">
        <v>35</v>
      </c>
      <c r="P224" s="243">
        <v>35</v>
      </c>
      <c r="Q224" s="180" t="str">
        <f>IF(PEDIDOS[[#This Row],[Valor do item pago]]=PEDIDOS[[#This Row],[Total Item ]],"PAGO", "")</f>
        <v>PAGO</v>
      </c>
    </row>
    <row r="225" spans="1:17" s="216" customFormat="1" ht="39.950000000000003" customHeight="1" x14ac:dyDescent="0.25">
      <c r="A225" s="231"/>
      <c r="B225" s="240">
        <v>1488</v>
      </c>
      <c r="C225" s="241">
        <v>44078</v>
      </c>
      <c r="D225" s="242" t="s">
        <v>411</v>
      </c>
      <c r="E225" s="240" t="s">
        <v>1688</v>
      </c>
      <c r="F225" s="240" t="s">
        <v>1689</v>
      </c>
      <c r="G225" s="240" t="s">
        <v>1745</v>
      </c>
      <c r="H225" s="240" t="s">
        <v>84</v>
      </c>
      <c r="I225" s="243" t="s">
        <v>1746</v>
      </c>
      <c r="J225" s="243" t="s">
        <v>1854</v>
      </c>
      <c r="K225" s="243"/>
      <c r="L225" s="240" t="s">
        <v>3</v>
      </c>
      <c r="M225" s="244">
        <v>1</v>
      </c>
      <c r="N225" s="245">
        <v>35</v>
      </c>
      <c r="O225" s="243">
        <v>35</v>
      </c>
      <c r="P225" s="243">
        <v>35</v>
      </c>
      <c r="Q225" s="180" t="str">
        <f>IF(PEDIDOS[[#This Row],[Valor do item pago]]=PEDIDOS[[#This Row],[Total Item ]],"PAGO", "")</f>
        <v>PAGO</v>
      </c>
    </row>
    <row r="226" spans="1:17" s="216" customFormat="1" ht="39.950000000000003" customHeight="1" x14ac:dyDescent="0.25">
      <c r="A226" s="231"/>
      <c r="B226" s="240">
        <v>1488</v>
      </c>
      <c r="C226" s="241">
        <v>44078</v>
      </c>
      <c r="D226" s="242" t="s">
        <v>411</v>
      </c>
      <c r="E226" s="240" t="s">
        <v>1688</v>
      </c>
      <c r="F226" s="240" t="s">
        <v>1689</v>
      </c>
      <c r="G226" s="240" t="s">
        <v>1745</v>
      </c>
      <c r="H226" s="240" t="s">
        <v>84</v>
      </c>
      <c r="I226" s="243" t="s">
        <v>1746</v>
      </c>
      <c r="J226" s="243" t="s">
        <v>1854</v>
      </c>
      <c r="K226" s="243"/>
      <c r="L226" s="240" t="s">
        <v>219</v>
      </c>
      <c r="M226" s="244">
        <v>1</v>
      </c>
      <c r="N226" s="245">
        <v>35</v>
      </c>
      <c r="O226" s="243">
        <v>35</v>
      </c>
      <c r="P226" s="243">
        <v>35</v>
      </c>
      <c r="Q226" s="180" t="str">
        <f>IF(PEDIDOS[[#This Row],[Valor do item pago]]=PEDIDOS[[#This Row],[Total Item ]],"PAGO", "")</f>
        <v>PAGO</v>
      </c>
    </row>
    <row r="227" spans="1:17" s="216" customFormat="1" ht="39.950000000000003" customHeight="1" x14ac:dyDescent="0.25">
      <c r="A227" s="231"/>
      <c r="B227" s="240">
        <v>1488</v>
      </c>
      <c r="C227" s="241">
        <v>44078</v>
      </c>
      <c r="D227" s="242" t="s">
        <v>411</v>
      </c>
      <c r="E227" s="240" t="s">
        <v>1688</v>
      </c>
      <c r="F227" s="240" t="s">
        <v>1689</v>
      </c>
      <c r="G227" s="240" t="s">
        <v>1745</v>
      </c>
      <c r="H227" s="240" t="s">
        <v>84</v>
      </c>
      <c r="I227" s="243" t="s">
        <v>1746</v>
      </c>
      <c r="J227" s="243" t="s">
        <v>1854</v>
      </c>
      <c r="K227" s="243"/>
      <c r="L227" s="240" t="s">
        <v>1</v>
      </c>
      <c r="M227" s="244">
        <v>2</v>
      </c>
      <c r="N227" s="245">
        <v>35</v>
      </c>
      <c r="O227" s="243">
        <v>35</v>
      </c>
      <c r="P227" s="243">
        <v>35</v>
      </c>
      <c r="Q227" s="180" t="str">
        <f>IF(PEDIDOS[[#This Row],[Valor do item pago]]=PEDIDOS[[#This Row],[Total Item ]],"PAGO", "")</f>
        <v>PAGO</v>
      </c>
    </row>
    <row r="228" spans="1:17" s="216" customFormat="1" ht="39.950000000000003" customHeight="1" x14ac:dyDescent="0.25">
      <c r="A228" s="231"/>
      <c r="B228" s="240">
        <v>1487</v>
      </c>
      <c r="C228" s="241">
        <v>44078</v>
      </c>
      <c r="D228" s="242" t="s">
        <v>411</v>
      </c>
      <c r="E228" s="240" t="s">
        <v>1187</v>
      </c>
      <c r="F228" s="240" t="s">
        <v>573</v>
      </c>
      <c r="G228" s="240" t="s">
        <v>621</v>
      </c>
      <c r="H228" s="240" t="s">
        <v>1263</v>
      </c>
      <c r="I228" s="243" t="s">
        <v>674</v>
      </c>
      <c r="J228" s="243"/>
      <c r="K228" s="243"/>
      <c r="L228" s="240" t="s">
        <v>219</v>
      </c>
      <c r="M228" s="244">
        <v>1</v>
      </c>
      <c r="N228" s="245">
        <v>35</v>
      </c>
      <c r="O228" s="243">
        <v>35</v>
      </c>
      <c r="P228" s="243">
        <v>35</v>
      </c>
      <c r="Q228" s="180" t="str">
        <f>IF(PEDIDOS[[#This Row],[Valor do item pago]]=PEDIDOS[[#This Row],[Total Item ]],"PAGO", "")</f>
        <v>PAGO</v>
      </c>
    </row>
    <row r="229" spans="1:17" s="216" customFormat="1" ht="39.950000000000003" customHeight="1" x14ac:dyDescent="0.25">
      <c r="A229" s="231"/>
      <c r="B229" s="240">
        <v>1486</v>
      </c>
      <c r="C229" s="241">
        <v>44078</v>
      </c>
      <c r="D229" s="242" t="s">
        <v>411</v>
      </c>
      <c r="E229" s="240" t="s">
        <v>25</v>
      </c>
      <c r="F229" s="240" t="s">
        <v>1222</v>
      </c>
      <c r="G229" s="240" t="s">
        <v>1411</v>
      </c>
      <c r="H229" s="240" t="s">
        <v>406</v>
      </c>
      <c r="I229" s="243" t="s">
        <v>329</v>
      </c>
      <c r="J229" s="243" t="s">
        <v>1460</v>
      </c>
      <c r="K229" s="243"/>
      <c r="L229" s="240" t="s">
        <v>219</v>
      </c>
      <c r="M229" s="244">
        <v>6</v>
      </c>
      <c r="N229" s="245">
        <v>35</v>
      </c>
      <c r="O229" s="243">
        <v>210</v>
      </c>
      <c r="P229" s="243">
        <v>210</v>
      </c>
      <c r="Q229" s="180" t="str">
        <f>IF(PEDIDOS[[#This Row],[Valor do item pago]]=PEDIDOS[[#This Row],[Total Item ]],"PAGO", "")</f>
        <v>PAGO</v>
      </c>
    </row>
    <row r="230" spans="1:17" s="216" customFormat="1" ht="39.950000000000003" customHeight="1" x14ac:dyDescent="0.25">
      <c r="A230" s="231"/>
      <c r="B230" s="240">
        <v>1485</v>
      </c>
      <c r="C230" s="241">
        <v>44078</v>
      </c>
      <c r="D230" s="242" t="s">
        <v>411</v>
      </c>
      <c r="E230" s="240" t="s">
        <v>35</v>
      </c>
      <c r="F230" s="240">
        <v>0</v>
      </c>
      <c r="G230" s="240" t="s">
        <v>1386</v>
      </c>
      <c r="H230" s="240">
        <v>0</v>
      </c>
      <c r="I230" s="243">
        <v>0</v>
      </c>
      <c r="J230" s="243" t="s">
        <v>1853</v>
      </c>
      <c r="K230" s="243" t="s">
        <v>411</v>
      </c>
      <c r="L230" s="240" t="s">
        <v>1</v>
      </c>
      <c r="M230" s="244">
        <v>1</v>
      </c>
      <c r="N230" s="245">
        <v>35</v>
      </c>
      <c r="O230" s="243">
        <v>35</v>
      </c>
      <c r="P230" s="243">
        <v>35</v>
      </c>
      <c r="Q230" s="180" t="str">
        <f>IF(PEDIDOS[[#This Row],[Valor do item pago]]=PEDIDOS[[#This Row],[Total Item ]],"PAGO", "")</f>
        <v>PAGO</v>
      </c>
    </row>
    <row r="231" spans="1:17" s="216" customFormat="1" ht="39.950000000000003" customHeight="1" x14ac:dyDescent="0.25">
      <c r="A231" s="231"/>
      <c r="B231" s="240">
        <v>1484</v>
      </c>
      <c r="C231" s="241">
        <v>44078</v>
      </c>
      <c r="D231" s="242" t="s">
        <v>411</v>
      </c>
      <c r="E231" s="240" t="s">
        <v>35</v>
      </c>
      <c r="F231" s="240">
        <v>0</v>
      </c>
      <c r="G231" s="240" t="s">
        <v>1386</v>
      </c>
      <c r="H231" s="240">
        <v>0</v>
      </c>
      <c r="I231" s="243">
        <v>0</v>
      </c>
      <c r="J231" s="243" t="s">
        <v>1852</v>
      </c>
      <c r="K231" s="243" t="s">
        <v>411</v>
      </c>
      <c r="L231" s="240" t="s">
        <v>3</v>
      </c>
      <c r="M231" s="244">
        <v>1</v>
      </c>
      <c r="N231" s="245">
        <v>35</v>
      </c>
      <c r="O231" s="243">
        <v>35</v>
      </c>
      <c r="P231" s="243">
        <v>35</v>
      </c>
      <c r="Q231" s="180" t="str">
        <f>IF(PEDIDOS[[#This Row],[Valor do item pago]]=PEDIDOS[[#This Row],[Total Item ]],"PAGO", "")</f>
        <v>PAGO</v>
      </c>
    </row>
    <row r="232" spans="1:17" s="216" customFormat="1" ht="39.950000000000003" customHeight="1" x14ac:dyDescent="0.25">
      <c r="A232" s="231"/>
      <c r="B232" s="240">
        <v>1483</v>
      </c>
      <c r="C232" s="241">
        <v>44078</v>
      </c>
      <c r="D232" s="242" t="s">
        <v>411</v>
      </c>
      <c r="E232" s="240" t="s">
        <v>1496</v>
      </c>
      <c r="F232" s="240" t="s">
        <v>1497</v>
      </c>
      <c r="G232" s="240" t="s">
        <v>1505</v>
      </c>
      <c r="H232" s="240" t="s">
        <v>1450</v>
      </c>
      <c r="I232" s="243" t="s">
        <v>1504</v>
      </c>
      <c r="J232" s="243"/>
      <c r="K232" s="243"/>
      <c r="L232" s="240" t="s">
        <v>219</v>
      </c>
      <c r="M232" s="244">
        <v>1</v>
      </c>
      <c r="N232" s="245">
        <v>35</v>
      </c>
      <c r="O232" s="243">
        <v>35</v>
      </c>
      <c r="P232" s="243"/>
      <c r="Q232" s="180" t="str">
        <f>IF(PEDIDOS[[#This Row],[Valor do item pago]]=PEDIDOS[[#This Row],[Total Item ]],"PAGO", "")</f>
        <v/>
      </c>
    </row>
    <row r="233" spans="1:17" s="216" customFormat="1" ht="39.950000000000003" customHeight="1" x14ac:dyDescent="0.25">
      <c r="A233" s="231"/>
      <c r="B233" s="240">
        <v>1482</v>
      </c>
      <c r="C233" s="241">
        <v>44078</v>
      </c>
      <c r="D233" s="242" t="s">
        <v>411</v>
      </c>
      <c r="E233" s="240" t="s">
        <v>1461</v>
      </c>
      <c r="F233" s="240" t="s">
        <v>1180</v>
      </c>
      <c r="G233" s="240" t="s">
        <v>1276</v>
      </c>
      <c r="H233" s="240" t="s">
        <v>398</v>
      </c>
      <c r="I233" s="243" t="s">
        <v>1181</v>
      </c>
      <c r="J233" s="243"/>
      <c r="K233" s="243"/>
      <c r="L233" s="240" t="s">
        <v>3</v>
      </c>
      <c r="M233" s="244">
        <v>1</v>
      </c>
      <c r="N233" s="245">
        <v>35</v>
      </c>
      <c r="O233" s="243">
        <v>35</v>
      </c>
      <c r="P233" s="243">
        <v>35</v>
      </c>
      <c r="Q233" s="180" t="str">
        <f>IF(PEDIDOS[[#This Row],[Valor do item pago]]=PEDIDOS[[#This Row],[Total Item ]],"PAGO", "")</f>
        <v>PAGO</v>
      </c>
    </row>
    <row r="234" spans="1:17" s="216" customFormat="1" ht="39.950000000000003" customHeight="1" x14ac:dyDescent="0.25">
      <c r="A234" s="231"/>
      <c r="B234" s="240">
        <v>1481</v>
      </c>
      <c r="C234" s="241">
        <v>44078</v>
      </c>
      <c r="D234" s="242" t="s">
        <v>1025</v>
      </c>
      <c r="E234" s="240" t="s">
        <v>1848</v>
      </c>
      <c r="F234" s="240" t="s">
        <v>1849</v>
      </c>
      <c r="G234" s="240" t="s">
        <v>1851</v>
      </c>
      <c r="H234" s="240" t="s">
        <v>460</v>
      </c>
      <c r="I234" s="243" t="s">
        <v>1850</v>
      </c>
      <c r="J234" s="243"/>
      <c r="K234" s="243"/>
      <c r="L234" s="240" t="s">
        <v>219</v>
      </c>
      <c r="M234" s="244">
        <v>1</v>
      </c>
      <c r="N234" s="245">
        <v>35</v>
      </c>
      <c r="O234" s="243">
        <v>35</v>
      </c>
      <c r="P234" s="243"/>
      <c r="Q234" s="180" t="str">
        <f>IF(PEDIDOS[[#This Row],[Valor do item pago]]=PEDIDOS[[#This Row],[Total Item ]],"PAGO", "")</f>
        <v/>
      </c>
    </row>
    <row r="235" spans="1:17" s="216" customFormat="1" ht="39.950000000000003" customHeight="1" x14ac:dyDescent="0.25">
      <c r="A235" s="231"/>
      <c r="B235" s="240">
        <v>1480</v>
      </c>
      <c r="C235" s="241">
        <v>44078</v>
      </c>
      <c r="D235" s="242" t="s">
        <v>1025</v>
      </c>
      <c r="E235" s="240" t="s">
        <v>1848</v>
      </c>
      <c r="F235" s="240" t="s">
        <v>1849</v>
      </c>
      <c r="G235" s="240" t="s">
        <v>1851</v>
      </c>
      <c r="H235" s="240" t="s">
        <v>460</v>
      </c>
      <c r="I235" s="243" t="s">
        <v>1850</v>
      </c>
      <c r="J235" s="243" t="s">
        <v>887</v>
      </c>
      <c r="K235" s="243"/>
      <c r="L235" s="240" t="s">
        <v>1</v>
      </c>
      <c r="M235" s="244">
        <v>1</v>
      </c>
      <c r="N235" s="245">
        <v>35</v>
      </c>
      <c r="O235" s="243">
        <v>35</v>
      </c>
      <c r="P235" s="243"/>
      <c r="Q235" s="180" t="str">
        <f>IF(PEDIDOS[[#This Row],[Valor do item pago]]=PEDIDOS[[#This Row],[Total Item ]],"PAGO", "")</f>
        <v/>
      </c>
    </row>
    <row r="236" spans="1:17" s="216" customFormat="1" ht="39.950000000000003" customHeight="1" x14ac:dyDescent="0.25">
      <c r="A236" s="231"/>
      <c r="B236" s="240">
        <v>1479</v>
      </c>
      <c r="C236" s="241">
        <v>44078</v>
      </c>
      <c r="D236" s="242" t="s">
        <v>1025</v>
      </c>
      <c r="E236" s="240" t="s">
        <v>1845</v>
      </c>
      <c r="F236" s="240" t="s">
        <v>1846</v>
      </c>
      <c r="G236" s="240" t="s">
        <v>1847</v>
      </c>
      <c r="H236" s="240" t="s">
        <v>1197</v>
      </c>
      <c r="I236" s="243" t="s">
        <v>1028</v>
      </c>
      <c r="J236" s="243"/>
      <c r="K236" s="243"/>
      <c r="L236" s="240" t="s">
        <v>1</v>
      </c>
      <c r="M236" s="244">
        <v>1</v>
      </c>
      <c r="N236" s="245">
        <v>35</v>
      </c>
      <c r="O236" s="243">
        <v>35</v>
      </c>
      <c r="P236" s="243"/>
      <c r="Q236" s="180" t="str">
        <f>IF(PEDIDOS[[#This Row],[Valor do item pago]]=PEDIDOS[[#This Row],[Total Item ]],"PAGO", "")</f>
        <v/>
      </c>
    </row>
    <row r="237" spans="1:17" s="216" customFormat="1" ht="39.950000000000003" customHeight="1" x14ac:dyDescent="0.25">
      <c r="A237" s="231"/>
      <c r="B237" s="240">
        <v>1478</v>
      </c>
      <c r="C237" s="241">
        <v>44078</v>
      </c>
      <c r="D237" s="242" t="s">
        <v>1025</v>
      </c>
      <c r="E237" s="240" t="s">
        <v>1620</v>
      </c>
      <c r="F237" s="240" t="s">
        <v>1615</v>
      </c>
      <c r="G237" s="240" t="s">
        <v>1628</v>
      </c>
      <c r="H237" s="240" t="s">
        <v>1378</v>
      </c>
      <c r="I237" s="243" t="s">
        <v>1627</v>
      </c>
      <c r="J237" s="243"/>
      <c r="K237" s="243"/>
      <c r="L237" s="240" t="s">
        <v>1</v>
      </c>
      <c r="M237" s="244">
        <v>1</v>
      </c>
      <c r="N237" s="245">
        <v>35</v>
      </c>
      <c r="O237" s="243">
        <v>35</v>
      </c>
      <c r="P237" s="243"/>
      <c r="Q237" s="180" t="str">
        <f>IF(PEDIDOS[[#This Row],[Valor do item pago]]=PEDIDOS[[#This Row],[Total Item ]],"PAGO", "")</f>
        <v/>
      </c>
    </row>
    <row r="238" spans="1:17" s="216" customFormat="1" ht="39.950000000000003" customHeight="1" x14ac:dyDescent="0.25">
      <c r="A238" s="231"/>
      <c r="B238" s="240">
        <v>1477</v>
      </c>
      <c r="C238" s="241">
        <v>44078</v>
      </c>
      <c r="D238" s="242" t="s">
        <v>1025</v>
      </c>
      <c r="E238" s="240" t="s">
        <v>374</v>
      </c>
      <c r="F238" s="240" t="s">
        <v>1246</v>
      </c>
      <c r="G238" s="240" t="s">
        <v>1422</v>
      </c>
      <c r="H238" s="240" t="s">
        <v>402</v>
      </c>
      <c r="I238" s="243" t="s">
        <v>658</v>
      </c>
      <c r="J238" s="243"/>
      <c r="K238" s="243"/>
      <c r="L238" s="240" t="s">
        <v>1</v>
      </c>
      <c r="M238" s="244">
        <v>1</v>
      </c>
      <c r="N238" s="245">
        <v>35</v>
      </c>
      <c r="O238" s="243">
        <v>35</v>
      </c>
      <c r="P238" s="243"/>
      <c r="Q238" s="180" t="str">
        <f>IF(PEDIDOS[[#This Row],[Valor do item pago]]=PEDIDOS[[#This Row],[Total Item ]],"PAGO", "")</f>
        <v/>
      </c>
    </row>
    <row r="239" spans="1:17" s="216" customFormat="1" ht="39.950000000000003" customHeight="1" x14ac:dyDescent="0.25">
      <c r="A239" s="231"/>
      <c r="B239" s="240">
        <v>1477</v>
      </c>
      <c r="C239" s="241">
        <v>44078</v>
      </c>
      <c r="D239" s="242" t="s">
        <v>1025</v>
      </c>
      <c r="E239" s="240" t="s">
        <v>374</v>
      </c>
      <c r="F239" s="240" t="s">
        <v>1246</v>
      </c>
      <c r="G239" s="240" t="s">
        <v>1422</v>
      </c>
      <c r="H239" s="240" t="s">
        <v>402</v>
      </c>
      <c r="I239" s="243" t="s">
        <v>658</v>
      </c>
      <c r="J239" s="243"/>
      <c r="K239" s="243"/>
      <c r="L239" s="240" t="s">
        <v>0</v>
      </c>
      <c r="M239" s="244">
        <v>1</v>
      </c>
      <c r="N239" s="245">
        <v>35</v>
      </c>
      <c r="O239" s="243">
        <v>35</v>
      </c>
      <c r="P239" s="243"/>
      <c r="Q239" s="180" t="str">
        <f>IF(PEDIDOS[[#This Row],[Valor do item pago]]=PEDIDOS[[#This Row],[Total Item ]],"PAGO", "")</f>
        <v/>
      </c>
    </row>
    <row r="240" spans="1:17" s="216" customFormat="1" ht="39.950000000000003" customHeight="1" x14ac:dyDescent="0.25">
      <c r="A240" s="231"/>
      <c r="B240" s="240">
        <v>1476</v>
      </c>
      <c r="C240" s="241">
        <v>44078</v>
      </c>
      <c r="D240" s="242" t="s">
        <v>1025</v>
      </c>
      <c r="E240" s="240" t="s">
        <v>1286</v>
      </c>
      <c r="F240" s="240">
        <v>0</v>
      </c>
      <c r="G240" s="240">
        <v>0</v>
      </c>
      <c r="H240" s="240">
        <v>0</v>
      </c>
      <c r="I240" s="243">
        <v>0</v>
      </c>
      <c r="J240" s="243"/>
      <c r="K240" s="243" t="s">
        <v>1025</v>
      </c>
      <c r="L240" s="240" t="s">
        <v>1</v>
      </c>
      <c r="M240" s="244">
        <v>1</v>
      </c>
      <c r="N240" s="245">
        <v>35</v>
      </c>
      <c r="O240" s="243">
        <v>35</v>
      </c>
      <c r="P240" s="243"/>
      <c r="Q240" s="180" t="str">
        <f>IF(PEDIDOS[[#This Row],[Valor do item pago]]=PEDIDOS[[#This Row],[Total Item ]],"PAGO", "")</f>
        <v/>
      </c>
    </row>
    <row r="241" spans="1:17" s="216" customFormat="1" ht="39.950000000000003" customHeight="1" x14ac:dyDescent="0.25">
      <c r="A241" s="231"/>
      <c r="B241" s="240">
        <v>1475</v>
      </c>
      <c r="C241" s="241">
        <v>44078</v>
      </c>
      <c r="D241" s="242" t="s">
        <v>1025</v>
      </c>
      <c r="E241" s="240" t="s">
        <v>25</v>
      </c>
      <c r="F241" s="240" t="s">
        <v>1222</v>
      </c>
      <c r="G241" s="240" t="s">
        <v>1411</v>
      </c>
      <c r="H241" s="240" t="s">
        <v>406</v>
      </c>
      <c r="I241" s="243" t="s">
        <v>329</v>
      </c>
      <c r="J241" s="243" t="s">
        <v>1844</v>
      </c>
      <c r="K241" s="243"/>
      <c r="L241" s="240" t="s">
        <v>219</v>
      </c>
      <c r="M241" s="244">
        <v>2</v>
      </c>
      <c r="N241" s="245">
        <v>35</v>
      </c>
      <c r="O241" s="243">
        <v>70</v>
      </c>
      <c r="P241" s="243"/>
      <c r="Q241" s="180" t="str">
        <f>IF(PEDIDOS[[#This Row],[Valor do item pago]]=PEDIDOS[[#This Row],[Total Item ]],"PAGO", "")</f>
        <v/>
      </c>
    </row>
    <row r="242" spans="1:17" s="216" customFormat="1" ht="39.950000000000003" customHeight="1" x14ac:dyDescent="0.25">
      <c r="A242" s="231"/>
      <c r="B242" s="240">
        <v>1474</v>
      </c>
      <c r="C242" s="241">
        <v>44078</v>
      </c>
      <c r="D242" s="242" t="s">
        <v>1025</v>
      </c>
      <c r="E242" s="240" t="s">
        <v>1294</v>
      </c>
      <c r="F242" s="240" t="s">
        <v>1843</v>
      </c>
      <c r="G242" s="240" t="s">
        <v>1841</v>
      </c>
      <c r="H242" s="240" t="s">
        <v>1202</v>
      </c>
      <c r="I242" s="243" t="s">
        <v>1842</v>
      </c>
      <c r="J242" s="243"/>
      <c r="K242" s="243"/>
      <c r="L242" s="240" t="s">
        <v>219</v>
      </c>
      <c r="M242" s="244">
        <v>1</v>
      </c>
      <c r="N242" s="245">
        <v>35</v>
      </c>
      <c r="O242" s="243">
        <v>35</v>
      </c>
      <c r="P242" s="243"/>
      <c r="Q242" s="180" t="str">
        <f>IF(PEDIDOS[[#This Row],[Valor do item pago]]=PEDIDOS[[#This Row],[Total Item ]],"PAGO", "")</f>
        <v/>
      </c>
    </row>
    <row r="243" spans="1:17" s="216" customFormat="1" ht="39.950000000000003" customHeight="1" x14ac:dyDescent="0.25">
      <c r="A243" s="231"/>
      <c r="B243" s="240">
        <v>1473</v>
      </c>
      <c r="C243" s="241">
        <v>44078</v>
      </c>
      <c r="D243" s="242" t="s">
        <v>49</v>
      </c>
      <c r="E243" s="240" t="s">
        <v>1840</v>
      </c>
      <c r="F243" s="240" t="s">
        <v>1837</v>
      </c>
      <c r="G243" s="240" t="s">
        <v>1839</v>
      </c>
      <c r="H243" s="240" t="s">
        <v>891</v>
      </c>
      <c r="I243" s="243" t="s">
        <v>1838</v>
      </c>
      <c r="J243" s="243"/>
      <c r="K243" s="243"/>
      <c r="L243" s="240" t="s">
        <v>219</v>
      </c>
      <c r="M243" s="244">
        <v>1</v>
      </c>
      <c r="N243" s="245">
        <v>35</v>
      </c>
      <c r="O243" s="243">
        <v>35</v>
      </c>
      <c r="P243" s="243"/>
      <c r="Q243" s="180" t="str">
        <f>IF(PEDIDOS[[#This Row],[Valor do item pago]]=PEDIDOS[[#This Row],[Total Item ]],"PAGO", "")</f>
        <v/>
      </c>
    </row>
    <row r="244" spans="1:17" s="216" customFormat="1" ht="39.950000000000003" customHeight="1" x14ac:dyDescent="0.25">
      <c r="A244" s="231"/>
      <c r="B244" s="240">
        <v>1472</v>
      </c>
      <c r="C244" s="241">
        <v>44078</v>
      </c>
      <c r="D244" s="242" t="s">
        <v>49</v>
      </c>
      <c r="E244" s="240" t="s">
        <v>615</v>
      </c>
      <c r="F244" s="240" t="s">
        <v>1242</v>
      </c>
      <c r="G244" s="240" t="s">
        <v>1392</v>
      </c>
      <c r="H244" s="240" t="s">
        <v>1205</v>
      </c>
      <c r="I244" s="243" t="s">
        <v>735</v>
      </c>
      <c r="J244" s="243"/>
      <c r="K244" s="243" t="s">
        <v>49</v>
      </c>
      <c r="L244" s="240" t="s">
        <v>3</v>
      </c>
      <c r="M244" s="244">
        <v>1</v>
      </c>
      <c r="N244" s="245">
        <v>35</v>
      </c>
      <c r="O244" s="243">
        <v>35</v>
      </c>
      <c r="P244" s="243"/>
      <c r="Q244" s="180" t="str">
        <f>IF(PEDIDOS[[#This Row],[Valor do item pago]]=PEDIDOS[[#This Row],[Total Item ]],"PAGO", "")</f>
        <v/>
      </c>
    </row>
    <row r="245" spans="1:17" s="216" customFormat="1" ht="39.950000000000003" customHeight="1" x14ac:dyDescent="0.25">
      <c r="A245" s="231"/>
      <c r="B245" s="240">
        <v>1472</v>
      </c>
      <c r="C245" s="241">
        <v>44078</v>
      </c>
      <c r="D245" s="242" t="s">
        <v>49</v>
      </c>
      <c r="E245" s="240" t="s">
        <v>615</v>
      </c>
      <c r="F245" s="240" t="s">
        <v>1242</v>
      </c>
      <c r="G245" s="240" t="s">
        <v>1392</v>
      </c>
      <c r="H245" s="240" t="s">
        <v>1205</v>
      </c>
      <c r="I245" s="243" t="s">
        <v>735</v>
      </c>
      <c r="J245" s="243"/>
      <c r="K245" s="243" t="s">
        <v>49</v>
      </c>
      <c r="L245" s="240" t="s">
        <v>1</v>
      </c>
      <c r="M245" s="244">
        <v>1</v>
      </c>
      <c r="N245" s="245">
        <v>35</v>
      </c>
      <c r="O245" s="243">
        <v>35</v>
      </c>
      <c r="P245" s="243"/>
      <c r="Q245" s="180" t="str">
        <f>IF(PEDIDOS[[#This Row],[Valor do item pago]]=PEDIDOS[[#This Row],[Total Item ]],"PAGO", "")</f>
        <v/>
      </c>
    </row>
    <row r="246" spans="1:17" s="216" customFormat="1" ht="39.950000000000003" customHeight="1" x14ac:dyDescent="0.25">
      <c r="A246" s="231"/>
      <c r="B246" s="240">
        <v>1471</v>
      </c>
      <c r="C246" s="241">
        <v>44078</v>
      </c>
      <c r="D246" s="242" t="s">
        <v>49</v>
      </c>
      <c r="E246" s="240" t="s">
        <v>614</v>
      </c>
      <c r="F246" s="240" t="s">
        <v>1220</v>
      </c>
      <c r="G246" s="240" t="s">
        <v>1363</v>
      </c>
      <c r="H246" s="240" t="s">
        <v>393</v>
      </c>
      <c r="I246" s="243" t="s">
        <v>423</v>
      </c>
      <c r="J246" s="243"/>
      <c r="K246" s="243"/>
      <c r="L246" s="240" t="s">
        <v>219</v>
      </c>
      <c r="M246" s="244">
        <v>1</v>
      </c>
      <c r="N246" s="245">
        <v>35</v>
      </c>
      <c r="O246" s="243">
        <v>35</v>
      </c>
      <c r="P246" s="243">
        <v>35</v>
      </c>
      <c r="Q246" s="180" t="str">
        <f>IF(PEDIDOS[[#This Row],[Valor do item pago]]=PEDIDOS[[#This Row],[Total Item ]],"PAGO", "")</f>
        <v>PAGO</v>
      </c>
    </row>
    <row r="247" spans="1:17" s="216" customFormat="1" ht="39.950000000000003" customHeight="1" x14ac:dyDescent="0.25">
      <c r="A247" s="231"/>
      <c r="B247" s="240">
        <v>1470</v>
      </c>
      <c r="C247" s="241">
        <v>44078</v>
      </c>
      <c r="D247" s="242" t="s">
        <v>49</v>
      </c>
      <c r="E247" s="240" t="s">
        <v>611</v>
      </c>
      <c r="F247" s="240" t="s">
        <v>1225</v>
      </c>
      <c r="G247" s="240" t="s">
        <v>1429</v>
      </c>
      <c r="H247" s="240" t="s">
        <v>390</v>
      </c>
      <c r="I247" s="243" t="s">
        <v>253</v>
      </c>
      <c r="J247" s="243"/>
      <c r="K247" s="243" t="s">
        <v>49</v>
      </c>
      <c r="L247" s="240" t="s">
        <v>3</v>
      </c>
      <c r="M247" s="244">
        <v>1</v>
      </c>
      <c r="N247" s="245">
        <v>35</v>
      </c>
      <c r="O247" s="243">
        <v>35</v>
      </c>
      <c r="P247" s="243"/>
      <c r="Q247" s="180" t="str">
        <f>IF(PEDIDOS[[#This Row],[Valor do item pago]]=PEDIDOS[[#This Row],[Total Item ]],"PAGO", "")</f>
        <v/>
      </c>
    </row>
    <row r="248" spans="1:17" s="216" customFormat="1" ht="39.950000000000003" customHeight="1" x14ac:dyDescent="0.25">
      <c r="A248" s="231"/>
      <c r="B248" s="240">
        <v>1469</v>
      </c>
      <c r="C248" s="241">
        <v>44050</v>
      </c>
      <c r="D248" s="242" t="s">
        <v>231</v>
      </c>
      <c r="E248" s="240" t="s">
        <v>1703</v>
      </c>
      <c r="F248" s="240" t="s">
        <v>1834</v>
      </c>
      <c r="G248" s="240" t="s">
        <v>1835</v>
      </c>
      <c r="H248" s="240" t="s">
        <v>112</v>
      </c>
      <c r="I248" s="243" t="s">
        <v>1836</v>
      </c>
      <c r="J248" s="243"/>
      <c r="K248" s="243"/>
      <c r="L248" s="240" t="s">
        <v>3</v>
      </c>
      <c r="M248" s="244">
        <v>1</v>
      </c>
      <c r="N248" s="245">
        <v>35</v>
      </c>
      <c r="O248" s="243">
        <v>35</v>
      </c>
      <c r="P248" s="243"/>
      <c r="Q248" s="180" t="str">
        <f>IF(PEDIDOS[[#This Row],[Valor do item pago]]=PEDIDOS[[#This Row],[Total Item ]],"PAGO", "")</f>
        <v/>
      </c>
    </row>
    <row r="249" spans="1:17" s="216" customFormat="1" ht="39.950000000000003" customHeight="1" x14ac:dyDescent="0.25">
      <c r="A249" s="231"/>
      <c r="B249" s="240">
        <v>1468</v>
      </c>
      <c r="C249" s="241">
        <v>44050</v>
      </c>
      <c r="D249" s="242" t="s">
        <v>34</v>
      </c>
      <c r="E249" s="240" t="s">
        <v>1518</v>
      </c>
      <c r="F249" s="240" t="s">
        <v>1519</v>
      </c>
      <c r="G249" s="240" t="s">
        <v>1520</v>
      </c>
      <c r="H249" s="240" t="s">
        <v>406</v>
      </c>
      <c r="I249" s="243" t="s">
        <v>1521</v>
      </c>
      <c r="J249" s="243"/>
      <c r="K249" s="243"/>
      <c r="L249" s="240" t="s">
        <v>219</v>
      </c>
      <c r="M249" s="244">
        <v>1</v>
      </c>
      <c r="N249" s="245">
        <v>35</v>
      </c>
      <c r="O249" s="243">
        <v>35</v>
      </c>
      <c r="P249" s="243"/>
      <c r="Q249" s="180" t="str">
        <f>IF(PEDIDOS[[#This Row],[Valor do item pago]]=PEDIDOS[[#This Row],[Total Item ]],"PAGO", "")</f>
        <v/>
      </c>
    </row>
    <row r="250" spans="1:17" s="216" customFormat="1" ht="39.950000000000003" customHeight="1" x14ac:dyDescent="0.25">
      <c r="A250" s="231"/>
      <c r="B250" s="240">
        <v>1467</v>
      </c>
      <c r="C250" s="241">
        <v>44048</v>
      </c>
      <c r="D250" s="242" t="s">
        <v>229</v>
      </c>
      <c r="E250" s="240" t="s">
        <v>229</v>
      </c>
      <c r="F250" s="240">
        <v>0</v>
      </c>
      <c r="G250" s="240">
        <v>0</v>
      </c>
      <c r="H250" s="240">
        <v>0</v>
      </c>
      <c r="I250" s="243">
        <v>0</v>
      </c>
      <c r="J250" s="243"/>
      <c r="K250" s="243"/>
      <c r="L250" s="240" t="s">
        <v>3</v>
      </c>
      <c r="M250" s="244">
        <v>4</v>
      </c>
      <c r="N250" s="245">
        <v>35</v>
      </c>
      <c r="O250" s="243">
        <v>140</v>
      </c>
      <c r="P250" s="243"/>
      <c r="Q250" s="180" t="str">
        <f>IF(PEDIDOS[[#This Row],[Valor do item pago]]=PEDIDOS[[#This Row],[Total Item ]],"PAGO", "")</f>
        <v/>
      </c>
    </row>
    <row r="251" spans="1:17" s="216" customFormat="1" ht="39.950000000000003" customHeight="1" x14ac:dyDescent="0.25">
      <c r="A251" s="231"/>
      <c r="B251" s="240">
        <v>1467</v>
      </c>
      <c r="C251" s="241">
        <v>44048</v>
      </c>
      <c r="D251" s="242" t="s">
        <v>229</v>
      </c>
      <c r="E251" s="240" t="s">
        <v>229</v>
      </c>
      <c r="F251" s="240">
        <v>0</v>
      </c>
      <c r="G251" s="240">
        <v>0</v>
      </c>
      <c r="H251" s="240">
        <v>0</v>
      </c>
      <c r="I251" s="243">
        <v>0</v>
      </c>
      <c r="J251" s="243"/>
      <c r="K251" s="243"/>
      <c r="L251" s="240" t="s">
        <v>219</v>
      </c>
      <c r="M251" s="244">
        <v>5</v>
      </c>
      <c r="N251" s="245">
        <v>35</v>
      </c>
      <c r="O251" s="243">
        <v>175</v>
      </c>
      <c r="P251" s="243"/>
      <c r="Q251" s="180" t="str">
        <f>IF(PEDIDOS[[#This Row],[Valor do item pago]]=PEDIDOS[[#This Row],[Total Item ]],"PAGO", "")</f>
        <v/>
      </c>
    </row>
    <row r="252" spans="1:17" s="216" customFormat="1" ht="39.950000000000003" customHeight="1" x14ac:dyDescent="0.25">
      <c r="A252" s="231"/>
      <c r="B252" s="240">
        <v>1467</v>
      </c>
      <c r="C252" s="241">
        <v>44048</v>
      </c>
      <c r="D252" s="242" t="s">
        <v>229</v>
      </c>
      <c r="E252" s="240" t="s">
        <v>229</v>
      </c>
      <c r="F252" s="240">
        <v>0</v>
      </c>
      <c r="G252" s="240">
        <v>0</v>
      </c>
      <c r="H252" s="240">
        <v>0</v>
      </c>
      <c r="I252" s="243">
        <v>0</v>
      </c>
      <c r="J252" s="243"/>
      <c r="K252" s="243"/>
      <c r="L252" s="240" t="s">
        <v>1</v>
      </c>
      <c r="M252" s="244">
        <v>6</v>
      </c>
      <c r="N252" s="245">
        <v>35</v>
      </c>
      <c r="O252" s="243">
        <v>210</v>
      </c>
      <c r="P252" s="243"/>
      <c r="Q252" s="180" t="str">
        <f>IF(PEDIDOS[[#This Row],[Valor do item pago]]=PEDIDOS[[#This Row],[Total Item ]],"PAGO", "")</f>
        <v/>
      </c>
    </row>
    <row r="253" spans="1:17" s="216" customFormat="1" ht="39.950000000000003" customHeight="1" x14ac:dyDescent="0.25">
      <c r="A253" s="231"/>
      <c r="B253" s="240">
        <v>1467</v>
      </c>
      <c r="C253" s="241">
        <v>44048</v>
      </c>
      <c r="D253" s="242" t="s">
        <v>229</v>
      </c>
      <c r="E253" s="240" t="s">
        <v>229</v>
      </c>
      <c r="F253" s="240">
        <v>0</v>
      </c>
      <c r="G253" s="240">
        <v>0</v>
      </c>
      <c r="H253" s="240">
        <v>0</v>
      </c>
      <c r="I253" s="243">
        <v>0</v>
      </c>
      <c r="J253" s="243"/>
      <c r="K253" s="243"/>
      <c r="L253" s="240" t="s">
        <v>0</v>
      </c>
      <c r="M253" s="244">
        <v>1</v>
      </c>
      <c r="N253" s="245">
        <v>35</v>
      </c>
      <c r="O253" s="243">
        <v>35</v>
      </c>
      <c r="P253" s="243"/>
      <c r="Q253" s="180" t="str">
        <f>IF(PEDIDOS[[#This Row],[Valor do item pago]]=PEDIDOS[[#This Row],[Total Item ]],"PAGO", "")</f>
        <v/>
      </c>
    </row>
    <row r="254" spans="1:17" s="216" customFormat="1" ht="39.950000000000003" customHeight="1" x14ac:dyDescent="0.25">
      <c r="A254" s="231"/>
      <c r="B254" s="240">
        <v>1466</v>
      </c>
      <c r="C254" s="241">
        <v>44048</v>
      </c>
      <c r="D254" s="242" t="s">
        <v>11</v>
      </c>
      <c r="E254" s="240" t="s">
        <v>35</v>
      </c>
      <c r="F254" s="240">
        <v>0</v>
      </c>
      <c r="G254" s="240" t="s">
        <v>1386</v>
      </c>
      <c r="H254" s="240">
        <v>0</v>
      </c>
      <c r="I254" s="243">
        <v>0</v>
      </c>
      <c r="J254" s="243" t="s">
        <v>1832</v>
      </c>
      <c r="K254" s="243"/>
      <c r="L254" s="240" t="s">
        <v>219</v>
      </c>
      <c r="M254" s="244">
        <v>1</v>
      </c>
      <c r="N254" s="245">
        <v>35</v>
      </c>
      <c r="O254" s="243">
        <v>35</v>
      </c>
      <c r="P254" s="243">
        <v>35</v>
      </c>
      <c r="Q254" s="180" t="str">
        <f>IF(PEDIDOS[[#This Row],[Valor do item pago]]=PEDIDOS[[#This Row],[Total Item ]],"PAGO", "")</f>
        <v>PAGO</v>
      </c>
    </row>
    <row r="255" spans="1:17" s="216" customFormat="1" ht="39.950000000000003" customHeight="1" x14ac:dyDescent="0.25">
      <c r="A255" s="231"/>
      <c r="B255" s="240">
        <v>1465</v>
      </c>
      <c r="C255" s="241">
        <v>44048</v>
      </c>
      <c r="D255" s="242" t="s">
        <v>11</v>
      </c>
      <c r="E255" s="240" t="s">
        <v>1824</v>
      </c>
      <c r="F255" s="240" t="s">
        <v>1826</v>
      </c>
      <c r="G255" s="240" t="s">
        <v>1830</v>
      </c>
      <c r="H255" s="240" t="s">
        <v>1205</v>
      </c>
      <c r="I255" s="243" t="s">
        <v>1831</v>
      </c>
      <c r="J255" s="243"/>
      <c r="K255" s="243"/>
      <c r="L255" s="240" t="s">
        <v>219</v>
      </c>
      <c r="M255" s="244">
        <v>1</v>
      </c>
      <c r="N255" s="245">
        <v>35</v>
      </c>
      <c r="O255" s="243">
        <v>35</v>
      </c>
      <c r="P255" s="243">
        <v>35</v>
      </c>
      <c r="Q255" s="180" t="str">
        <f>IF(PEDIDOS[[#This Row],[Valor do item pago]]=PEDIDOS[[#This Row],[Total Item ]],"PAGO", "")</f>
        <v>PAGO</v>
      </c>
    </row>
    <row r="256" spans="1:17" s="216" customFormat="1" ht="39.950000000000003" customHeight="1" x14ac:dyDescent="0.25">
      <c r="A256" s="231"/>
      <c r="B256" s="240">
        <v>1464</v>
      </c>
      <c r="C256" s="241">
        <v>44048</v>
      </c>
      <c r="D256" s="242" t="s">
        <v>11</v>
      </c>
      <c r="E256" s="240" t="s">
        <v>1823</v>
      </c>
      <c r="F256" s="240" t="s">
        <v>1825</v>
      </c>
      <c r="G256" s="240" t="s">
        <v>1827</v>
      </c>
      <c r="H256" s="240" t="s">
        <v>1828</v>
      </c>
      <c r="I256" s="243" t="s">
        <v>1829</v>
      </c>
      <c r="J256" s="243"/>
      <c r="K256" s="243"/>
      <c r="L256" s="240" t="s">
        <v>219</v>
      </c>
      <c r="M256" s="244">
        <v>2</v>
      </c>
      <c r="N256" s="245">
        <v>35</v>
      </c>
      <c r="O256" s="243">
        <v>70</v>
      </c>
      <c r="P256" s="243">
        <v>70</v>
      </c>
      <c r="Q256" s="180" t="str">
        <f>IF(PEDIDOS[[#This Row],[Valor do item pago]]=PEDIDOS[[#This Row],[Total Item ]],"PAGO", "")</f>
        <v>PAGO</v>
      </c>
    </row>
    <row r="257" spans="1:17" s="216" customFormat="1" ht="39.950000000000003" customHeight="1" x14ac:dyDescent="0.25">
      <c r="A257" s="231"/>
      <c r="B257" s="240">
        <v>1463</v>
      </c>
      <c r="C257" s="241">
        <v>44048</v>
      </c>
      <c r="D257" s="242" t="s">
        <v>11</v>
      </c>
      <c r="E257" s="240" t="s">
        <v>531</v>
      </c>
      <c r="F257" s="240" t="s">
        <v>533</v>
      </c>
      <c r="G257" s="240" t="s">
        <v>1300</v>
      </c>
      <c r="H257" s="240" t="s">
        <v>532</v>
      </c>
      <c r="I257" s="243" t="s">
        <v>664</v>
      </c>
      <c r="J257" s="243"/>
      <c r="K257" s="243"/>
      <c r="L257" s="240" t="s">
        <v>219</v>
      </c>
      <c r="M257" s="244">
        <v>1</v>
      </c>
      <c r="N257" s="245">
        <v>35</v>
      </c>
      <c r="O257" s="243">
        <v>35</v>
      </c>
      <c r="P257" s="243"/>
      <c r="Q257" s="180" t="str">
        <f>IF(PEDIDOS[[#This Row],[Valor do item pago]]=PEDIDOS[[#This Row],[Total Item ]],"PAGO", "")</f>
        <v/>
      </c>
    </row>
    <row r="258" spans="1:17" s="216" customFormat="1" ht="39.950000000000003" customHeight="1" x14ac:dyDescent="0.25">
      <c r="A258" s="231"/>
      <c r="B258" s="240">
        <v>1462</v>
      </c>
      <c r="C258" s="241">
        <v>44048</v>
      </c>
      <c r="D258" s="242" t="s">
        <v>11</v>
      </c>
      <c r="E258" s="240" t="s">
        <v>1820</v>
      </c>
      <c r="F258" s="240" t="s">
        <v>1654</v>
      </c>
      <c r="G258" s="240" t="s">
        <v>1821</v>
      </c>
      <c r="H258" s="240" t="s">
        <v>1822</v>
      </c>
      <c r="I258" s="243" t="s">
        <v>990</v>
      </c>
      <c r="J258" s="243"/>
      <c r="K258" s="243"/>
      <c r="L258" s="240" t="s">
        <v>219</v>
      </c>
      <c r="M258" s="244">
        <v>1</v>
      </c>
      <c r="N258" s="245">
        <v>35</v>
      </c>
      <c r="O258" s="243">
        <v>35</v>
      </c>
      <c r="P258" s="243"/>
      <c r="Q258" s="180" t="str">
        <f>IF(PEDIDOS[[#This Row],[Valor do item pago]]=PEDIDOS[[#This Row],[Total Item ]],"PAGO", "")</f>
        <v/>
      </c>
    </row>
    <row r="259" spans="1:17" s="216" customFormat="1" ht="39.950000000000003" customHeight="1" x14ac:dyDescent="0.25">
      <c r="A259" s="231"/>
      <c r="B259" s="240">
        <v>1461</v>
      </c>
      <c r="C259" s="241">
        <v>44048</v>
      </c>
      <c r="D259" s="242" t="s">
        <v>11</v>
      </c>
      <c r="E259" s="240" t="s">
        <v>547</v>
      </c>
      <c r="F259" s="240" t="s">
        <v>521</v>
      </c>
      <c r="G259" s="240" t="s">
        <v>1764</v>
      </c>
      <c r="H259" s="240" t="s">
        <v>581</v>
      </c>
      <c r="I259" s="243" t="s">
        <v>1765</v>
      </c>
      <c r="J259" s="243" t="s">
        <v>1817</v>
      </c>
      <c r="K259" s="243"/>
      <c r="L259" s="240" t="s">
        <v>219</v>
      </c>
      <c r="M259" s="244">
        <v>1</v>
      </c>
      <c r="N259" s="245">
        <v>35</v>
      </c>
      <c r="O259" s="243">
        <v>35</v>
      </c>
      <c r="P259" s="243"/>
      <c r="Q259" s="180" t="str">
        <f>IF(PEDIDOS[[#This Row],[Valor do item pago]]=PEDIDOS[[#This Row],[Total Item ]],"PAGO", "")</f>
        <v/>
      </c>
    </row>
    <row r="260" spans="1:17" s="216" customFormat="1" ht="39.950000000000003" customHeight="1" x14ac:dyDescent="0.25">
      <c r="A260" s="231"/>
      <c r="B260" s="240">
        <v>1460</v>
      </c>
      <c r="C260" s="241">
        <v>44048</v>
      </c>
      <c r="D260" s="242" t="s">
        <v>11</v>
      </c>
      <c r="E260" s="240" t="s">
        <v>1198</v>
      </c>
      <c r="F260" s="240" t="s">
        <v>1248</v>
      </c>
      <c r="G260" s="240" t="s">
        <v>1424</v>
      </c>
      <c r="H260" s="240" t="s">
        <v>397</v>
      </c>
      <c r="I260" s="243" t="s">
        <v>452</v>
      </c>
      <c r="J260" s="243"/>
      <c r="K260" s="243"/>
      <c r="L260" s="240" t="s">
        <v>219</v>
      </c>
      <c r="M260" s="244">
        <v>1</v>
      </c>
      <c r="N260" s="245">
        <v>35</v>
      </c>
      <c r="O260" s="243">
        <v>35</v>
      </c>
      <c r="P260" s="243"/>
      <c r="Q260" s="180" t="str">
        <f>IF(PEDIDOS[[#This Row],[Valor do item pago]]=PEDIDOS[[#This Row],[Total Item ]],"PAGO", "")</f>
        <v/>
      </c>
    </row>
    <row r="261" spans="1:17" s="216" customFormat="1" ht="39.950000000000003" customHeight="1" x14ac:dyDescent="0.25">
      <c r="A261" s="231"/>
      <c r="B261" s="240">
        <v>1459</v>
      </c>
      <c r="C261" s="241">
        <v>44048</v>
      </c>
      <c r="D261" s="242" t="s">
        <v>11</v>
      </c>
      <c r="E261" s="240" t="s">
        <v>1299</v>
      </c>
      <c r="F261" s="240" t="s">
        <v>899</v>
      </c>
      <c r="G261" s="240" t="s">
        <v>1818</v>
      </c>
      <c r="H261" s="240" t="s">
        <v>651</v>
      </c>
      <c r="I261" s="243" t="s">
        <v>1819</v>
      </c>
      <c r="J261" s="243"/>
      <c r="K261" s="243"/>
      <c r="L261" s="240" t="s">
        <v>219</v>
      </c>
      <c r="M261" s="244">
        <v>1</v>
      </c>
      <c r="N261" s="245">
        <v>35</v>
      </c>
      <c r="O261" s="243">
        <v>35</v>
      </c>
      <c r="P261" s="243"/>
      <c r="Q261" s="180" t="str">
        <f>IF(PEDIDOS[[#This Row],[Valor do item pago]]=PEDIDOS[[#This Row],[Total Item ]],"PAGO", "")</f>
        <v/>
      </c>
    </row>
    <row r="262" spans="1:17" s="216" customFormat="1" ht="39.950000000000003" customHeight="1" x14ac:dyDescent="0.25">
      <c r="A262" s="231"/>
      <c r="B262" s="240">
        <v>1458</v>
      </c>
      <c r="C262" s="241">
        <v>44048</v>
      </c>
      <c r="D262" s="242" t="s">
        <v>11</v>
      </c>
      <c r="E262" s="240" t="s">
        <v>513</v>
      </c>
      <c r="F262" s="240" t="s">
        <v>514</v>
      </c>
      <c r="G262" s="240" t="s">
        <v>1419</v>
      </c>
      <c r="H262" s="240" t="s">
        <v>1455</v>
      </c>
      <c r="I262" s="243" t="s">
        <v>661</v>
      </c>
      <c r="J262" s="243"/>
      <c r="K262" s="243"/>
      <c r="L262" s="240" t="s">
        <v>219</v>
      </c>
      <c r="M262" s="244">
        <v>1</v>
      </c>
      <c r="N262" s="245">
        <v>35</v>
      </c>
      <c r="O262" s="243">
        <v>35</v>
      </c>
      <c r="P262" s="243"/>
      <c r="Q262" s="180" t="str">
        <f>IF(PEDIDOS[[#This Row],[Valor do item pago]]=PEDIDOS[[#This Row],[Total Item ]],"PAGO", "")</f>
        <v/>
      </c>
    </row>
    <row r="263" spans="1:17" s="216" customFormat="1" ht="39.950000000000003" customHeight="1" x14ac:dyDescent="0.25">
      <c r="A263" s="231"/>
      <c r="B263" s="240">
        <v>1458</v>
      </c>
      <c r="C263" s="241">
        <v>44048</v>
      </c>
      <c r="D263" s="242" t="s">
        <v>11</v>
      </c>
      <c r="E263" s="240" t="s">
        <v>513</v>
      </c>
      <c r="F263" s="240" t="s">
        <v>514</v>
      </c>
      <c r="G263" s="240" t="s">
        <v>1419</v>
      </c>
      <c r="H263" s="240" t="s">
        <v>1455</v>
      </c>
      <c r="I263" s="243" t="s">
        <v>661</v>
      </c>
      <c r="J263" s="243"/>
      <c r="K263" s="243"/>
      <c r="L263" s="240" t="s">
        <v>1</v>
      </c>
      <c r="M263" s="244">
        <v>1</v>
      </c>
      <c r="N263" s="245">
        <v>35</v>
      </c>
      <c r="O263" s="243">
        <v>35</v>
      </c>
      <c r="P263" s="243"/>
      <c r="Q263" s="180" t="str">
        <f>IF(PEDIDOS[[#This Row],[Valor do item pago]]=PEDIDOS[[#This Row],[Total Item ]],"PAGO", "")</f>
        <v/>
      </c>
    </row>
    <row r="264" spans="1:17" s="216" customFormat="1" ht="39.950000000000003" customHeight="1" x14ac:dyDescent="0.25">
      <c r="A264" s="231"/>
      <c r="B264" s="240">
        <v>1457</v>
      </c>
      <c r="C264" s="241">
        <v>44048</v>
      </c>
      <c r="D264" s="242" t="s">
        <v>11</v>
      </c>
      <c r="E264" s="240" t="s">
        <v>367</v>
      </c>
      <c r="F264" s="240" t="s">
        <v>1237</v>
      </c>
      <c r="G264" s="240" t="s">
        <v>1418</v>
      </c>
      <c r="H264" s="240" t="s">
        <v>392</v>
      </c>
      <c r="I264" s="243" t="s">
        <v>656</v>
      </c>
      <c r="J264" s="243"/>
      <c r="K264" s="243"/>
      <c r="L264" s="240" t="s">
        <v>0</v>
      </c>
      <c r="M264" s="244">
        <v>1</v>
      </c>
      <c r="N264" s="245">
        <v>35</v>
      </c>
      <c r="O264" s="243">
        <v>35</v>
      </c>
      <c r="P264" s="243"/>
      <c r="Q264" s="180" t="str">
        <f>IF(PEDIDOS[[#This Row],[Valor do item pago]]=PEDIDOS[[#This Row],[Total Item ]],"PAGO", "")</f>
        <v/>
      </c>
    </row>
    <row r="265" spans="1:17" s="216" customFormat="1" ht="39.950000000000003" customHeight="1" x14ac:dyDescent="0.25">
      <c r="A265" s="231"/>
      <c r="B265" s="240">
        <v>1456</v>
      </c>
      <c r="C265" s="241">
        <v>44048</v>
      </c>
      <c r="D265" s="242" t="s">
        <v>11</v>
      </c>
      <c r="E265" s="240" t="s">
        <v>11</v>
      </c>
      <c r="F265" s="240" t="s">
        <v>882</v>
      </c>
      <c r="G265" s="240" t="s">
        <v>1382</v>
      </c>
      <c r="H265" s="240" t="s">
        <v>441</v>
      </c>
      <c r="I265" s="243" t="s">
        <v>884</v>
      </c>
      <c r="J265" s="243"/>
      <c r="K265" s="243"/>
      <c r="L265" s="240" t="s">
        <v>1</v>
      </c>
      <c r="M265" s="244">
        <v>4</v>
      </c>
      <c r="N265" s="245">
        <v>35</v>
      </c>
      <c r="O265" s="243">
        <v>140</v>
      </c>
      <c r="P265" s="243">
        <v>140</v>
      </c>
      <c r="Q265" s="180" t="str">
        <f>IF(PEDIDOS[[#This Row],[Valor do item pago]]=PEDIDOS[[#This Row],[Total Item ]],"PAGO", "")</f>
        <v>PAGO</v>
      </c>
    </row>
    <row r="266" spans="1:17" s="216" customFormat="1" ht="39.950000000000003" customHeight="1" x14ac:dyDescent="0.25">
      <c r="A266" s="231"/>
      <c r="B266" s="240">
        <v>1455</v>
      </c>
      <c r="C266" s="241">
        <v>44048</v>
      </c>
      <c r="D266" s="242" t="s">
        <v>11</v>
      </c>
      <c r="E266" s="240" t="s">
        <v>1278</v>
      </c>
      <c r="F266" s="240" t="s">
        <v>1757</v>
      </c>
      <c r="G266" s="240" t="s">
        <v>1758</v>
      </c>
      <c r="H266" s="240" t="s">
        <v>1257</v>
      </c>
      <c r="I266" s="243" t="s">
        <v>1759</v>
      </c>
      <c r="J266" s="243"/>
      <c r="K266" s="243"/>
      <c r="L266" s="240" t="s">
        <v>0</v>
      </c>
      <c r="M266" s="244">
        <v>1</v>
      </c>
      <c r="N266" s="245">
        <v>35</v>
      </c>
      <c r="O266" s="243">
        <v>35</v>
      </c>
      <c r="P266" s="243"/>
      <c r="Q266" s="180" t="str">
        <f>IF(PEDIDOS[[#This Row],[Valor do item pago]]=PEDIDOS[[#This Row],[Total Item ]],"PAGO", "")</f>
        <v/>
      </c>
    </row>
    <row r="267" spans="1:17" s="216" customFormat="1" ht="39.950000000000003" customHeight="1" x14ac:dyDescent="0.25">
      <c r="A267" s="231"/>
      <c r="B267" s="240">
        <v>1454</v>
      </c>
      <c r="C267" s="241">
        <v>44048</v>
      </c>
      <c r="D267" s="242" t="s">
        <v>11</v>
      </c>
      <c r="E267" s="240" t="s">
        <v>1262</v>
      </c>
      <c r="F267" s="240">
        <v>0</v>
      </c>
      <c r="G267" s="240">
        <v>0</v>
      </c>
      <c r="H267" s="240">
        <v>0</v>
      </c>
      <c r="I267" s="243">
        <v>0</v>
      </c>
      <c r="J267" s="243"/>
      <c r="K267" s="243" t="s">
        <v>40</v>
      </c>
      <c r="L267" s="240" t="s">
        <v>1</v>
      </c>
      <c r="M267" s="244">
        <v>1</v>
      </c>
      <c r="N267" s="245">
        <v>35</v>
      </c>
      <c r="O267" s="243">
        <v>35</v>
      </c>
      <c r="P267" s="243">
        <v>35</v>
      </c>
      <c r="Q267" s="180" t="str">
        <f>IF(PEDIDOS[[#This Row],[Valor do item pago]]=PEDIDOS[[#This Row],[Total Item ]],"PAGO", "")</f>
        <v>PAGO</v>
      </c>
    </row>
    <row r="268" spans="1:17" s="216" customFormat="1" ht="39.950000000000003" customHeight="1" x14ac:dyDescent="0.25">
      <c r="A268" s="231"/>
      <c r="B268" s="240">
        <v>1453</v>
      </c>
      <c r="C268" s="241">
        <v>44048</v>
      </c>
      <c r="D268" s="242" t="s">
        <v>11</v>
      </c>
      <c r="E268" s="240" t="s">
        <v>1272</v>
      </c>
      <c r="F268" s="240" t="s">
        <v>1227</v>
      </c>
      <c r="G268" s="240" t="s">
        <v>1273</v>
      </c>
      <c r="H268" s="240" t="s">
        <v>1196</v>
      </c>
      <c r="I268" s="243" t="s">
        <v>652</v>
      </c>
      <c r="J268" s="243"/>
      <c r="K268" s="243"/>
      <c r="L268" s="240" t="s">
        <v>1</v>
      </c>
      <c r="M268" s="244">
        <v>2</v>
      </c>
      <c r="N268" s="245">
        <v>35</v>
      </c>
      <c r="O268" s="243">
        <v>70</v>
      </c>
      <c r="P268" s="243"/>
      <c r="Q268" s="180" t="str">
        <f>IF(PEDIDOS[[#This Row],[Valor do item pago]]=PEDIDOS[[#This Row],[Total Item ]],"PAGO", "")</f>
        <v/>
      </c>
    </row>
    <row r="269" spans="1:17" s="216" customFormat="1" ht="39.950000000000003" customHeight="1" x14ac:dyDescent="0.25">
      <c r="A269" s="231"/>
      <c r="B269" s="240">
        <v>1452</v>
      </c>
      <c r="C269" s="241">
        <v>44048</v>
      </c>
      <c r="D269" s="242" t="s">
        <v>11</v>
      </c>
      <c r="E269" s="240" t="s">
        <v>507</v>
      </c>
      <c r="F269" s="240" t="s">
        <v>497</v>
      </c>
      <c r="G269" s="240" t="s">
        <v>1376</v>
      </c>
      <c r="H269" s="240" t="s">
        <v>461</v>
      </c>
      <c r="I269" s="243" t="s">
        <v>659</v>
      </c>
      <c r="J269" s="243"/>
      <c r="K269" s="243"/>
      <c r="L269" s="240" t="s">
        <v>1</v>
      </c>
      <c r="M269" s="244">
        <v>1</v>
      </c>
      <c r="N269" s="245">
        <v>35</v>
      </c>
      <c r="O269" s="243">
        <v>35</v>
      </c>
      <c r="P269" s="243"/>
      <c r="Q269" s="180" t="str">
        <f>IF(PEDIDOS[[#This Row],[Valor do item pago]]=PEDIDOS[[#This Row],[Total Item ]],"PAGO", "")</f>
        <v/>
      </c>
    </row>
    <row r="270" spans="1:17" s="216" customFormat="1" ht="39.950000000000003" customHeight="1" x14ac:dyDescent="0.25">
      <c r="A270" s="231"/>
      <c r="B270" s="240">
        <v>1451</v>
      </c>
      <c r="C270" s="241">
        <v>44048</v>
      </c>
      <c r="D270" s="242" t="s">
        <v>11</v>
      </c>
      <c r="E270" s="240" t="s">
        <v>25</v>
      </c>
      <c r="F270" s="240" t="s">
        <v>1222</v>
      </c>
      <c r="G270" s="240" t="s">
        <v>1411</v>
      </c>
      <c r="H270" s="240" t="s">
        <v>406</v>
      </c>
      <c r="I270" s="243" t="s">
        <v>329</v>
      </c>
      <c r="J270" s="243"/>
      <c r="K270" s="243"/>
      <c r="L270" s="240" t="s">
        <v>219</v>
      </c>
      <c r="M270" s="244">
        <v>1</v>
      </c>
      <c r="N270" s="245">
        <v>35</v>
      </c>
      <c r="O270" s="243">
        <v>35</v>
      </c>
      <c r="P270" s="243">
        <v>35</v>
      </c>
      <c r="Q270" s="180" t="str">
        <f>IF(PEDIDOS[[#This Row],[Valor do item pago]]=PEDIDOS[[#This Row],[Total Item ]],"PAGO", "")</f>
        <v>PAGO</v>
      </c>
    </row>
    <row r="271" spans="1:17" s="216" customFormat="1" ht="39.950000000000003" customHeight="1" x14ac:dyDescent="0.25">
      <c r="A271" s="231"/>
      <c r="B271" s="240">
        <v>1450</v>
      </c>
      <c r="C271" s="241">
        <v>44048</v>
      </c>
      <c r="D271" s="242" t="s">
        <v>11</v>
      </c>
      <c r="E271" s="240" t="s">
        <v>1775</v>
      </c>
      <c r="F271" s="240" t="s">
        <v>1088</v>
      </c>
      <c r="G271" s="240" t="s">
        <v>1407</v>
      </c>
      <c r="H271" s="240" t="s">
        <v>570</v>
      </c>
      <c r="I271" s="243" t="s">
        <v>1090</v>
      </c>
      <c r="J271" s="243"/>
      <c r="K271" s="243"/>
      <c r="L271" s="240" t="s">
        <v>219</v>
      </c>
      <c r="M271" s="244">
        <v>1</v>
      </c>
      <c r="N271" s="245">
        <v>35</v>
      </c>
      <c r="O271" s="243">
        <v>35</v>
      </c>
      <c r="P271" s="243">
        <v>35</v>
      </c>
      <c r="Q271" s="180" t="str">
        <f>IF(PEDIDOS[[#This Row],[Valor do item pago]]=PEDIDOS[[#This Row],[Total Item ]],"PAGO", "")</f>
        <v>PAGO</v>
      </c>
    </row>
    <row r="272" spans="1:17" s="216" customFormat="1" ht="39.950000000000003" customHeight="1" x14ac:dyDescent="0.25">
      <c r="A272" s="231"/>
      <c r="B272" s="240">
        <v>1449</v>
      </c>
      <c r="C272" s="241">
        <v>44048</v>
      </c>
      <c r="D272" s="242" t="s">
        <v>11</v>
      </c>
      <c r="E272" s="240" t="s">
        <v>1199</v>
      </c>
      <c r="F272" s="240" t="s">
        <v>969</v>
      </c>
      <c r="G272" s="240" t="s">
        <v>1361</v>
      </c>
      <c r="H272" s="240" t="s">
        <v>52</v>
      </c>
      <c r="I272" s="243" t="s">
        <v>971</v>
      </c>
      <c r="J272" s="243"/>
      <c r="K272" s="243"/>
      <c r="L272" s="240" t="s">
        <v>219</v>
      </c>
      <c r="M272" s="244">
        <v>1</v>
      </c>
      <c r="N272" s="245">
        <v>35</v>
      </c>
      <c r="O272" s="243">
        <v>35</v>
      </c>
      <c r="P272" s="243">
        <v>35</v>
      </c>
      <c r="Q272" s="180" t="str">
        <f>IF(PEDIDOS[[#This Row],[Valor do item pago]]=PEDIDOS[[#This Row],[Total Item ]],"PAGO", "")</f>
        <v>PAGO</v>
      </c>
    </row>
    <row r="273" spans="1:17" s="216" customFormat="1" ht="39.950000000000003" customHeight="1" x14ac:dyDescent="0.25">
      <c r="A273" s="231"/>
      <c r="B273" s="240">
        <v>1448</v>
      </c>
      <c r="C273" s="241">
        <v>44048</v>
      </c>
      <c r="D273" s="242" t="s">
        <v>11</v>
      </c>
      <c r="E273" s="240" t="s">
        <v>343</v>
      </c>
      <c r="F273" s="240" t="s">
        <v>826</v>
      </c>
      <c r="G273" s="240" t="s">
        <v>1404</v>
      </c>
      <c r="H273" s="240" t="s">
        <v>441</v>
      </c>
      <c r="I273" s="243" t="s">
        <v>874</v>
      </c>
      <c r="J273" s="243" t="s">
        <v>1817</v>
      </c>
      <c r="K273" s="243"/>
      <c r="L273" s="240" t="s">
        <v>3</v>
      </c>
      <c r="M273" s="244">
        <v>1</v>
      </c>
      <c r="N273" s="245">
        <v>35</v>
      </c>
      <c r="O273" s="243">
        <v>35</v>
      </c>
      <c r="P273" s="243"/>
      <c r="Q273" s="180" t="str">
        <f>IF(PEDIDOS[[#This Row],[Valor do item pago]]=PEDIDOS[[#This Row],[Total Item ]],"PAGO", "")</f>
        <v/>
      </c>
    </row>
    <row r="274" spans="1:17" s="216" customFormat="1" ht="39.950000000000003" customHeight="1" x14ac:dyDescent="0.25">
      <c r="A274" s="231"/>
      <c r="B274" s="240">
        <v>1447</v>
      </c>
      <c r="C274" s="241">
        <v>44048</v>
      </c>
      <c r="D274" s="242" t="s">
        <v>11</v>
      </c>
      <c r="E274" s="240" t="s">
        <v>528</v>
      </c>
      <c r="F274" s="240" t="s">
        <v>527</v>
      </c>
      <c r="G274" s="240" t="s">
        <v>1815</v>
      </c>
      <c r="H274" s="240" t="s">
        <v>651</v>
      </c>
      <c r="I274" s="243" t="s">
        <v>1816</v>
      </c>
      <c r="J274" s="243"/>
      <c r="K274" s="243"/>
      <c r="L274" s="240" t="s">
        <v>219</v>
      </c>
      <c r="M274" s="244">
        <v>1</v>
      </c>
      <c r="N274" s="245">
        <v>35</v>
      </c>
      <c r="O274" s="243">
        <v>35</v>
      </c>
      <c r="P274" s="243"/>
      <c r="Q274" s="180" t="str">
        <f>IF(PEDIDOS[[#This Row],[Valor do item pago]]=PEDIDOS[[#This Row],[Total Item ]],"PAGO", "")</f>
        <v/>
      </c>
    </row>
    <row r="275" spans="1:17" s="216" customFormat="1" ht="39.950000000000003" customHeight="1" x14ac:dyDescent="0.25">
      <c r="A275" s="231"/>
      <c r="B275" s="240">
        <v>1446</v>
      </c>
      <c r="C275" s="241">
        <v>44048</v>
      </c>
      <c r="D275" s="242" t="s">
        <v>11</v>
      </c>
      <c r="E275" s="240" t="s">
        <v>1670</v>
      </c>
      <c r="F275" s="240" t="s">
        <v>1671</v>
      </c>
      <c r="G275" s="240" t="s">
        <v>1672</v>
      </c>
      <c r="H275" s="240" t="s">
        <v>520</v>
      </c>
      <c r="I275" s="243" t="s">
        <v>1673</v>
      </c>
      <c r="J275" s="243"/>
      <c r="K275" s="243"/>
      <c r="L275" s="240" t="s">
        <v>219</v>
      </c>
      <c r="M275" s="244">
        <v>1</v>
      </c>
      <c r="N275" s="245">
        <v>35</v>
      </c>
      <c r="O275" s="243">
        <v>35</v>
      </c>
      <c r="P275" s="243"/>
      <c r="Q275" s="180" t="str">
        <f>IF(PEDIDOS[[#This Row],[Valor do item pago]]=PEDIDOS[[#This Row],[Total Item ]],"PAGO", "")</f>
        <v/>
      </c>
    </row>
    <row r="276" spans="1:17" s="216" customFormat="1" ht="39.950000000000003" customHeight="1" x14ac:dyDescent="0.25">
      <c r="A276" s="231"/>
      <c r="B276" s="240">
        <v>1446</v>
      </c>
      <c r="C276" s="241">
        <v>44048</v>
      </c>
      <c r="D276" s="242" t="s">
        <v>11</v>
      </c>
      <c r="E276" s="240" t="s">
        <v>1670</v>
      </c>
      <c r="F276" s="240" t="s">
        <v>1671</v>
      </c>
      <c r="G276" s="240" t="s">
        <v>1672</v>
      </c>
      <c r="H276" s="240" t="s">
        <v>520</v>
      </c>
      <c r="I276" s="243" t="s">
        <v>1673</v>
      </c>
      <c r="J276" s="243"/>
      <c r="K276" s="243"/>
      <c r="L276" s="240" t="s">
        <v>1</v>
      </c>
      <c r="M276" s="244">
        <v>1</v>
      </c>
      <c r="N276" s="245">
        <v>35</v>
      </c>
      <c r="O276" s="243">
        <v>35</v>
      </c>
      <c r="P276" s="243"/>
      <c r="Q276" s="180" t="str">
        <f>IF(PEDIDOS[[#This Row],[Valor do item pago]]=PEDIDOS[[#This Row],[Total Item ]],"PAGO", "")</f>
        <v/>
      </c>
    </row>
    <row r="277" spans="1:17" s="216" customFormat="1" ht="39.950000000000003" customHeight="1" x14ac:dyDescent="0.25">
      <c r="A277" s="231"/>
      <c r="B277" s="240">
        <v>1445</v>
      </c>
      <c r="C277" s="241">
        <v>44048</v>
      </c>
      <c r="D277" s="242" t="s">
        <v>411</v>
      </c>
      <c r="E277" s="240" t="s">
        <v>1688</v>
      </c>
      <c r="F277" s="240" t="s">
        <v>1689</v>
      </c>
      <c r="G277" s="240" t="s">
        <v>1745</v>
      </c>
      <c r="H277" s="240" t="s">
        <v>84</v>
      </c>
      <c r="I277" s="243" t="s">
        <v>1746</v>
      </c>
      <c r="J277" s="243"/>
      <c r="K277" s="243"/>
      <c r="L277" s="240" t="s">
        <v>3</v>
      </c>
      <c r="M277" s="244">
        <v>1</v>
      </c>
      <c r="N277" s="245">
        <v>35</v>
      </c>
      <c r="O277" s="243">
        <v>35</v>
      </c>
      <c r="P277" s="243">
        <v>35</v>
      </c>
      <c r="Q277" s="180" t="str">
        <f>IF(PEDIDOS[[#This Row],[Valor do item pago]]=PEDIDOS[[#This Row],[Total Item ]],"PAGO", "")</f>
        <v>PAGO</v>
      </c>
    </row>
    <row r="278" spans="1:17" s="216" customFormat="1" ht="39.950000000000003" customHeight="1" x14ac:dyDescent="0.25">
      <c r="A278" s="231"/>
      <c r="B278" s="240">
        <v>1445</v>
      </c>
      <c r="C278" s="241">
        <v>44048</v>
      </c>
      <c r="D278" s="242" t="s">
        <v>411</v>
      </c>
      <c r="E278" s="240" t="s">
        <v>1688</v>
      </c>
      <c r="F278" s="240" t="s">
        <v>1689</v>
      </c>
      <c r="G278" s="240" t="s">
        <v>1745</v>
      </c>
      <c r="H278" s="240" t="s">
        <v>84</v>
      </c>
      <c r="I278" s="243" t="s">
        <v>1746</v>
      </c>
      <c r="J278" s="243"/>
      <c r="K278" s="243"/>
      <c r="L278" s="240" t="s">
        <v>219</v>
      </c>
      <c r="M278" s="244">
        <v>2</v>
      </c>
      <c r="N278" s="245">
        <v>35</v>
      </c>
      <c r="O278" s="243">
        <v>70</v>
      </c>
      <c r="P278" s="243">
        <v>70</v>
      </c>
      <c r="Q278" s="180" t="str">
        <f>IF(PEDIDOS[[#This Row],[Valor do item pago]]=PEDIDOS[[#This Row],[Total Item ]],"PAGO", "")</f>
        <v>PAGO</v>
      </c>
    </row>
    <row r="279" spans="1:17" s="216" customFormat="1" ht="39.950000000000003" customHeight="1" x14ac:dyDescent="0.25">
      <c r="A279" s="231"/>
      <c r="B279" s="240">
        <v>1444</v>
      </c>
      <c r="C279" s="241">
        <v>44048</v>
      </c>
      <c r="D279" s="242" t="s">
        <v>411</v>
      </c>
      <c r="E279" s="240" t="s">
        <v>1747</v>
      </c>
      <c r="F279" s="240" t="s">
        <v>1748</v>
      </c>
      <c r="G279" s="240" t="s">
        <v>1749</v>
      </c>
      <c r="H279" s="240" t="s">
        <v>1750</v>
      </c>
      <c r="I279" s="243" t="s">
        <v>1751</v>
      </c>
      <c r="J279" s="243"/>
      <c r="K279" s="243"/>
      <c r="L279" s="240" t="s">
        <v>3</v>
      </c>
      <c r="M279" s="244">
        <v>1</v>
      </c>
      <c r="N279" s="245">
        <v>35</v>
      </c>
      <c r="O279" s="243">
        <v>35</v>
      </c>
      <c r="P279" s="243">
        <v>35</v>
      </c>
      <c r="Q279" s="180" t="str">
        <f>IF(PEDIDOS[[#This Row],[Valor do item pago]]=PEDIDOS[[#This Row],[Total Item ]],"PAGO", "")</f>
        <v>PAGO</v>
      </c>
    </row>
    <row r="280" spans="1:17" s="216" customFormat="1" ht="39.950000000000003" customHeight="1" x14ac:dyDescent="0.25">
      <c r="A280" s="231"/>
      <c r="B280" s="240">
        <v>1443</v>
      </c>
      <c r="C280" s="241">
        <v>44048</v>
      </c>
      <c r="D280" s="242" t="s">
        <v>411</v>
      </c>
      <c r="E280" s="240" t="s">
        <v>1833</v>
      </c>
      <c r="F280" s="240" t="s">
        <v>1575</v>
      </c>
      <c r="G280" s="240" t="s">
        <v>1733</v>
      </c>
      <c r="H280" s="240" t="s">
        <v>112</v>
      </c>
      <c r="I280" s="243" t="s">
        <v>421</v>
      </c>
      <c r="J280" s="243"/>
      <c r="K280" s="243"/>
      <c r="L280" s="240" t="s">
        <v>219</v>
      </c>
      <c r="M280" s="244">
        <v>1</v>
      </c>
      <c r="N280" s="245">
        <v>35</v>
      </c>
      <c r="O280" s="243">
        <v>35</v>
      </c>
      <c r="P280" s="243"/>
      <c r="Q280" s="180" t="str">
        <f>IF(PEDIDOS[[#This Row],[Valor do item pago]]=PEDIDOS[[#This Row],[Total Item ]],"PAGO", "")</f>
        <v/>
      </c>
    </row>
    <row r="281" spans="1:17" s="216" customFormat="1" ht="39.950000000000003" customHeight="1" x14ac:dyDescent="0.25">
      <c r="A281" s="231"/>
      <c r="B281" s="240">
        <v>1442</v>
      </c>
      <c r="C281" s="241">
        <v>44048</v>
      </c>
      <c r="D281" s="242" t="s">
        <v>411</v>
      </c>
      <c r="E281" s="240" t="s">
        <v>35</v>
      </c>
      <c r="F281" s="240">
        <v>0</v>
      </c>
      <c r="G281" s="240" t="s">
        <v>1386</v>
      </c>
      <c r="H281" s="240">
        <v>0</v>
      </c>
      <c r="I281" s="243">
        <v>0</v>
      </c>
      <c r="J281" s="243" t="s">
        <v>1813</v>
      </c>
      <c r="K281" s="243"/>
      <c r="L281" s="240" t="s">
        <v>3</v>
      </c>
      <c r="M281" s="244">
        <v>2</v>
      </c>
      <c r="N281" s="245">
        <v>35</v>
      </c>
      <c r="O281" s="243">
        <v>70</v>
      </c>
      <c r="P281" s="243">
        <v>70</v>
      </c>
      <c r="Q281" s="180" t="str">
        <f>IF(PEDIDOS[[#This Row],[Valor do item pago]]=PEDIDOS[[#This Row],[Total Item ]],"PAGO", "")</f>
        <v>PAGO</v>
      </c>
    </row>
    <row r="282" spans="1:17" s="216" customFormat="1" ht="39.950000000000003" customHeight="1" x14ac:dyDescent="0.25">
      <c r="A282" s="231"/>
      <c r="B282" s="240">
        <v>1442</v>
      </c>
      <c r="C282" s="241">
        <v>44048</v>
      </c>
      <c r="D282" s="242" t="s">
        <v>411</v>
      </c>
      <c r="E282" s="240" t="s">
        <v>35</v>
      </c>
      <c r="F282" s="240">
        <v>0</v>
      </c>
      <c r="G282" s="240" t="s">
        <v>1386</v>
      </c>
      <c r="H282" s="240">
        <v>0</v>
      </c>
      <c r="I282" s="243">
        <v>0</v>
      </c>
      <c r="J282" s="243" t="s">
        <v>1813</v>
      </c>
      <c r="K282" s="243"/>
      <c r="L282" s="240" t="s">
        <v>219</v>
      </c>
      <c r="M282" s="244">
        <v>1</v>
      </c>
      <c r="N282" s="245">
        <v>35</v>
      </c>
      <c r="O282" s="243">
        <v>35</v>
      </c>
      <c r="P282" s="243">
        <v>35</v>
      </c>
      <c r="Q282" s="180" t="str">
        <f>IF(PEDIDOS[[#This Row],[Valor do item pago]]=PEDIDOS[[#This Row],[Total Item ]],"PAGO", "")</f>
        <v>PAGO</v>
      </c>
    </row>
    <row r="283" spans="1:17" s="216" customFormat="1" ht="39.950000000000003" customHeight="1" x14ac:dyDescent="0.25">
      <c r="A283" s="231"/>
      <c r="B283" s="240">
        <v>1442</v>
      </c>
      <c r="C283" s="241">
        <v>44048</v>
      </c>
      <c r="D283" s="242" t="s">
        <v>411</v>
      </c>
      <c r="E283" s="240" t="s">
        <v>35</v>
      </c>
      <c r="F283" s="240">
        <v>0</v>
      </c>
      <c r="G283" s="240" t="s">
        <v>1386</v>
      </c>
      <c r="H283" s="240">
        <v>0</v>
      </c>
      <c r="I283" s="243">
        <v>0</v>
      </c>
      <c r="J283" s="243" t="s">
        <v>1813</v>
      </c>
      <c r="K283" s="243"/>
      <c r="L283" s="240" t="s">
        <v>1</v>
      </c>
      <c r="M283" s="244">
        <v>2</v>
      </c>
      <c r="N283" s="245">
        <v>35</v>
      </c>
      <c r="O283" s="243">
        <v>70</v>
      </c>
      <c r="P283" s="243">
        <v>70</v>
      </c>
      <c r="Q283" s="180" t="str">
        <f>IF(PEDIDOS[[#This Row],[Valor do item pago]]=PEDIDOS[[#This Row],[Total Item ]],"PAGO", "")</f>
        <v>PAGO</v>
      </c>
    </row>
    <row r="284" spans="1:17" s="216" customFormat="1" ht="39.950000000000003" customHeight="1" x14ac:dyDescent="0.25">
      <c r="A284" s="231"/>
      <c r="B284" s="240">
        <v>1441</v>
      </c>
      <c r="C284" s="241">
        <v>44048</v>
      </c>
      <c r="D284" s="242" t="s">
        <v>411</v>
      </c>
      <c r="E284" s="240" t="s">
        <v>1496</v>
      </c>
      <c r="F284" s="240" t="s">
        <v>1497</v>
      </c>
      <c r="G284" s="240" t="s">
        <v>1505</v>
      </c>
      <c r="H284" s="240" t="s">
        <v>1450</v>
      </c>
      <c r="I284" s="243" t="s">
        <v>1504</v>
      </c>
      <c r="J284" s="243"/>
      <c r="K284" s="243"/>
      <c r="L284" s="240" t="s">
        <v>219</v>
      </c>
      <c r="M284" s="244">
        <v>1</v>
      </c>
      <c r="N284" s="245">
        <v>35</v>
      </c>
      <c r="O284" s="243">
        <v>35</v>
      </c>
      <c r="P284" s="243"/>
      <c r="Q284" s="180" t="str">
        <f>IF(PEDIDOS[[#This Row],[Valor do item pago]]=PEDIDOS[[#This Row],[Total Item ]],"PAGO", "")</f>
        <v/>
      </c>
    </row>
    <row r="285" spans="1:17" s="216" customFormat="1" ht="39.950000000000003" customHeight="1" x14ac:dyDescent="0.25">
      <c r="A285" s="231"/>
      <c r="B285" s="240">
        <v>1440</v>
      </c>
      <c r="C285" s="241">
        <v>44048</v>
      </c>
      <c r="D285" s="242" t="s">
        <v>411</v>
      </c>
      <c r="E285" s="240" t="s">
        <v>1461</v>
      </c>
      <c r="F285" s="240" t="s">
        <v>1180</v>
      </c>
      <c r="G285" s="240" t="s">
        <v>1276</v>
      </c>
      <c r="H285" s="240" t="s">
        <v>398</v>
      </c>
      <c r="I285" s="243" t="s">
        <v>1181</v>
      </c>
      <c r="J285" s="243"/>
      <c r="K285" s="243"/>
      <c r="L285" s="240" t="s">
        <v>3</v>
      </c>
      <c r="M285" s="244">
        <v>1</v>
      </c>
      <c r="N285" s="245">
        <v>35</v>
      </c>
      <c r="O285" s="243">
        <v>35</v>
      </c>
      <c r="P285" s="243">
        <v>35</v>
      </c>
      <c r="Q285" s="180" t="str">
        <f>IF(PEDIDOS[[#This Row],[Valor do item pago]]=PEDIDOS[[#This Row],[Total Item ]],"PAGO", "")</f>
        <v>PAGO</v>
      </c>
    </row>
    <row r="286" spans="1:17" s="216" customFormat="1" ht="39.950000000000003" customHeight="1" x14ac:dyDescent="0.25">
      <c r="A286" s="231"/>
      <c r="B286" s="240">
        <v>1439</v>
      </c>
      <c r="C286" s="241">
        <v>44048</v>
      </c>
      <c r="D286" s="242" t="s">
        <v>411</v>
      </c>
      <c r="E286" s="240" t="s">
        <v>1752</v>
      </c>
      <c r="F286" s="240" t="s">
        <v>1753</v>
      </c>
      <c r="G286" s="240" t="s">
        <v>1754</v>
      </c>
      <c r="H286" s="240" t="s">
        <v>461</v>
      </c>
      <c r="I286" s="243" t="s">
        <v>1755</v>
      </c>
      <c r="J286" s="243"/>
      <c r="K286" s="243"/>
      <c r="L286" s="240" t="s">
        <v>1</v>
      </c>
      <c r="M286" s="244">
        <v>2</v>
      </c>
      <c r="N286" s="245">
        <v>35</v>
      </c>
      <c r="O286" s="243">
        <v>70</v>
      </c>
      <c r="P286" s="243"/>
      <c r="Q286" s="180" t="str">
        <f>IF(PEDIDOS[[#This Row],[Valor do item pago]]=PEDIDOS[[#This Row],[Total Item ]],"PAGO", "")</f>
        <v/>
      </c>
    </row>
    <row r="287" spans="1:17" s="216" customFormat="1" ht="39.950000000000003" customHeight="1" x14ac:dyDescent="0.25">
      <c r="A287" s="231"/>
      <c r="B287" s="240">
        <v>1438</v>
      </c>
      <c r="C287" s="241">
        <v>44048</v>
      </c>
      <c r="D287" s="242" t="s">
        <v>411</v>
      </c>
      <c r="E287" s="240" t="s">
        <v>25</v>
      </c>
      <c r="F287" s="240" t="s">
        <v>1222</v>
      </c>
      <c r="G287" s="240" t="s">
        <v>1411</v>
      </c>
      <c r="H287" s="240" t="s">
        <v>406</v>
      </c>
      <c r="I287" s="243" t="s">
        <v>329</v>
      </c>
      <c r="J287" s="243" t="s">
        <v>1460</v>
      </c>
      <c r="K287" s="243"/>
      <c r="L287" s="240" t="s">
        <v>219</v>
      </c>
      <c r="M287" s="244">
        <v>6</v>
      </c>
      <c r="N287" s="245">
        <v>35</v>
      </c>
      <c r="O287" s="243">
        <v>210</v>
      </c>
      <c r="P287" s="243">
        <v>210</v>
      </c>
      <c r="Q287" s="180" t="str">
        <f>IF(PEDIDOS[[#This Row],[Valor do item pago]]=PEDIDOS[[#This Row],[Total Item ]],"PAGO", "")</f>
        <v>PAGO</v>
      </c>
    </row>
    <row r="288" spans="1:17" s="216" customFormat="1" ht="39.950000000000003" customHeight="1" x14ac:dyDescent="0.25">
      <c r="A288" s="231"/>
      <c r="B288" s="240">
        <v>1437</v>
      </c>
      <c r="C288" s="241">
        <v>44048</v>
      </c>
      <c r="D288" s="242" t="s">
        <v>411</v>
      </c>
      <c r="E288" s="240" t="s">
        <v>622</v>
      </c>
      <c r="F288" s="240" t="s">
        <v>623</v>
      </c>
      <c r="G288" s="240" t="s">
        <v>1323</v>
      </c>
      <c r="H288" s="240" t="s">
        <v>520</v>
      </c>
      <c r="I288" s="243" t="s">
        <v>682</v>
      </c>
      <c r="J288" s="243" t="s">
        <v>965</v>
      </c>
      <c r="K288" s="243"/>
      <c r="L288" s="240" t="s">
        <v>219</v>
      </c>
      <c r="M288" s="244">
        <v>1</v>
      </c>
      <c r="N288" s="245">
        <v>35</v>
      </c>
      <c r="O288" s="243">
        <v>35</v>
      </c>
      <c r="P288" s="243"/>
      <c r="Q288" s="180" t="str">
        <f>IF(PEDIDOS[[#This Row],[Valor do item pago]]=PEDIDOS[[#This Row],[Total Item ]],"PAGO", "")</f>
        <v/>
      </c>
    </row>
    <row r="289" spans="1:17" s="216" customFormat="1" ht="39.950000000000003" customHeight="1" x14ac:dyDescent="0.25">
      <c r="A289" s="231"/>
      <c r="B289" s="240">
        <v>1436</v>
      </c>
      <c r="C289" s="241">
        <v>44048</v>
      </c>
      <c r="D289" s="242" t="s">
        <v>1134</v>
      </c>
      <c r="E289" s="240" t="s">
        <v>1680</v>
      </c>
      <c r="F289" s="240" t="s">
        <v>1691</v>
      </c>
      <c r="G289" s="240" t="s">
        <v>1682</v>
      </c>
      <c r="H289" s="240" t="s">
        <v>645</v>
      </c>
      <c r="I289" s="243" t="s">
        <v>1681</v>
      </c>
      <c r="J289" s="243"/>
      <c r="K289" s="243"/>
      <c r="L289" s="240" t="s">
        <v>1</v>
      </c>
      <c r="M289" s="244">
        <v>1</v>
      </c>
      <c r="N289" s="245">
        <v>35</v>
      </c>
      <c r="O289" s="243">
        <v>35</v>
      </c>
      <c r="P289" s="243">
        <v>35</v>
      </c>
      <c r="Q289" s="180" t="str">
        <f>IF(PEDIDOS[[#This Row],[Valor do item pago]]=PEDIDOS[[#This Row],[Total Item ]],"PAGO", "")</f>
        <v>PAGO</v>
      </c>
    </row>
    <row r="290" spans="1:17" s="216" customFormat="1" ht="39.950000000000003" customHeight="1" x14ac:dyDescent="0.25">
      <c r="A290" s="231"/>
      <c r="B290" s="240">
        <v>1436</v>
      </c>
      <c r="C290" s="241">
        <v>44048</v>
      </c>
      <c r="D290" s="242" t="s">
        <v>1134</v>
      </c>
      <c r="E290" s="240" t="s">
        <v>1680</v>
      </c>
      <c r="F290" s="240" t="s">
        <v>1691</v>
      </c>
      <c r="G290" s="240" t="s">
        <v>1682</v>
      </c>
      <c r="H290" s="240" t="s">
        <v>645</v>
      </c>
      <c r="I290" s="243" t="s">
        <v>1681</v>
      </c>
      <c r="J290" s="243"/>
      <c r="K290" s="243"/>
      <c r="L290" s="240" t="s">
        <v>0</v>
      </c>
      <c r="M290" s="244">
        <v>1</v>
      </c>
      <c r="N290" s="245">
        <v>35</v>
      </c>
      <c r="O290" s="243">
        <v>35</v>
      </c>
      <c r="P290" s="243">
        <v>35</v>
      </c>
      <c r="Q290" s="180" t="str">
        <f>IF(PEDIDOS[[#This Row],[Valor do item pago]]=PEDIDOS[[#This Row],[Total Item ]],"PAGO", "")</f>
        <v>PAGO</v>
      </c>
    </row>
    <row r="291" spans="1:17" s="216" customFormat="1" ht="39.950000000000003" customHeight="1" x14ac:dyDescent="0.25">
      <c r="A291" s="231"/>
      <c r="B291" s="240">
        <v>1435</v>
      </c>
      <c r="C291" s="241">
        <v>44048</v>
      </c>
      <c r="D291" s="242" t="s">
        <v>1192</v>
      </c>
      <c r="E291" s="240" t="s">
        <v>1192</v>
      </c>
      <c r="F291" s="240" t="s">
        <v>1247</v>
      </c>
      <c r="G291" s="240">
        <v>0</v>
      </c>
      <c r="H291" s="240">
        <v>0</v>
      </c>
      <c r="I291" s="243">
        <v>0</v>
      </c>
      <c r="J291" s="243"/>
      <c r="K291" s="243"/>
      <c r="L291" s="240" t="s">
        <v>1</v>
      </c>
      <c r="M291" s="244">
        <v>1</v>
      </c>
      <c r="N291" s="245">
        <v>35</v>
      </c>
      <c r="O291" s="243">
        <v>35</v>
      </c>
      <c r="P291" s="243"/>
      <c r="Q291" s="180" t="str">
        <f>IF(PEDIDOS[[#This Row],[Valor do item pago]]=PEDIDOS[[#This Row],[Total Item ]],"PAGO", "")</f>
        <v/>
      </c>
    </row>
    <row r="292" spans="1:17" s="216" customFormat="1" ht="39.950000000000003" customHeight="1" x14ac:dyDescent="0.25">
      <c r="A292" s="231"/>
      <c r="B292" s="240">
        <v>1435</v>
      </c>
      <c r="C292" s="241">
        <v>44048</v>
      </c>
      <c r="D292" s="242" t="s">
        <v>1192</v>
      </c>
      <c r="E292" s="240" t="s">
        <v>1192</v>
      </c>
      <c r="F292" s="240" t="s">
        <v>1247</v>
      </c>
      <c r="G292" s="240">
        <v>0</v>
      </c>
      <c r="H292" s="240">
        <v>0</v>
      </c>
      <c r="I292" s="243">
        <v>0</v>
      </c>
      <c r="J292" s="243"/>
      <c r="K292" s="243"/>
      <c r="L292" s="240" t="s">
        <v>0</v>
      </c>
      <c r="M292" s="244">
        <v>1</v>
      </c>
      <c r="N292" s="245">
        <v>35</v>
      </c>
      <c r="O292" s="243">
        <v>35</v>
      </c>
      <c r="P292" s="243"/>
      <c r="Q292" s="180" t="str">
        <f>IF(PEDIDOS[[#This Row],[Valor do item pago]]=PEDIDOS[[#This Row],[Total Item ]],"PAGO", "")</f>
        <v/>
      </c>
    </row>
    <row r="293" spans="1:17" s="216" customFormat="1" ht="39.950000000000003" customHeight="1" x14ac:dyDescent="0.25">
      <c r="A293" s="231"/>
      <c r="B293" s="240">
        <v>1433</v>
      </c>
      <c r="C293" s="241">
        <v>44048</v>
      </c>
      <c r="D293" s="242" t="s">
        <v>732</v>
      </c>
      <c r="E293" s="240" t="s">
        <v>732</v>
      </c>
      <c r="F293" s="240" t="s">
        <v>733</v>
      </c>
      <c r="G293" s="240">
        <v>0</v>
      </c>
      <c r="H293" s="240" t="s">
        <v>40</v>
      </c>
      <c r="I293" s="243">
        <v>0</v>
      </c>
      <c r="J293" s="243"/>
      <c r="K293" s="243" t="s">
        <v>40</v>
      </c>
      <c r="L293" s="240" t="s">
        <v>219</v>
      </c>
      <c r="M293" s="244">
        <v>2</v>
      </c>
      <c r="N293" s="245">
        <v>35</v>
      </c>
      <c r="O293" s="243">
        <v>70</v>
      </c>
      <c r="P293" s="243"/>
      <c r="Q293" s="180" t="str">
        <f>IF(PEDIDOS[[#This Row],[Valor do item pago]]=PEDIDOS[[#This Row],[Total Item ]],"PAGO", "")</f>
        <v/>
      </c>
    </row>
    <row r="294" spans="1:17" s="216" customFormat="1" ht="39.950000000000003" customHeight="1" x14ac:dyDescent="0.25">
      <c r="A294" s="231"/>
      <c r="B294" s="240">
        <v>1433</v>
      </c>
      <c r="C294" s="241">
        <v>44048</v>
      </c>
      <c r="D294" s="242" t="s">
        <v>732</v>
      </c>
      <c r="E294" s="240" t="s">
        <v>732</v>
      </c>
      <c r="F294" s="240" t="s">
        <v>733</v>
      </c>
      <c r="G294" s="240">
        <v>0</v>
      </c>
      <c r="H294" s="240" t="s">
        <v>40</v>
      </c>
      <c r="I294" s="243">
        <v>0</v>
      </c>
      <c r="J294" s="243"/>
      <c r="K294" s="243" t="s">
        <v>40</v>
      </c>
      <c r="L294" s="240" t="s">
        <v>1</v>
      </c>
      <c r="M294" s="244">
        <v>1</v>
      </c>
      <c r="N294" s="245">
        <v>35</v>
      </c>
      <c r="O294" s="243">
        <v>35</v>
      </c>
      <c r="P294" s="243"/>
      <c r="Q294" s="180" t="str">
        <f>IF(PEDIDOS[[#This Row],[Valor do item pago]]=PEDIDOS[[#This Row],[Total Item ]],"PAGO", "")</f>
        <v/>
      </c>
    </row>
    <row r="295" spans="1:17" s="216" customFormat="1" ht="39.950000000000003" customHeight="1" x14ac:dyDescent="0.25">
      <c r="A295" s="231"/>
      <c r="B295" s="240">
        <v>1432</v>
      </c>
      <c r="C295" s="241">
        <v>44048</v>
      </c>
      <c r="D295" s="242" t="s">
        <v>1134</v>
      </c>
      <c r="E295" s="240" t="s">
        <v>1692</v>
      </c>
      <c r="F295" s="240" t="s">
        <v>1693</v>
      </c>
      <c r="G295" s="240">
        <v>0</v>
      </c>
      <c r="H295" s="240">
        <v>0</v>
      </c>
      <c r="I295" s="243">
        <v>0</v>
      </c>
      <c r="J295" s="243"/>
      <c r="K295" s="243"/>
      <c r="L295" s="240" t="s">
        <v>3</v>
      </c>
      <c r="M295" s="244">
        <v>1</v>
      </c>
      <c r="N295" s="245">
        <v>35</v>
      </c>
      <c r="O295" s="243">
        <v>35</v>
      </c>
      <c r="P295" s="243"/>
      <c r="Q295" s="180" t="str">
        <f>IF(PEDIDOS[[#This Row],[Valor do item pago]]=PEDIDOS[[#This Row],[Total Item ]],"PAGO", "")</f>
        <v/>
      </c>
    </row>
    <row r="296" spans="1:17" s="216" customFormat="1" ht="39.950000000000003" customHeight="1" x14ac:dyDescent="0.25">
      <c r="A296" s="231"/>
      <c r="B296" s="240">
        <v>1432</v>
      </c>
      <c r="C296" s="241">
        <v>44048</v>
      </c>
      <c r="D296" s="242" t="s">
        <v>1134</v>
      </c>
      <c r="E296" s="240" t="s">
        <v>1692</v>
      </c>
      <c r="F296" s="240" t="s">
        <v>1693</v>
      </c>
      <c r="G296" s="240">
        <v>0</v>
      </c>
      <c r="H296" s="240">
        <v>0</v>
      </c>
      <c r="I296" s="243">
        <v>0</v>
      </c>
      <c r="J296" s="243"/>
      <c r="K296" s="243"/>
      <c r="L296" s="240" t="s">
        <v>1</v>
      </c>
      <c r="M296" s="244">
        <v>1</v>
      </c>
      <c r="N296" s="245">
        <v>35</v>
      </c>
      <c r="O296" s="243">
        <v>35</v>
      </c>
      <c r="P296" s="243"/>
      <c r="Q296" s="180" t="str">
        <f>IF(PEDIDOS[[#This Row],[Valor do item pago]]=PEDIDOS[[#This Row],[Total Item ]],"PAGO", "")</f>
        <v/>
      </c>
    </row>
    <row r="297" spans="1:17" s="216" customFormat="1" ht="39.950000000000003" customHeight="1" x14ac:dyDescent="0.25">
      <c r="A297" s="231"/>
      <c r="B297" s="240">
        <v>1431</v>
      </c>
      <c r="C297" s="241">
        <v>44048</v>
      </c>
      <c r="D297" s="242" t="s">
        <v>24</v>
      </c>
      <c r="E297" s="240" t="s">
        <v>1255</v>
      </c>
      <c r="F297" s="240" t="s">
        <v>1210</v>
      </c>
      <c r="G297" s="240">
        <v>0</v>
      </c>
      <c r="H297" s="240">
        <v>0</v>
      </c>
      <c r="I297" s="243">
        <v>0</v>
      </c>
      <c r="J297" s="243"/>
      <c r="K297" s="243" t="s">
        <v>24</v>
      </c>
      <c r="L297" s="240" t="s">
        <v>3</v>
      </c>
      <c r="M297" s="244">
        <v>2</v>
      </c>
      <c r="N297" s="245">
        <v>35</v>
      </c>
      <c r="O297" s="243">
        <v>70</v>
      </c>
      <c r="P297" s="243"/>
      <c r="Q297" s="180" t="str">
        <f>IF(PEDIDOS[[#This Row],[Valor do item pago]]=PEDIDOS[[#This Row],[Total Item ]],"PAGO", "")</f>
        <v/>
      </c>
    </row>
    <row r="298" spans="1:17" s="216" customFormat="1" ht="39.950000000000003" customHeight="1" x14ac:dyDescent="0.25">
      <c r="A298" s="231"/>
      <c r="B298" s="240">
        <v>1430</v>
      </c>
      <c r="C298" s="241">
        <v>44048</v>
      </c>
      <c r="D298" s="242" t="s">
        <v>24</v>
      </c>
      <c r="E298" s="240" t="s">
        <v>13</v>
      </c>
      <c r="F298" s="240" t="s">
        <v>1491</v>
      </c>
      <c r="G298" s="240" t="s">
        <v>1492</v>
      </c>
      <c r="H298" s="240" t="s">
        <v>1197</v>
      </c>
      <c r="I298" s="243" t="s">
        <v>1493</v>
      </c>
      <c r="J298" s="243"/>
      <c r="K298" s="243" t="s">
        <v>24</v>
      </c>
      <c r="L298" s="240" t="s">
        <v>3</v>
      </c>
      <c r="M298" s="244">
        <v>1</v>
      </c>
      <c r="N298" s="245">
        <v>35</v>
      </c>
      <c r="O298" s="243">
        <v>35</v>
      </c>
      <c r="P298" s="243"/>
      <c r="Q298" s="180" t="str">
        <f>IF(PEDIDOS[[#This Row],[Valor do item pago]]=PEDIDOS[[#This Row],[Total Item ]],"PAGO", "")</f>
        <v/>
      </c>
    </row>
    <row r="299" spans="1:17" s="216" customFormat="1" ht="39.950000000000003" customHeight="1" x14ac:dyDescent="0.25">
      <c r="A299" s="231"/>
      <c r="B299" s="240">
        <v>1430</v>
      </c>
      <c r="C299" s="241">
        <v>44048</v>
      </c>
      <c r="D299" s="242" t="s">
        <v>24</v>
      </c>
      <c r="E299" s="240" t="s">
        <v>13</v>
      </c>
      <c r="F299" s="240" t="s">
        <v>1491</v>
      </c>
      <c r="G299" s="240" t="s">
        <v>1492</v>
      </c>
      <c r="H299" s="240" t="s">
        <v>1197</v>
      </c>
      <c r="I299" s="243" t="s">
        <v>1493</v>
      </c>
      <c r="J299" s="243"/>
      <c r="K299" s="243" t="s">
        <v>24</v>
      </c>
      <c r="L299" s="240" t="s">
        <v>219</v>
      </c>
      <c r="M299" s="244">
        <v>1</v>
      </c>
      <c r="N299" s="245">
        <v>35</v>
      </c>
      <c r="O299" s="243">
        <v>35</v>
      </c>
      <c r="P299" s="243"/>
      <c r="Q299" s="180" t="str">
        <f>IF(PEDIDOS[[#This Row],[Valor do item pago]]=PEDIDOS[[#This Row],[Total Item ]],"PAGO", "")</f>
        <v/>
      </c>
    </row>
    <row r="300" spans="1:17" s="216" customFormat="1" ht="39.950000000000003" customHeight="1" x14ac:dyDescent="0.25">
      <c r="A300" s="231"/>
      <c r="B300" s="240">
        <v>1429</v>
      </c>
      <c r="C300" s="241">
        <v>44048</v>
      </c>
      <c r="D300" s="242" t="s">
        <v>24</v>
      </c>
      <c r="E300" s="240" t="s">
        <v>1518</v>
      </c>
      <c r="F300" s="240" t="s">
        <v>1519</v>
      </c>
      <c r="G300" s="240" t="s">
        <v>1520</v>
      </c>
      <c r="H300" s="240" t="s">
        <v>406</v>
      </c>
      <c r="I300" s="243" t="s">
        <v>1521</v>
      </c>
      <c r="J300" s="243" t="s">
        <v>24</v>
      </c>
      <c r="K300" s="243"/>
      <c r="L300" s="240" t="s">
        <v>219</v>
      </c>
      <c r="M300" s="244">
        <v>2</v>
      </c>
      <c r="N300" s="245">
        <v>35</v>
      </c>
      <c r="O300" s="243">
        <v>70</v>
      </c>
      <c r="P300" s="243"/>
      <c r="Q300" s="180" t="str">
        <f>IF(PEDIDOS[[#This Row],[Valor do item pago]]=PEDIDOS[[#This Row],[Total Item ]],"PAGO", "")</f>
        <v/>
      </c>
    </row>
    <row r="301" spans="1:17" s="216" customFormat="1" ht="39.950000000000003" customHeight="1" x14ac:dyDescent="0.25">
      <c r="A301" s="231"/>
      <c r="B301" s="240">
        <v>1428</v>
      </c>
      <c r="C301" s="241">
        <v>44048</v>
      </c>
      <c r="D301" s="242" t="s">
        <v>24</v>
      </c>
      <c r="E301" s="240" t="s">
        <v>23</v>
      </c>
      <c r="F301" s="240">
        <v>0</v>
      </c>
      <c r="G301" s="240">
        <v>0</v>
      </c>
      <c r="H301" s="240">
        <v>0</v>
      </c>
      <c r="I301" s="243">
        <v>0</v>
      </c>
      <c r="J301" s="243" t="s">
        <v>1812</v>
      </c>
      <c r="K301" s="243"/>
      <c r="L301" s="240" t="s">
        <v>219</v>
      </c>
      <c r="M301" s="244">
        <v>3</v>
      </c>
      <c r="N301" s="245">
        <v>35</v>
      </c>
      <c r="O301" s="243">
        <v>105</v>
      </c>
      <c r="P301" s="243"/>
      <c r="Q301" s="180" t="str">
        <f>IF(PEDIDOS[[#This Row],[Valor do item pago]]=PEDIDOS[[#This Row],[Total Item ]],"PAGO", "")</f>
        <v/>
      </c>
    </row>
    <row r="302" spans="1:17" s="216" customFormat="1" ht="39.950000000000003" customHeight="1" x14ac:dyDescent="0.25">
      <c r="A302" s="231"/>
      <c r="B302" s="240">
        <v>1427</v>
      </c>
      <c r="C302" s="241">
        <v>44048</v>
      </c>
      <c r="D302" s="242" t="s">
        <v>34</v>
      </c>
      <c r="E302" s="240" t="s">
        <v>203</v>
      </c>
      <c r="F302" s="240" t="s">
        <v>1238</v>
      </c>
      <c r="G302" s="240" t="s">
        <v>41</v>
      </c>
      <c r="H302" s="240" t="s">
        <v>441</v>
      </c>
      <c r="I302" s="243" t="s">
        <v>442</v>
      </c>
      <c r="J302" s="243"/>
      <c r="K302" s="243" t="s">
        <v>648</v>
      </c>
      <c r="L302" s="240" t="s">
        <v>1</v>
      </c>
      <c r="M302" s="244">
        <v>3</v>
      </c>
      <c r="N302" s="245">
        <v>35</v>
      </c>
      <c r="O302" s="243">
        <v>105</v>
      </c>
      <c r="P302" s="243"/>
      <c r="Q302" s="180" t="str">
        <f>IF(PEDIDOS[[#This Row],[Valor do item pago]]=PEDIDOS[[#This Row],[Total Item ]],"PAGO", "")</f>
        <v/>
      </c>
    </row>
    <row r="303" spans="1:17" s="216" customFormat="1" ht="39.950000000000003" customHeight="1" x14ac:dyDescent="0.25">
      <c r="A303" s="231"/>
      <c r="B303" s="240">
        <v>1426</v>
      </c>
      <c r="C303" s="241">
        <v>44048</v>
      </c>
      <c r="D303" s="242" t="s">
        <v>1134</v>
      </c>
      <c r="E303" s="240" t="s">
        <v>1583</v>
      </c>
      <c r="F303" s="240" t="s">
        <v>1696</v>
      </c>
      <c r="G303" s="240" t="s">
        <v>437</v>
      </c>
      <c r="H303" s="240" t="s">
        <v>84</v>
      </c>
      <c r="I303" s="243" t="s">
        <v>439</v>
      </c>
      <c r="J303" s="243"/>
      <c r="K303" s="243"/>
      <c r="L303" s="240" t="s">
        <v>219</v>
      </c>
      <c r="M303" s="244">
        <v>3</v>
      </c>
      <c r="N303" s="245">
        <v>35</v>
      </c>
      <c r="O303" s="243">
        <v>105</v>
      </c>
      <c r="P303" s="243"/>
      <c r="Q303" s="180" t="str">
        <f>IF(PEDIDOS[[#This Row],[Valor do item pago]]=PEDIDOS[[#This Row],[Total Item ]],"PAGO", "")</f>
        <v/>
      </c>
    </row>
    <row r="304" spans="1:17" s="216" customFormat="1" ht="39.950000000000003" customHeight="1" x14ac:dyDescent="0.25">
      <c r="A304" s="231"/>
      <c r="B304" s="240">
        <v>1425</v>
      </c>
      <c r="C304" s="241">
        <v>44048</v>
      </c>
      <c r="D304" s="242" t="s">
        <v>1134</v>
      </c>
      <c r="E304" s="240" t="s">
        <v>966</v>
      </c>
      <c r="F304" s="240" t="s">
        <v>1073</v>
      </c>
      <c r="G304" s="240">
        <v>0</v>
      </c>
      <c r="H304" s="240" t="s">
        <v>40</v>
      </c>
      <c r="I304" s="243">
        <v>0</v>
      </c>
      <c r="J304" s="243"/>
      <c r="K304" s="243" t="s">
        <v>1134</v>
      </c>
      <c r="L304" s="240" t="s">
        <v>3</v>
      </c>
      <c r="M304" s="244">
        <v>2</v>
      </c>
      <c r="N304" s="245">
        <v>35</v>
      </c>
      <c r="O304" s="243">
        <v>70</v>
      </c>
      <c r="P304" s="243"/>
      <c r="Q304" s="180" t="str">
        <f>IF(PEDIDOS[[#This Row],[Valor do item pago]]=PEDIDOS[[#This Row],[Total Item ]],"PAGO", "")</f>
        <v/>
      </c>
    </row>
    <row r="305" spans="1:17" s="216" customFormat="1" ht="39.950000000000003" customHeight="1" x14ac:dyDescent="0.25">
      <c r="A305" s="231"/>
      <c r="B305" s="240">
        <v>1425</v>
      </c>
      <c r="C305" s="241">
        <v>44048</v>
      </c>
      <c r="D305" s="242" t="s">
        <v>1134</v>
      </c>
      <c r="E305" s="240" t="s">
        <v>966</v>
      </c>
      <c r="F305" s="240" t="s">
        <v>1073</v>
      </c>
      <c r="G305" s="240">
        <v>0</v>
      </c>
      <c r="H305" s="240" t="s">
        <v>40</v>
      </c>
      <c r="I305" s="243">
        <v>0</v>
      </c>
      <c r="J305" s="243"/>
      <c r="K305" s="243" t="s">
        <v>1134</v>
      </c>
      <c r="L305" s="240" t="s">
        <v>219</v>
      </c>
      <c r="M305" s="244">
        <v>2</v>
      </c>
      <c r="N305" s="245">
        <v>35</v>
      </c>
      <c r="O305" s="243">
        <v>70</v>
      </c>
      <c r="P305" s="243"/>
      <c r="Q305" s="180" t="str">
        <f>IF(PEDIDOS[[#This Row],[Valor do item pago]]=PEDIDOS[[#This Row],[Total Item ]],"PAGO", "")</f>
        <v/>
      </c>
    </row>
    <row r="306" spans="1:17" s="216" customFormat="1" ht="39.950000000000003" customHeight="1" x14ac:dyDescent="0.25">
      <c r="A306" s="231"/>
      <c r="B306" s="240">
        <v>1425</v>
      </c>
      <c r="C306" s="241">
        <v>44048</v>
      </c>
      <c r="D306" s="242" t="s">
        <v>1134</v>
      </c>
      <c r="E306" s="240" t="s">
        <v>966</v>
      </c>
      <c r="F306" s="240" t="s">
        <v>1073</v>
      </c>
      <c r="G306" s="240">
        <v>0</v>
      </c>
      <c r="H306" s="240" t="s">
        <v>40</v>
      </c>
      <c r="I306" s="243">
        <v>0</v>
      </c>
      <c r="J306" s="243"/>
      <c r="K306" s="243" t="s">
        <v>1134</v>
      </c>
      <c r="L306" s="240" t="s">
        <v>1</v>
      </c>
      <c r="M306" s="244">
        <v>2</v>
      </c>
      <c r="N306" s="245">
        <v>35</v>
      </c>
      <c r="O306" s="243">
        <v>70</v>
      </c>
      <c r="P306" s="243"/>
      <c r="Q306" s="180" t="str">
        <f>IF(PEDIDOS[[#This Row],[Valor do item pago]]=PEDIDOS[[#This Row],[Total Item ]],"PAGO", "")</f>
        <v/>
      </c>
    </row>
    <row r="307" spans="1:17" s="216" customFormat="1" ht="39.950000000000003" customHeight="1" x14ac:dyDescent="0.25">
      <c r="A307" s="231"/>
      <c r="B307" s="240">
        <v>1425</v>
      </c>
      <c r="C307" s="241">
        <v>44048</v>
      </c>
      <c r="D307" s="242" t="s">
        <v>1134</v>
      </c>
      <c r="E307" s="240" t="s">
        <v>966</v>
      </c>
      <c r="F307" s="240" t="s">
        <v>1073</v>
      </c>
      <c r="G307" s="240">
        <v>0</v>
      </c>
      <c r="H307" s="240" t="s">
        <v>40</v>
      </c>
      <c r="I307" s="243">
        <v>0</v>
      </c>
      <c r="J307" s="243"/>
      <c r="K307" s="243" t="s">
        <v>1134</v>
      </c>
      <c r="L307" s="240" t="s">
        <v>0</v>
      </c>
      <c r="M307" s="244">
        <v>2</v>
      </c>
      <c r="N307" s="245">
        <v>35</v>
      </c>
      <c r="O307" s="243">
        <v>70</v>
      </c>
      <c r="P307" s="243"/>
      <c r="Q307" s="180" t="str">
        <f>IF(PEDIDOS[[#This Row],[Valor do item pago]]=PEDIDOS[[#This Row],[Total Item ]],"PAGO", "")</f>
        <v/>
      </c>
    </row>
    <row r="308" spans="1:17" s="216" customFormat="1" ht="39.950000000000003" customHeight="1" x14ac:dyDescent="0.25">
      <c r="A308" s="231"/>
      <c r="B308" s="240">
        <v>1424</v>
      </c>
      <c r="C308" s="241">
        <v>44048</v>
      </c>
      <c r="D308" s="242" t="s">
        <v>45</v>
      </c>
      <c r="E308" s="240" t="s">
        <v>948</v>
      </c>
      <c r="F308" s="240" t="s">
        <v>951</v>
      </c>
      <c r="G308" s="240" t="s">
        <v>1444</v>
      </c>
      <c r="H308" s="240" t="s">
        <v>520</v>
      </c>
      <c r="I308" s="243" t="s">
        <v>950</v>
      </c>
      <c r="J308" s="243"/>
      <c r="K308" s="243"/>
      <c r="L308" s="240" t="s">
        <v>1</v>
      </c>
      <c r="M308" s="244">
        <v>1</v>
      </c>
      <c r="N308" s="245">
        <v>35</v>
      </c>
      <c r="O308" s="243">
        <v>35</v>
      </c>
      <c r="P308" s="243"/>
      <c r="Q308" s="180" t="str">
        <f>IF(PEDIDOS[[#This Row],[Valor do item pago]]=PEDIDOS[[#This Row],[Total Item ]],"PAGO", "")</f>
        <v/>
      </c>
    </row>
    <row r="309" spans="1:17" s="216" customFormat="1" ht="39.950000000000003" customHeight="1" x14ac:dyDescent="0.25">
      <c r="A309" s="231"/>
      <c r="B309" s="240">
        <v>1423</v>
      </c>
      <c r="C309" s="241">
        <v>44048</v>
      </c>
      <c r="D309" s="242" t="s">
        <v>45</v>
      </c>
      <c r="E309" s="240" t="s">
        <v>1808</v>
      </c>
      <c r="F309" s="240" t="s">
        <v>1809</v>
      </c>
      <c r="G309" s="240" t="s">
        <v>1811</v>
      </c>
      <c r="H309" s="240" t="s">
        <v>112</v>
      </c>
      <c r="I309" s="243" t="s">
        <v>1810</v>
      </c>
      <c r="J309" s="243"/>
      <c r="K309" s="243"/>
      <c r="L309" s="240" t="s">
        <v>0</v>
      </c>
      <c r="M309" s="244">
        <v>1</v>
      </c>
      <c r="N309" s="245">
        <v>35</v>
      </c>
      <c r="O309" s="243">
        <v>35</v>
      </c>
      <c r="P309" s="243"/>
      <c r="Q309" s="180" t="str">
        <f>IF(PEDIDOS[[#This Row],[Valor do item pago]]=PEDIDOS[[#This Row],[Total Item ]],"PAGO", "")</f>
        <v/>
      </c>
    </row>
    <row r="310" spans="1:17" s="216" customFormat="1" ht="39.950000000000003" customHeight="1" x14ac:dyDescent="0.25">
      <c r="A310" s="231"/>
      <c r="B310" s="240">
        <v>1422</v>
      </c>
      <c r="C310" s="241">
        <v>44048</v>
      </c>
      <c r="D310" s="242" t="s">
        <v>45</v>
      </c>
      <c r="E310" s="240" t="s">
        <v>350</v>
      </c>
      <c r="F310" s="240" t="s">
        <v>1221</v>
      </c>
      <c r="G310" s="240" t="s">
        <v>1366</v>
      </c>
      <c r="H310" s="240" t="s">
        <v>394</v>
      </c>
      <c r="I310" s="243" t="s">
        <v>424</v>
      </c>
      <c r="J310" s="243"/>
      <c r="K310" s="243"/>
      <c r="L310" s="240" t="s">
        <v>0</v>
      </c>
      <c r="M310" s="244">
        <v>1</v>
      </c>
      <c r="N310" s="245">
        <v>35</v>
      </c>
      <c r="O310" s="243">
        <v>35</v>
      </c>
      <c r="P310" s="243"/>
      <c r="Q310" s="180" t="str">
        <f>IF(PEDIDOS[[#This Row],[Valor do item pago]]=PEDIDOS[[#This Row],[Total Item ]],"PAGO", "")</f>
        <v/>
      </c>
    </row>
    <row r="311" spans="1:17" s="216" customFormat="1" ht="39.950000000000003" customHeight="1" x14ac:dyDescent="0.25">
      <c r="A311" s="231"/>
      <c r="B311" s="240">
        <v>1421</v>
      </c>
      <c r="C311" s="241">
        <v>44048</v>
      </c>
      <c r="D311" s="242" t="s">
        <v>231</v>
      </c>
      <c r="E311" s="240" t="s">
        <v>1804</v>
      </c>
      <c r="F311" s="240" t="s">
        <v>1805</v>
      </c>
      <c r="G311" s="240" t="s">
        <v>1806</v>
      </c>
      <c r="H311" s="240" t="s">
        <v>441</v>
      </c>
      <c r="I311" s="243" t="s">
        <v>1807</v>
      </c>
      <c r="J311" s="243"/>
      <c r="K311" s="243"/>
      <c r="L311" s="240" t="s">
        <v>1</v>
      </c>
      <c r="M311" s="244">
        <v>1</v>
      </c>
      <c r="N311" s="245">
        <v>35</v>
      </c>
      <c r="O311" s="243">
        <v>35</v>
      </c>
      <c r="P311" s="243"/>
      <c r="Q311" s="180" t="str">
        <f>IF(PEDIDOS[[#This Row],[Valor do item pago]]=PEDIDOS[[#This Row],[Total Item ]],"PAGO", "")</f>
        <v/>
      </c>
    </row>
    <row r="312" spans="1:17" s="216" customFormat="1" ht="39.950000000000003" customHeight="1" x14ac:dyDescent="0.25">
      <c r="A312" s="231"/>
      <c r="B312" s="240">
        <v>1420</v>
      </c>
      <c r="C312" s="241">
        <v>44048</v>
      </c>
      <c r="D312" s="242" t="s">
        <v>231</v>
      </c>
      <c r="E312" s="240" t="s">
        <v>1801</v>
      </c>
      <c r="F312" s="240" t="s">
        <v>1802</v>
      </c>
      <c r="G312" s="240" t="s">
        <v>1803</v>
      </c>
      <c r="H312" s="240" t="s">
        <v>1202</v>
      </c>
      <c r="I312" s="243" t="s">
        <v>1651</v>
      </c>
      <c r="J312" s="243"/>
      <c r="K312" s="243"/>
      <c r="L312" s="240" t="s">
        <v>1</v>
      </c>
      <c r="M312" s="244">
        <v>1</v>
      </c>
      <c r="N312" s="245">
        <v>35</v>
      </c>
      <c r="O312" s="243">
        <v>35</v>
      </c>
      <c r="P312" s="243">
        <v>35</v>
      </c>
      <c r="Q312" s="180" t="str">
        <f>IF(PEDIDOS[[#This Row],[Valor do item pago]]=PEDIDOS[[#This Row],[Total Item ]],"PAGO", "")</f>
        <v>PAGO</v>
      </c>
    </row>
    <row r="313" spans="1:17" s="216" customFormat="1" ht="39.950000000000003" customHeight="1" x14ac:dyDescent="0.25">
      <c r="A313" s="231"/>
      <c r="B313" s="240">
        <v>1419</v>
      </c>
      <c r="C313" s="241">
        <v>44048</v>
      </c>
      <c r="D313" s="242" t="s">
        <v>231</v>
      </c>
      <c r="E313" s="240" t="s">
        <v>1796</v>
      </c>
      <c r="F313" s="240" t="s">
        <v>1797</v>
      </c>
      <c r="G313" s="240" t="s">
        <v>1798</v>
      </c>
      <c r="H313" s="240" t="s">
        <v>1799</v>
      </c>
      <c r="I313" s="243" t="s">
        <v>1800</v>
      </c>
      <c r="J313" s="243"/>
      <c r="K313" s="243"/>
      <c r="L313" s="240" t="s">
        <v>219</v>
      </c>
      <c r="M313" s="244">
        <v>2</v>
      </c>
      <c r="N313" s="245">
        <v>35</v>
      </c>
      <c r="O313" s="243">
        <v>70</v>
      </c>
      <c r="P313" s="243">
        <v>70</v>
      </c>
      <c r="Q313" s="180" t="str">
        <f>IF(PEDIDOS[[#This Row],[Valor do item pago]]=PEDIDOS[[#This Row],[Total Item ]],"PAGO", "")</f>
        <v>PAGO</v>
      </c>
    </row>
    <row r="314" spans="1:17" s="216" customFormat="1" ht="39.950000000000003" customHeight="1" x14ac:dyDescent="0.25">
      <c r="A314" s="231"/>
      <c r="B314" s="240">
        <v>1418</v>
      </c>
      <c r="C314" s="241">
        <v>44048</v>
      </c>
      <c r="D314" s="242" t="s">
        <v>231</v>
      </c>
      <c r="E314" s="240" t="s">
        <v>1792</v>
      </c>
      <c r="F314" s="240" t="s">
        <v>1793</v>
      </c>
      <c r="G314" s="240" t="s">
        <v>1794</v>
      </c>
      <c r="H314" s="240" t="s">
        <v>1307</v>
      </c>
      <c r="I314" s="243" t="s">
        <v>1795</v>
      </c>
      <c r="J314" s="243"/>
      <c r="K314" s="243"/>
      <c r="L314" s="240" t="s">
        <v>219</v>
      </c>
      <c r="M314" s="244">
        <v>1</v>
      </c>
      <c r="N314" s="245">
        <v>35</v>
      </c>
      <c r="O314" s="243">
        <v>35</v>
      </c>
      <c r="P314" s="243"/>
      <c r="Q314" s="180" t="str">
        <f>IF(PEDIDOS[[#This Row],[Valor do item pago]]=PEDIDOS[[#This Row],[Total Item ]],"PAGO", "")</f>
        <v/>
      </c>
    </row>
    <row r="315" spans="1:17" s="216" customFormat="1" ht="39.950000000000003" customHeight="1" x14ac:dyDescent="0.25">
      <c r="A315" s="231"/>
      <c r="B315" s="240">
        <v>1417</v>
      </c>
      <c r="C315" s="241">
        <v>44048</v>
      </c>
      <c r="D315" s="242" t="s">
        <v>231</v>
      </c>
      <c r="E315" s="240" t="s">
        <v>1789</v>
      </c>
      <c r="F315" s="240" t="s">
        <v>1790</v>
      </c>
      <c r="G315" s="240" t="s">
        <v>1791</v>
      </c>
      <c r="H315" s="240" t="s">
        <v>441</v>
      </c>
      <c r="I315" s="243" t="s">
        <v>1721</v>
      </c>
      <c r="J315" s="243"/>
      <c r="K315" s="243"/>
      <c r="L315" s="240" t="s">
        <v>3</v>
      </c>
      <c r="M315" s="244">
        <v>1</v>
      </c>
      <c r="N315" s="245">
        <v>35</v>
      </c>
      <c r="O315" s="243">
        <v>35</v>
      </c>
      <c r="P315" s="243"/>
      <c r="Q315" s="180" t="str">
        <f>IF(PEDIDOS[[#This Row],[Valor do item pago]]=PEDIDOS[[#This Row],[Total Item ]],"PAGO", "")</f>
        <v/>
      </c>
    </row>
    <row r="316" spans="1:17" s="216" customFormat="1" ht="39.950000000000003" customHeight="1" x14ac:dyDescent="0.25">
      <c r="A316" s="231"/>
      <c r="B316" s="240">
        <v>1416</v>
      </c>
      <c r="C316" s="241">
        <v>44048</v>
      </c>
      <c r="D316" s="242" t="s">
        <v>231</v>
      </c>
      <c r="E316" s="240" t="s">
        <v>1785</v>
      </c>
      <c r="F316" s="240" t="s">
        <v>1786</v>
      </c>
      <c r="G316" s="240" t="s">
        <v>1787</v>
      </c>
      <c r="H316" s="240" t="s">
        <v>115</v>
      </c>
      <c r="I316" s="243" t="s">
        <v>1788</v>
      </c>
      <c r="J316" s="243"/>
      <c r="K316" s="243"/>
      <c r="L316" s="240" t="s">
        <v>3</v>
      </c>
      <c r="M316" s="244">
        <v>1</v>
      </c>
      <c r="N316" s="245">
        <v>35</v>
      </c>
      <c r="O316" s="243">
        <v>35</v>
      </c>
      <c r="P316" s="243"/>
      <c r="Q316" s="180" t="str">
        <f>IF(PEDIDOS[[#This Row],[Valor do item pago]]=PEDIDOS[[#This Row],[Total Item ]],"PAGO", "")</f>
        <v/>
      </c>
    </row>
    <row r="317" spans="1:17" s="216" customFormat="1" ht="39.950000000000003" customHeight="1" x14ac:dyDescent="0.25">
      <c r="A317" s="231"/>
      <c r="B317" s="240">
        <v>1415</v>
      </c>
      <c r="C317" s="241">
        <v>44048</v>
      </c>
      <c r="D317" s="242" t="s">
        <v>231</v>
      </c>
      <c r="E317" s="240" t="s">
        <v>1705</v>
      </c>
      <c r="F317" s="240" t="s">
        <v>1782</v>
      </c>
      <c r="G317" s="240" t="s">
        <v>1783</v>
      </c>
      <c r="H317" s="240" t="s">
        <v>441</v>
      </c>
      <c r="I317" s="243" t="s">
        <v>1784</v>
      </c>
      <c r="J317" s="243"/>
      <c r="K317" s="243"/>
      <c r="L317" s="240" t="s">
        <v>219</v>
      </c>
      <c r="M317" s="244">
        <v>1</v>
      </c>
      <c r="N317" s="245">
        <v>35</v>
      </c>
      <c r="O317" s="243">
        <v>35</v>
      </c>
      <c r="P317" s="243">
        <v>35</v>
      </c>
      <c r="Q317" s="180" t="str">
        <f>IF(PEDIDOS[[#This Row],[Valor do item pago]]=PEDIDOS[[#This Row],[Total Item ]],"PAGO", "")</f>
        <v>PAGO</v>
      </c>
    </row>
    <row r="318" spans="1:17" s="216" customFormat="1" ht="39.950000000000003" customHeight="1" x14ac:dyDescent="0.25">
      <c r="A318" s="231"/>
      <c r="B318" s="240">
        <v>1415</v>
      </c>
      <c r="C318" s="241">
        <v>44048</v>
      </c>
      <c r="D318" s="242" t="s">
        <v>231</v>
      </c>
      <c r="E318" s="240" t="s">
        <v>1705</v>
      </c>
      <c r="F318" s="240" t="s">
        <v>1782</v>
      </c>
      <c r="G318" s="240" t="s">
        <v>1783</v>
      </c>
      <c r="H318" s="240" t="s">
        <v>441</v>
      </c>
      <c r="I318" s="243" t="s">
        <v>1784</v>
      </c>
      <c r="J318" s="243"/>
      <c r="K318" s="243"/>
      <c r="L318" s="240" t="s">
        <v>1</v>
      </c>
      <c r="M318" s="244">
        <v>1</v>
      </c>
      <c r="N318" s="245">
        <v>35</v>
      </c>
      <c r="O318" s="243">
        <v>35</v>
      </c>
      <c r="P318" s="243">
        <v>35</v>
      </c>
      <c r="Q318" s="180" t="str">
        <f>IF(PEDIDOS[[#This Row],[Valor do item pago]]=PEDIDOS[[#This Row],[Total Item ]],"PAGO", "")</f>
        <v>PAGO</v>
      </c>
    </row>
    <row r="319" spans="1:17" s="216" customFormat="1" ht="39.950000000000003" customHeight="1" x14ac:dyDescent="0.25">
      <c r="A319" s="231"/>
      <c r="B319" s="240">
        <v>1414</v>
      </c>
      <c r="C319" s="241">
        <v>44048</v>
      </c>
      <c r="D319" s="242" t="s">
        <v>231</v>
      </c>
      <c r="E319" s="240" t="s">
        <v>1606</v>
      </c>
      <c r="F319" s="240" t="s">
        <v>1781</v>
      </c>
      <c r="G319" s="240">
        <v>0</v>
      </c>
      <c r="H319" s="240">
        <v>0</v>
      </c>
      <c r="I319" s="243">
        <v>0</v>
      </c>
      <c r="J319" s="243"/>
      <c r="K319" s="243" t="s">
        <v>40</v>
      </c>
      <c r="L319" s="240" t="s">
        <v>219</v>
      </c>
      <c r="M319" s="244">
        <v>1</v>
      </c>
      <c r="N319" s="245">
        <v>35</v>
      </c>
      <c r="O319" s="243">
        <v>35</v>
      </c>
      <c r="P319" s="243"/>
      <c r="Q319" s="180" t="str">
        <f>IF(PEDIDOS[[#This Row],[Valor do item pago]]=PEDIDOS[[#This Row],[Total Item ]],"PAGO", "")</f>
        <v/>
      </c>
    </row>
    <row r="320" spans="1:17" s="216" customFormat="1" ht="39.950000000000003" customHeight="1" x14ac:dyDescent="0.25">
      <c r="A320" s="231"/>
      <c r="B320" s="240">
        <v>1413</v>
      </c>
      <c r="C320" s="241">
        <v>44048</v>
      </c>
      <c r="D320" s="242" t="s">
        <v>231</v>
      </c>
      <c r="E320" s="240" t="s">
        <v>1607</v>
      </c>
      <c r="F320" s="240">
        <v>0</v>
      </c>
      <c r="G320" s="240">
        <v>0</v>
      </c>
      <c r="H320" s="240">
        <v>0</v>
      </c>
      <c r="I320" s="243">
        <v>0</v>
      </c>
      <c r="J320" s="243"/>
      <c r="K320" s="243" t="s">
        <v>1134</v>
      </c>
      <c r="L320" s="240" t="s">
        <v>1</v>
      </c>
      <c r="M320" s="244">
        <v>2</v>
      </c>
      <c r="N320" s="245">
        <v>35</v>
      </c>
      <c r="O320" s="243">
        <v>70</v>
      </c>
      <c r="P320" s="243"/>
      <c r="Q320" s="180" t="str">
        <f>IF(PEDIDOS[[#This Row],[Valor do item pago]]=PEDIDOS[[#This Row],[Total Item ]],"PAGO", "")</f>
        <v/>
      </c>
    </row>
    <row r="321" spans="1:17" s="216" customFormat="1" ht="39.950000000000003" customHeight="1" x14ac:dyDescent="0.25">
      <c r="A321" s="231"/>
      <c r="B321" s="240">
        <v>1412</v>
      </c>
      <c r="C321" s="241">
        <v>44048</v>
      </c>
      <c r="D321" s="242" t="s">
        <v>231</v>
      </c>
      <c r="E321" s="240" t="s">
        <v>597</v>
      </c>
      <c r="F321" s="240" t="s">
        <v>703</v>
      </c>
      <c r="G321" s="240" t="s">
        <v>1456</v>
      </c>
      <c r="H321" s="240" t="s">
        <v>84</v>
      </c>
      <c r="I321" s="243" t="s">
        <v>679</v>
      </c>
      <c r="J321" s="243"/>
      <c r="K321" s="243" t="s">
        <v>231</v>
      </c>
      <c r="L321" s="240" t="s">
        <v>219</v>
      </c>
      <c r="M321" s="244">
        <v>1</v>
      </c>
      <c r="N321" s="245">
        <v>35</v>
      </c>
      <c r="O321" s="243">
        <v>35</v>
      </c>
      <c r="P321" s="243">
        <v>35</v>
      </c>
      <c r="Q321" s="180" t="str">
        <f>IF(PEDIDOS[[#This Row],[Valor do item pago]]=PEDIDOS[[#This Row],[Total Item ]],"PAGO", "")</f>
        <v>PAGO</v>
      </c>
    </row>
    <row r="322" spans="1:17" s="216" customFormat="1" ht="39.950000000000003" customHeight="1" x14ac:dyDescent="0.25">
      <c r="A322" s="231"/>
      <c r="B322" s="240">
        <v>1411</v>
      </c>
      <c r="C322" s="241">
        <v>44048</v>
      </c>
      <c r="D322" s="242" t="s">
        <v>231</v>
      </c>
      <c r="E322" s="240" t="s">
        <v>1780</v>
      </c>
      <c r="F322" s="240">
        <v>0</v>
      </c>
      <c r="G322" s="240">
        <v>0</v>
      </c>
      <c r="H322" s="240">
        <v>0</v>
      </c>
      <c r="I322" s="243">
        <v>0</v>
      </c>
      <c r="J322" s="243"/>
      <c r="K322" s="243"/>
      <c r="L322" s="240" t="s">
        <v>1</v>
      </c>
      <c r="M322" s="244">
        <v>1</v>
      </c>
      <c r="N322" s="245">
        <v>35</v>
      </c>
      <c r="O322" s="243">
        <v>35</v>
      </c>
      <c r="P322" s="243"/>
      <c r="Q322" s="180" t="str">
        <f>IF(PEDIDOS[[#This Row],[Valor do item pago]]=PEDIDOS[[#This Row],[Total Item ]],"PAGO", "")</f>
        <v/>
      </c>
    </row>
    <row r="323" spans="1:17" s="216" customFormat="1" ht="39.950000000000003" customHeight="1" x14ac:dyDescent="0.25">
      <c r="A323" s="231"/>
      <c r="B323" s="240">
        <v>1410</v>
      </c>
      <c r="C323" s="241">
        <v>44048</v>
      </c>
      <c r="D323" s="242" t="s">
        <v>231</v>
      </c>
      <c r="E323" s="240" t="s">
        <v>1704</v>
      </c>
      <c r="F323" s="240">
        <v>0</v>
      </c>
      <c r="G323" s="240">
        <v>0</v>
      </c>
      <c r="H323" s="240">
        <v>0</v>
      </c>
      <c r="I323" s="243">
        <v>0</v>
      </c>
      <c r="J323" s="243"/>
      <c r="K323" s="243"/>
      <c r="L323" s="240" t="s">
        <v>3</v>
      </c>
      <c r="M323" s="244">
        <v>2</v>
      </c>
      <c r="N323" s="245">
        <v>35</v>
      </c>
      <c r="O323" s="243">
        <v>70</v>
      </c>
      <c r="P323" s="243"/>
      <c r="Q323" s="180" t="str">
        <f>IF(PEDIDOS[[#This Row],[Valor do item pago]]=PEDIDOS[[#This Row],[Total Item ]],"PAGO", "")</f>
        <v/>
      </c>
    </row>
    <row r="324" spans="1:17" s="216" customFormat="1" ht="39.950000000000003" customHeight="1" x14ac:dyDescent="0.25">
      <c r="A324" s="231"/>
      <c r="B324" s="240">
        <v>1410</v>
      </c>
      <c r="C324" s="241">
        <v>44048</v>
      </c>
      <c r="D324" s="242" t="s">
        <v>231</v>
      </c>
      <c r="E324" s="240" t="s">
        <v>1704</v>
      </c>
      <c r="F324" s="240">
        <v>0</v>
      </c>
      <c r="G324" s="240">
        <v>0</v>
      </c>
      <c r="H324" s="240">
        <v>0</v>
      </c>
      <c r="I324" s="243">
        <v>0</v>
      </c>
      <c r="J324" s="243"/>
      <c r="K324" s="243"/>
      <c r="L324" s="240" t="s">
        <v>1</v>
      </c>
      <c r="M324" s="244">
        <v>2</v>
      </c>
      <c r="N324" s="245">
        <v>35</v>
      </c>
      <c r="O324" s="243">
        <v>70</v>
      </c>
      <c r="P324" s="243"/>
      <c r="Q324" s="180" t="str">
        <f>IF(PEDIDOS[[#This Row],[Valor do item pago]]=PEDIDOS[[#This Row],[Total Item ]],"PAGO", "")</f>
        <v/>
      </c>
    </row>
    <row r="325" spans="1:17" s="216" customFormat="1" ht="39.950000000000003" customHeight="1" x14ac:dyDescent="0.25">
      <c r="A325" s="231"/>
      <c r="B325" s="240">
        <v>1409</v>
      </c>
      <c r="C325" s="241">
        <v>44048</v>
      </c>
      <c r="D325" s="242" t="s">
        <v>231</v>
      </c>
      <c r="E325" s="240" t="s">
        <v>1779</v>
      </c>
      <c r="F325" s="240">
        <v>0</v>
      </c>
      <c r="G325" s="240">
        <v>0</v>
      </c>
      <c r="H325" s="240">
        <v>0</v>
      </c>
      <c r="I325" s="243">
        <v>0</v>
      </c>
      <c r="J325" s="243"/>
      <c r="K325" s="243" t="s">
        <v>231</v>
      </c>
      <c r="L325" s="240" t="s">
        <v>219</v>
      </c>
      <c r="M325" s="244">
        <v>1</v>
      </c>
      <c r="N325" s="245">
        <v>35</v>
      </c>
      <c r="O325" s="243">
        <v>35</v>
      </c>
      <c r="P325" s="243"/>
      <c r="Q325" s="180" t="str">
        <f>IF(PEDIDOS[[#This Row],[Valor do item pago]]=PEDIDOS[[#This Row],[Total Item ]],"PAGO", "")</f>
        <v/>
      </c>
    </row>
    <row r="326" spans="1:17" s="216" customFormat="1" ht="39.950000000000003" customHeight="1" x14ac:dyDescent="0.25">
      <c r="A326" s="231"/>
      <c r="B326" s="240">
        <v>1409</v>
      </c>
      <c r="C326" s="241">
        <v>44048</v>
      </c>
      <c r="D326" s="242" t="s">
        <v>231</v>
      </c>
      <c r="E326" s="240" t="s">
        <v>1779</v>
      </c>
      <c r="F326" s="240">
        <v>0</v>
      </c>
      <c r="G326" s="240">
        <v>0</v>
      </c>
      <c r="H326" s="240">
        <v>0</v>
      </c>
      <c r="I326" s="243">
        <v>0</v>
      </c>
      <c r="J326" s="243"/>
      <c r="K326" s="243" t="s">
        <v>231</v>
      </c>
      <c r="L326" s="240" t="s">
        <v>1</v>
      </c>
      <c r="M326" s="244">
        <v>1</v>
      </c>
      <c r="N326" s="245">
        <v>35</v>
      </c>
      <c r="O326" s="243">
        <v>35</v>
      </c>
      <c r="P326" s="243"/>
      <c r="Q326" s="180" t="str">
        <f>IF(PEDIDOS[[#This Row],[Valor do item pago]]=PEDIDOS[[#This Row],[Total Item ]],"PAGO", "")</f>
        <v/>
      </c>
    </row>
    <row r="327" spans="1:17" s="216" customFormat="1" ht="39.950000000000003" customHeight="1" x14ac:dyDescent="0.25">
      <c r="A327" s="231"/>
      <c r="B327" s="240">
        <v>1408</v>
      </c>
      <c r="C327" s="241">
        <v>44048</v>
      </c>
      <c r="D327" s="242" t="s">
        <v>231</v>
      </c>
      <c r="E327" s="240" t="s">
        <v>1778</v>
      </c>
      <c r="F327" s="240">
        <v>0</v>
      </c>
      <c r="G327" s="240">
        <v>0</v>
      </c>
      <c r="H327" s="240">
        <v>0</v>
      </c>
      <c r="I327" s="243">
        <v>0</v>
      </c>
      <c r="J327" s="243"/>
      <c r="K327" s="243" t="s">
        <v>231</v>
      </c>
      <c r="L327" s="240" t="s">
        <v>219</v>
      </c>
      <c r="M327" s="244">
        <v>1</v>
      </c>
      <c r="N327" s="245">
        <v>35</v>
      </c>
      <c r="O327" s="243">
        <v>35</v>
      </c>
      <c r="P327" s="243"/>
      <c r="Q327" s="180" t="str">
        <f>IF(PEDIDOS[[#This Row],[Valor do item pago]]=PEDIDOS[[#This Row],[Total Item ]],"PAGO", "")</f>
        <v/>
      </c>
    </row>
    <row r="328" spans="1:17" s="216" customFormat="1" ht="39.950000000000003" customHeight="1" x14ac:dyDescent="0.25">
      <c r="A328" s="231"/>
      <c r="B328" s="240">
        <v>1407</v>
      </c>
      <c r="C328" s="241">
        <v>44048</v>
      </c>
      <c r="D328" s="242" t="s">
        <v>231</v>
      </c>
      <c r="E328" s="240" t="s">
        <v>375</v>
      </c>
      <c r="F328" s="240" t="s">
        <v>1065</v>
      </c>
      <c r="G328" s="240">
        <v>0</v>
      </c>
      <c r="H328" s="240" t="s">
        <v>40</v>
      </c>
      <c r="I328" s="243">
        <v>0</v>
      </c>
      <c r="J328" s="243"/>
      <c r="K328" s="243" t="s">
        <v>231</v>
      </c>
      <c r="L328" s="240" t="s">
        <v>1</v>
      </c>
      <c r="M328" s="244">
        <v>1</v>
      </c>
      <c r="N328" s="245">
        <v>35</v>
      </c>
      <c r="O328" s="243">
        <v>35</v>
      </c>
      <c r="P328" s="243">
        <v>35</v>
      </c>
      <c r="Q328" s="180" t="str">
        <f>IF(PEDIDOS[[#This Row],[Valor do item pago]]=PEDIDOS[[#This Row],[Total Item ]],"PAGO", "")</f>
        <v>PAGO</v>
      </c>
    </row>
    <row r="329" spans="1:17" s="216" customFormat="1" ht="39.950000000000003" customHeight="1" x14ac:dyDescent="0.25">
      <c r="A329" s="231"/>
      <c r="B329" s="240">
        <v>1406</v>
      </c>
      <c r="C329" s="241">
        <v>44048</v>
      </c>
      <c r="D329" s="242" t="s">
        <v>1025</v>
      </c>
      <c r="E329" s="240" t="s">
        <v>374</v>
      </c>
      <c r="F329" s="240" t="s">
        <v>1246</v>
      </c>
      <c r="G329" s="240" t="s">
        <v>1422</v>
      </c>
      <c r="H329" s="240" t="s">
        <v>402</v>
      </c>
      <c r="I329" s="243" t="s">
        <v>658</v>
      </c>
      <c r="J329" s="243"/>
      <c r="K329" s="243"/>
      <c r="L329" s="240" t="s">
        <v>1</v>
      </c>
      <c r="M329" s="244">
        <v>1</v>
      </c>
      <c r="N329" s="245">
        <v>35</v>
      </c>
      <c r="O329" s="243">
        <v>35</v>
      </c>
      <c r="P329" s="243"/>
      <c r="Q329" s="180" t="str">
        <f>IF(PEDIDOS[[#This Row],[Valor do item pago]]=PEDIDOS[[#This Row],[Total Item ]],"PAGO", "")</f>
        <v/>
      </c>
    </row>
    <row r="330" spans="1:17" s="216" customFormat="1" ht="39.950000000000003" customHeight="1" x14ac:dyDescent="0.25">
      <c r="A330" s="231"/>
      <c r="B330" s="240">
        <v>1406</v>
      </c>
      <c r="C330" s="241">
        <v>44048</v>
      </c>
      <c r="D330" s="242" t="s">
        <v>1025</v>
      </c>
      <c r="E330" s="240" t="s">
        <v>374</v>
      </c>
      <c r="F330" s="240" t="s">
        <v>1246</v>
      </c>
      <c r="G330" s="240" t="s">
        <v>1422</v>
      </c>
      <c r="H330" s="240" t="s">
        <v>402</v>
      </c>
      <c r="I330" s="243" t="s">
        <v>658</v>
      </c>
      <c r="J330" s="243"/>
      <c r="K330" s="243"/>
      <c r="L330" s="240" t="s">
        <v>0</v>
      </c>
      <c r="M330" s="244">
        <v>1</v>
      </c>
      <c r="N330" s="245">
        <v>35</v>
      </c>
      <c r="O330" s="243">
        <v>35</v>
      </c>
      <c r="P330" s="243"/>
      <c r="Q330" s="180" t="str">
        <f>IF(PEDIDOS[[#This Row],[Valor do item pago]]=PEDIDOS[[#This Row],[Total Item ]],"PAGO", "")</f>
        <v/>
      </c>
    </row>
    <row r="331" spans="1:17" s="216" customFormat="1" ht="39.950000000000003" customHeight="1" x14ac:dyDescent="0.25">
      <c r="A331" s="231"/>
      <c r="B331" s="240">
        <v>1405</v>
      </c>
      <c r="C331" s="241">
        <v>44048</v>
      </c>
      <c r="D331" s="242" t="s">
        <v>1025</v>
      </c>
      <c r="E331" s="240" t="s">
        <v>1286</v>
      </c>
      <c r="F331" s="240">
        <v>0</v>
      </c>
      <c r="G331" s="240">
        <v>0</v>
      </c>
      <c r="H331" s="240">
        <v>0</v>
      </c>
      <c r="I331" s="243">
        <v>0</v>
      </c>
      <c r="J331" s="243"/>
      <c r="K331" s="243" t="s">
        <v>1025</v>
      </c>
      <c r="L331" s="240" t="s">
        <v>1</v>
      </c>
      <c r="M331" s="244">
        <v>1</v>
      </c>
      <c r="N331" s="245">
        <v>35</v>
      </c>
      <c r="O331" s="243">
        <v>35</v>
      </c>
      <c r="P331" s="243"/>
      <c r="Q331" s="180" t="str">
        <f>IF(PEDIDOS[[#This Row],[Valor do item pago]]=PEDIDOS[[#This Row],[Total Item ]],"PAGO", "")</f>
        <v/>
      </c>
    </row>
    <row r="332" spans="1:17" s="216" customFormat="1" ht="39.950000000000003" customHeight="1" x14ac:dyDescent="0.25">
      <c r="A332" s="231"/>
      <c r="B332" s="240">
        <v>1404</v>
      </c>
      <c r="C332" s="241">
        <v>44048</v>
      </c>
      <c r="D332" s="242" t="s">
        <v>1025</v>
      </c>
      <c r="E332" s="240" t="s">
        <v>1620</v>
      </c>
      <c r="F332" s="240" t="s">
        <v>1615</v>
      </c>
      <c r="G332" s="240" t="s">
        <v>1628</v>
      </c>
      <c r="H332" s="240" t="s">
        <v>1378</v>
      </c>
      <c r="I332" s="243" t="s">
        <v>1627</v>
      </c>
      <c r="J332" s="243"/>
      <c r="K332" s="243"/>
      <c r="L332" s="240" t="s">
        <v>1</v>
      </c>
      <c r="M332" s="244">
        <v>1</v>
      </c>
      <c r="N332" s="245">
        <v>35</v>
      </c>
      <c r="O332" s="243">
        <v>35</v>
      </c>
      <c r="P332" s="243"/>
      <c r="Q332" s="180" t="str">
        <f>IF(PEDIDOS[[#This Row],[Valor do item pago]]=PEDIDOS[[#This Row],[Total Item ]],"PAGO", "")</f>
        <v/>
      </c>
    </row>
    <row r="333" spans="1:17" s="216" customFormat="1" ht="39.950000000000003" customHeight="1" x14ac:dyDescent="0.25">
      <c r="A333" s="231"/>
      <c r="B333" s="240">
        <v>1403</v>
      </c>
      <c r="C333" s="241">
        <v>44048</v>
      </c>
      <c r="D333" s="242" t="s">
        <v>1025</v>
      </c>
      <c r="E333" s="240" t="s">
        <v>25</v>
      </c>
      <c r="F333" s="240" t="s">
        <v>1222</v>
      </c>
      <c r="G333" s="240" t="s">
        <v>1411</v>
      </c>
      <c r="H333" s="240" t="s">
        <v>406</v>
      </c>
      <c r="I333" s="243" t="s">
        <v>329</v>
      </c>
      <c r="J333" s="243" t="s">
        <v>1777</v>
      </c>
      <c r="K333" s="243" t="s">
        <v>40</v>
      </c>
      <c r="L333" s="240" t="s">
        <v>219</v>
      </c>
      <c r="M333" s="244">
        <v>2</v>
      </c>
      <c r="N333" s="245">
        <v>35</v>
      </c>
      <c r="O333" s="243">
        <v>70</v>
      </c>
      <c r="P333" s="243"/>
      <c r="Q333" s="180" t="str">
        <f>IF(PEDIDOS[[#This Row],[Valor do item pago]]=PEDIDOS[[#This Row],[Total Item ]],"PAGO", "")</f>
        <v/>
      </c>
    </row>
    <row r="334" spans="1:17" s="216" customFormat="1" ht="39.950000000000003" customHeight="1" x14ac:dyDescent="0.25">
      <c r="A334" s="231"/>
      <c r="B334" s="240">
        <v>1402</v>
      </c>
      <c r="C334" s="241">
        <v>44048</v>
      </c>
      <c r="D334" s="242" t="s">
        <v>231</v>
      </c>
      <c r="E334" s="240" t="s">
        <v>345</v>
      </c>
      <c r="F334" s="240" t="s">
        <v>1216</v>
      </c>
      <c r="G334" s="240">
        <v>0</v>
      </c>
      <c r="H334" s="240">
        <v>0</v>
      </c>
      <c r="I334" s="243">
        <v>0</v>
      </c>
      <c r="J334" s="243"/>
      <c r="K334" s="243" t="s">
        <v>231</v>
      </c>
      <c r="L334" s="240" t="s">
        <v>219</v>
      </c>
      <c r="M334" s="244">
        <v>1</v>
      </c>
      <c r="N334" s="245">
        <v>35</v>
      </c>
      <c r="O334" s="243">
        <v>35</v>
      </c>
      <c r="P334" s="243"/>
      <c r="Q334" s="180" t="str">
        <f>IF(PEDIDOS[[#This Row],[Valor do item pago]]=PEDIDOS[[#This Row],[Total Item ]],"PAGO", "")</f>
        <v/>
      </c>
    </row>
    <row r="335" spans="1:17" s="216" customFormat="1" ht="39.950000000000003" customHeight="1" x14ac:dyDescent="0.25">
      <c r="A335" s="231"/>
      <c r="B335" s="240">
        <v>1402</v>
      </c>
      <c r="C335" s="241">
        <v>44048</v>
      </c>
      <c r="D335" s="242" t="s">
        <v>231</v>
      </c>
      <c r="E335" s="240" t="s">
        <v>345</v>
      </c>
      <c r="F335" s="240" t="s">
        <v>1216</v>
      </c>
      <c r="G335" s="240">
        <v>0</v>
      </c>
      <c r="H335" s="240">
        <v>0</v>
      </c>
      <c r="I335" s="243">
        <v>0</v>
      </c>
      <c r="J335" s="243"/>
      <c r="K335" s="243" t="s">
        <v>231</v>
      </c>
      <c r="L335" s="240" t="s">
        <v>0</v>
      </c>
      <c r="M335" s="244">
        <v>1</v>
      </c>
      <c r="N335" s="245">
        <v>35</v>
      </c>
      <c r="O335" s="243">
        <v>35</v>
      </c>
      <c r="P335" s="243"/>
      <c r="Q335" s="180" t="str">
        <f>IF(PEDIDOS[[#This Row],[Valor do item pago]]=PEDIDOS[[#This Row],[Total Item ]],"PAGO", "")</f>
        <v/>
      </c>
    </row>
    <row r="336" spans="1:17" s="216" customFormat="1" ht="39.950000000000003" customHeight="1" x14ac:dyDescent="0.25">
      <c r="A336" s="231"/>
      <c r="B336" s="240">
        <v>1401</v>
      </c>
      <c r="C336" s="241">
        <v>44048</v>
      </c>
      <c r="D336" s="242" t="s">
        <v>231</v>
      </c>
      <c r="E336" s="240" t="s">
        <v>90</v>
      </c>
      <c r="F336" s="240" t="s">
        <v>806</v>
      </c>
      <c r="G336" s="240">
        <v>0</v>
      </c>
      <c r="H336" s="240" t="s">
        <v>40</v>
      </c>
      <c r="I336" s="243">
        <v>0</v>
      </c>
      <c r="J336" s="243"/>
      <c r="K336" s="243" t="s">
        <v>40</v>
      </c>
      <c r="L336" s="240" t="s">
        <v>1</v>
      </c>
      <c r="M336" s="244">
        <v>3</v>
      </c>
      <c r="N336" s="245">
        <v>35</v>
      </c>
      <c r="O336" s="243">
        <v>105</v>
      </c>
      <c r="P336" s="243"/>
      <c r="Q336" s="180" t="str">
        <f>IF(PEDIDOS[[#This Row],[Valor do item pago]]=PEDIDOS[[#This Row],[Total Item ]],"PAGO", "")</f>
        <v/>
      </c>
    </row>
    <row r="337" spans="1:17" s="216" customFormat="1" ht="39.950000000000003" customHeight="1" x14ac:dyDescent="0.25">
      <c r="A337" s="231"/>
      <c r="B337" s="240">
        <v>1400</v>
      </c>
      <c r="C337" s="241">
        <v>44048</v>
      </c>
      <c r="D337" s="242" t="s">
        <v>231</v>
      </c>
      <c r="E337" s="240" t="s">
        <v>356</v>
      </c>
      <c r="F337" s="240" t="s">
        <v>1774</v>
      </c>
      <c r="G337" s="240" t="s">
        <v>1377</v>
      </c>
      <c r="H337" s="240" t="s">
        <v>1378</v>
      </c>
      <c r="I337" s="243" t="s">
        <v>702</v>
      </c>
      <c r="J337" s="243"/>
      <c r="K337" s="243"/>
      <c r="L337" s="240" t="s">
        <v>219</v>
      </c>
      <c r="M337" s="244">
        <v>1</v>
      </c>
      <c r="N337" s="245">
        <v>35</v>
      </c>
      <c r="O337" s="243">
        <v>35</v>
      </c>
      <c r="P337" s="243">
        <v>35</v>
      </c>
      <c r="Q337" s="180" t="str">
        <f>IF(PEDIDOS[[#This Row],[Valor do item pago]]=PEDIDOS[[#This Row],[Total Item ]],"PAGO", "")</f>
        <v>PAGO</v>
      </c>
    </row>
    <row r="338" spans="1:17" s="216" customFormat="1" ht="39.950000000000003" customHeight="1" x14ac:dyDescent="0.25">
      <c r="A338" s="231"/>
      <c r="B338" s="240">
        <v>1399</v>
      </c>
      <c r="C338" s="241">
        <v>44048</v>
      </c>
      <c r="D338" s="242" t="s">
        <v>49</v>
      </c>
      <c r="E338" s="240" t="s">
        <v>615</v>
      </c>
      <c r="F338" s="240" t="s">
        <v>1242</v>
      </c>
      <c r="G338" s="240" t="s">
        <v>1392</v>
      </c>
      <c r="H338" s="240" t="s">
        <v>1205</v>
      </c>
      <c r="I338" s="243" t="s">
        <v>735</v>
      </c>
      <c r="J338" s="243"/>
      <c r="K338" s="243"/>
      <c r="L338" s="240" t="s">
        <v>3</v>
      </c>
      <c r="M338" s="244">
        <v>1</v>
      </c>
      <c r="N338" s="245">
        <v>35</v>
      </c>
      <c r="O338" s="243">
        <v>35</v>
      </c>
      <c r="P338" s="243">
        <v>35</v>
      </c>
      <c r="Q338" s="180" t="str">
        <f>IF(PEDIDOS[[#This Row],[Valor do item pago]]=PEDIDOS[[#This Row],[Total Item ]],"PAGO", "")</f>
        <v>PAGO</v>
      </c>
    </row>
    <row r="339" spans="1:17" s="216" customFormat="1" ht="39.950000000000003" customHeight="1" x14ac:dyDescent="0.25">
      <c r="A339" s="231"/>
      <c r="B339" s="240">
        <v>1399</v>
      </c>
      <c r="C339" s="241">
        <v>44048</v>
      </c>
      <c r="D339" s="242" t="s">
        <v>49</v>
      </c>
      <c r="E339" s="240" t="s">
        <v>615</v>
      </c>
      <c r="F339" s="240" t="s">
        <v>1242</v>
      </c>
      <c r="G339" s="240" t="s">
        <v>1392</v>
      </c>
      <c r="H339" s="240" t="s">
        <v>1205</v>
      </c>
      <c r="I339" s="243" t="s">
        <v>735</v>
      </c>
      <c r="J339" s="243"/>
      <c r="K339" s="243"/>
      <c r="L339" s="240" t="s">
        <v>1</v>
      </c>
      <c r="M339" s="244">
        <v>1</v>
      </c>
      <c r="N339" s="245">
        <v>35</v>
      </c>
      <c r="O339" s="243">
        <v>35</v>
      </c>
      <c r="P339" s="243">
        <v>35</v>
      </c>
      <c r="Q339" s="180" t="str">
        <f>IF(PEDIDOS[[#This Row],[Valor do item pago]]=PEDIDOS[[#This Row],[Total Item ]],"PAGO", "")</f>
        <v>PAGO</v>
      </c>
    </row>
    <row r="340" spans="1:17" s="216" customFormat="1" ht="39.950000000000003" customHeight="1" x14ac:dyDescent="0.25">
      <c r="A340" s="231"/>
      <c r="B340" s="240">
        <v>1398</v>
      </c>
      <c r="C340" s="241">
        <v>44048</v>
      </c>
      <c r="D340" s="242" t="s">
        <v>49</v>
      </c>
      <c r="E340" s="240" t="s">
        <v>614</v>
      </c>
      <c r="F340" s="240" t="s">
        <v>1220</v>
      </c>
      <c r="G340" s="240" t="s">
        <v>1363</v>
      </c>
      <c r="H340" s="240" t="s">
        <v>393</v>
      </c>
      <c r="I340" s="243" t="s">
        <v>423</v>
      </c>
      <c r="J340" s="243"/>
      <c r="K340" s="243"/>
      <c r="L340" s="240" t="s">
        <v>219</v>
      </c>
      <c r="M340" s="244">
        <v>1</v>
      </c>
      <c r="N340" s="245">
        <v>35</v>
      </c>
      <c r="O340" s="243">
        <v>35</v>
      </c>
      <c r="P340" s="243">
        <v>35</v>
      </c>
      <c r="Q340" s="180" t="str">
        <f>IF(PEDIDOS[[#This Row],[Valor do item pago]]=PEDIDOS[[#This Row],[Total Item ]],"PAGO", "")</f>
        <v>PAGO</v>
      </c>
    </row>
    <row r="341" spans="1:17" s="216" customFormat="1" ht="39.950000000000003" customHeight="1" x14ac:dyDescent="0.25">
      <c r="A341" s="231"/>
      <c r="B341" s="240">
        <v>1397</v>
      </c>
      <c r="C341" s="241">
        <v>44048</v>
      </c>
      <c r="D341" s="242" t="s">
        <v>49</v>
      </c>
      <c r="E341" s="240" t="s">
        <v>611</v>
      </c>
      <c r="F341" s="240" t="s">
        <v>1225</v>
      </c>
      <c r="G341" s="240" t="s">
        <v>1429</v>
      </c>
      <c r="H341" s="240" t="s">
        <v>390</v>
      </c>
      <c r="I341" s="243" t="s">
        <v>253</v>
      </c>
      <c r="J341" s="243" t="s">
        <v>1776</v>
      </c>
      <c r="K341" s="243"/>
      <c r="L341" s="240" t="s">
        <v>3</v>
      </c>
      <c r="M341" s="244">
        <v>1</v>
      </c>
      <c r="N341" s="245">
        <v>35</v>
      </c>
      <c r="O341" s="243">
        <v>35</v>
      </c>
      <c r="P341" s="243"/>
      <c r="Q341" s="180" t="str">
        <f>IF(PEDIDOS[[#This Row],[Valor do item pago]]=PEDIDOS[[#This Row],[Total Item ]],"PAGO", "")</f>
        <v/>
      </c>
    </row>
    <row r="342" spans="1:17" s="216" customFormat="1" ht="39.950000000000003" customHeight="1" x14ac:dyDescent="0.25">
      <c r="A342" s="231"/>
      <c r="B342" s="240">
        <v>1396</v>
      </c>
      <c r="C342" s="241">
        <v>43985</v>
      </c>
      <c r="D342" s="242" t="s">
        <v>1756</v>
      </c>
      <c r="E342" s="240" t="s">
        <v>1436</v>
      </c>
      <c r="F342" s="240" t="s">
        <v>1099</v>
      </c>
      <c r="G342" s="240" t="s">
        <v>1766</v>
      </c>
      <c r="H342" s="240" t="s">
        <v>84</v>
      </c>
      <c r="I342" s="243" t="s">
        <v>1767</v>
      </c>
      <c r="J342" s="243"/>
      <c r="K342" s="243"/>
      <c r="L342" s="240" t="s">
        <v>219</v>
      </c>
      <c r="M342" s="244">
        <v>1</v>
      </c>
      <c r="N342" s="245">
        <v>35</v>
      </c>
      <c r="O342" s="243">
        <v>35</v>
      </c>
      <c r="P342" s="243"/>
      <c r="Q342" s="180" t="str">
        <f>IF(PEDIDOS[[#This Row],[Valor do item pago]]=PEDIDOS[[#This Row],[Total Item ]],"PAGO", "")</f>
        <v/>
      </c>
    </row>
    <row r="343" spans="1:17" s="216" customFormat="1" ht="39.950000000000003" customHeight="1" x14ac:dyDescent="0.25">
      <c r="A343" s="231"/>
      <c r="B343" s="240">
        <v>1396</v>
      </c>
      <c r="C343" s="241">
        <v>43985</v>
      </c>
      <c r="D343" s="242" t="s">
        <v>1756</v>
      </c>
      <c r="E343" s="240" t="s">
        <v>1436</v>
      </c>
      <c r="F343" s="240" t="s">
        <v>1099</v>
      </c>
      <c r="G343" s="240" t="s">
        <v>1766</v>
      </c>
      <c r="H343" s="240" t="s">
        <v>84</v>
      </c>
      <c r="I343" s="243" t="s">
        <v>1767</v>
      </c>
      <c r="J343" s="243"/>
      <c r="K343" s="243"/>
      <c r="L343" s="240" t="s">
        <v>1</v>
      </c>
      <c r="M343" s="244">
        <v>1</v>
      </c>
      <c r="N343" s="245">
        <v>35</v>
      </c>
      <c r="O343" s="243">
        <v>35</v>
      </c>
      <c r="P343" s="243"/>
      <c r="Q343" s="180" t="str">
        <f>IF(PEDIDOS[[#This Row],[Valor do item pago]]=PEDIDOS[[#This Row],[Total Item ]],"PAGO", "")</f>
        <v/>
      </c>
    </row>
    <row r="344" spans="1:17" s="216" customFormat="1" ht="39.950000000000003" customHeight="1" x14ac:dyDescent="0.25">
      <c r="A344" s="231"/>
      <c r="B344" s="240">
        <v>1396</v>
      </c>
      <c r="C344" s="241">
        <v>43985</v>
      </c>
      <c r="D344" s="242" t="s">
        <v>1756</v>
      </c>
      <c r="E344" s="240" t="s">
        <v>1436</v>
      </c>
      <c r="F344" s="240" t="s">
        <v>1099</v>
      </c>
      <c r="G344" s="240" t="s">
        <v>1766</v>
      </c>
      <c r="H344" s="240" t="s">
        <v>84</v>
      </c>
      <c r="I344" s="243" t="s">
        <v>1767</v>
      </c>
      <c r="J344" s="243"/>
      <c r="K344" s="243"/>
      <c r="L344" s="240" t="s">
        <v>0</v>
      </c>
      <c r="M344" s="244">
        <v>1</v>
      </c>
      <c r="N344" s="245">
        <v>35</v>
      </c>
      <c r="O344" s="243">
        <v>35</v>
      </c>
      <c r="P344" s="243"/>
      <c r="Q344" s="180" t="str">
        <f>IF(PEDIDOS[[#This Row],[Valor do item pago]]=PEDIDOS[[#This Row],[Total Item ]],"PAGO", "")</f>
        <v/>
      </c>
    </row>
    <row r="345" spans="1:17" s="216" customFormat="1" ht="39.950000000000003" customHeight="1" x14ac:dyDescent="0.25">
      <c r="A345" s="231"/>
      <c r="B345" s="240">
        <v>1395</v>
      </c>
      <c r="C345" s="241">
        <v>43985</v>
      </c>
      <c r="D345" s="242" t="s">
        <v>11</v>
      </c>
      <c r="E345" s="240" t="s">
        <v>547</v>
      </c>
      <c r="F345" s="240" t="s">
        <v>521</v>
      </c>
      <c r="G345" s="240" t="s">
        <v>1764</v>
      </c>
      <c r="H345" s="240" t="s">
        <v>581</v>
      </c>
      <c r="I345" s="243" t="s">
        <v>1765</v>
      </c>
      <c r="J345" s="243"/>
      <c r="K345" s="243"/>
      <c r="L345" s="240" t="s">
        <v>3</v>
      </c>
      <c r="M345" s="244">
        <v>1</v>
      </c>
      <c r="N345" s="245">
        <v>35</v>
      </c>
      <c r="O345" s="243">
        <v>35</v>
      </c>
      <c r="P345" s="243"/>
      <c r="Q345" s="180" t="str">
        <f>IF(PEDIDOS[[#This Row],[Valor do item pago]]=PEDIDOS[[#This Row],[Total Item ]],"PAGO", "")</f>
        <v/>
      </c>
    </row>
    <row r="346" spans="1:17" s="216" customFormat="1" ht="39.950000000000003" customHeight="1" x14ac:dyDescent="0.25">
      <c r="A346" s="231"/>
      <c r="B346" s="240">
        <v>1394</v>
      </c>
      <c r="C346" s="241">
        <v>43985</v>
      </c>
      <c r="D346" s="242" t="s">
        <v>11</v>
      </c>
      <c r="E346" s="240" t="s">
        <v>1670</v>
      </c>
      <c r="F346" s="240" t="s">
        <v>1671</v>
      </c>
      <c r="G346" s="240" t="s">
        <v>1672</v>
      </c>
      <c r="H346" s="240" t="s">
        <v>520</v>
      </c>
      <c r="I346" s="243" t="s">
        <v>1673</v>
      </c>
      <c r="J346" s="243" t="s">
        <v>1763</v>
      </c>
      <c r="K346" s="243"/>
      <c r="L346" s="240" t="s">
        <v>3</v>
      </c>
      <c r="M346" s="244">
        <v>1</v>
      </c>
      <c r="N346" s="245">
        <v>35</v>
      </c>
      <c r="O346" s="243">
        <v>35</v>
      </c>
      <c r="P346" s="243"/>
      <c r="Q346" s="180" t="str">
        <f>IF(PEDIDOS[[#This Row],[Valor do item pago]]=PEDIDOS[[#This Row],[Total Item ]],"PAGO", "")</f>
        <v/>
      </c>
    </row>
    <row r="347" spans="1:17" s="216" customFormat="1" ht="39.950000000000003" customHeight="1" x14ac:dyDescent="0.25">
      <c r="A347" s="231"/>
      <c r="B347" s="240">
        <v>1394</v>
      </c>
      <c r="C347" s="241">
        <v>43985</v>
      </c>
      <c r="D347" s="242" t="s">
        <v>11</v>
      </c>
      <c r="E347" s="240" t="s">
        <v>1670</v>
      </c>
      <c r="F347" s="240" t="s">
        <v>1671</v>
      </c>
      <c r="G347" s="240" t="s">
        <v>1672</v>
      </c>
      <c r="H347" s="240" t="s">
        <v>520</v>
      </c>
      <c r="I347" s="243" t="s">
        <v>1673</v>
      </c>
      <c r="J347" s="243" t="s">
        <v>1763</v>
      </c>
      <c r="K347" s="243"/>
      <c r="L347" s="240" t="s">
        <v>219</v>
      </c>
      <c r="M347" s="244">
        <v>1</v>
      </c>
      <c r="N347" s="245">
        <v>35</v>
      </c>
      <c r="O347" s="243">
        <v>35</v>
      </c>
      <c r="P347" s="243"/>
      <c r="Q347" s="180" t="str">
        <f>IF(PEDIDOS[[#This Row],[Valor do item pago]]=PEDIDOS[[#This Row],[Total Item ]],"PAGO", "")</f>
        <v/>
      </c>
    </row>
    <row r="348" spans="1:17" s="216" customFormat="1" ht="39.950000000000003" customHeight="1" x14ac:dyDescent="0.25">
      <c r="A348" s="231"/>
      <c r="B348" s="240">
        <v>1394</v>
      </c>
      <c r="C348" s="241">
        <v>43985</v>
      </c>
      <c r="D348" s="242" t="s">
        <v>11</v>
      </c>
      <c r="E348" s="240" t="s">
        <v>1670</v>
      </c>
      <c r="F348" s="240" t="s">
        <v>1671</v>
      </c>
      <c r="G348" s="240" t="s">
        <v>1672</v>
      </c>
      <c r="H348" s="240" t="s">
        <v>520</v>
      </c>
      <c r="I348" s="243" t="s">
        <v>1673</v>
      </c>
      <c r="J348" s="243" t="s">
        <v>1763</v>
      </c>
      <c r="K348" s="243"/>
      <c r="L348" s="240" t="s">
        <v>1</v>
      </c>
      <c r="M348" s="244">
        <v>2</v>
      </c>
      <c r="N348" s="245">
        <v>35</v>
      </c>
      <c r="O348" s="243">
        <v>70</v>
      </c>
      <c r="P348" s="243"/>
      <c r="Q348" s="180" t="str">
        <f>IF(PEDIDOS[[#This Row],[Valor do item pago]]=PEDIDOS[[#This Row],[Total Item ]],"PAGO", "")</f>
        <v/>
      </c>
    </row>
    <row r="349" spans="1:17" s="216" customFormat="1" ht="39.950000000000003" customHeight="1" x14ac:dyDescent="0.25">
      <c r="A349" s="231"/>
      <c r="B349" s="240">
        <v>1393</v>
      </c>
      <c r="C349" s="241">
        <v>43985</v>
      </c>
      <c r="D349" s="242" t="s">
        <v>11</v>
      </c>
      <c r="E349" s="240" t="s">
        <v>1760</v>
      </c>
      <c r="F349" s="240" t="s">
        <v>1761</v>
      </c>
      <c r="G349" s="240" t="s">
        <v>1762</v>
      </c>
      <c r="H349" s="240" t="s">
        <v>723</v>
      </c>
      <c r="I349" s="243" t="s">
        <v>452</v>
      </c>
      <c r="J349" s="243"/>
      <c r="K349" s="243"/>
      <c r="L349" s="240" t="s">
        <v>219</v>
      </c>
      <c r="M349" s="244">
        <v>1</v>
      </c>
      <c r="N349" s="245">
        <v>35</v>
      </c>
      <c r="O349" s="243">
        <v>35</v>
      </c>
      <c r="P349" s="243">
        <v>35</v>
      </c>
      <c r="Q349" s="180" t="str">
        <f>IF(PEDIDOS[[#This Row],[Valor do item pago]]=PEDIDOS[[#This Row],[Total Item ]],"PAGO", "")</f>
        <v>PAGO</v>
      </c>
    </row>
    <row r="350" spans="1:17" s="216" customFormat="1" ht="39.950000000000003" customHeight="1" x14ac:dyDescent="0.25">
      <c r="A350" s="231"/>
      <c r="B350" s="240">
        <v>1392</v>
      </c>
      <c r="C350" s="241">
        <v>43985</v>
      </c>
      <c r="D350" s="242" t="s">
        <v>11</v>
      </c>
      <c r="E350" s="240" t="s">
        <v>1339</v>
      </c>
      <c r="F350" s="240" t="s">
        <v>828</v>
      </c>
      <c r="G350" s="240" t="s">
        <v>1406</v>
      </c>
      <c r="H350" s="240" t="s">
        <v>651</v>
      </c>
      <c r="I350" s="243" t="s">
        <v>831</v>
      </c>
      <c r="J350" s="243"/>
      <c r="K350" s="243"/>
      <c r="L350" s="240" t="s">
        <v>219</v>
      </c>
      <c r="M350" s="244">
        <v>1</v>
      </c>
      <c r="N350" s="245">
        <v>35</v>
      </c>
      <c r="O350" s="243">
        <v>35</v>
      </c>
      <c r="P350" s="243"/>
      <c r="Q350" s="180" t="str">
        <f>IF(PEDIDOS[[#This Row],[Valor do item pago]]=PEDIDOS[[#This Row],[Total Item ]],"PAGO", "")</f>
        <v/>
      </c>
    </row>
    <row r="351" spans="1:17" s="216" customFormat="1" ht="39.950000000000003" customHeight="1" x14ac:dyDescent="0.25">
      <c r="A351" s="231"/>
      <c r="B351" s="240">
        <v>1391</v>
      </c>
      <c r="C351" s="241">
        <v>43985</v>
      </c>
      <c r="D351" s="242" t="s">
        <v>11</v>
      </c>
      <c r="E351" s="240" t="s">
        <v>1199</v>
      </c>
      <c r="F351" s="240" t="s">
        <v>969</v>
      </c>
      <c r="G351" s="240" t="s">
        <v>1361</v>
      </c>
      <c r="H351" s="240" t="s">
        <v>52</v>
      </c>
      <c r="I351" s="243" t="s">
        <v>971</v>
      </c>
      <c r="J351" s="243"/>
      <c r="K351" s="243"/>
      <c r="L351" s="240" t="s">
        <v>219</v>
      </c>
      <c r="M351" s="244">
        <v>1</v>
      </c>
      <c r="N351" s="245">
        <v>35</v>
      </c>
      <c r="O351" s="243">
        <v>35</v>
      </c>
      <c r="P351" s="243">
        <v>35</v>
      </c>
      <c r="Q351" s="180" t="str">
        <f>IF(PEDIDOS[[#This Row],[Valor do item pago]]=PEDIDOS[[#This Row],[Total Item ]],"PAGO", "")</f>
        <v>PAGO</v>
      </c>
    </row>
    <row r="352" spans="1:17" s="216" customFormat="1" ht="39.950000000000003" customHeight="1" x14ac:dyDescent="0.25">
      <c r="A352" s="231"/>
      <c r="B352" s="240">
        <v>1390</v>
      </c>
      <c r="C352" s="241">
        <v>43985</v>
      </c>
      <c r="D352" s="242" t="s">
        <v>11</v>
      </c>
      <c r="E352" s="240" t="s">
        <v>343</v>
      </c>
      <c r="F352" s="240" t="s">
        <v>826</v>
      </c>
      <c r="G352" s="240" t="s">
        <v>1404</v>
      </c>
      <c r="H352" s="240" t="s">
        <v>441</v>
      </c>
      <c r="I352" s="243" t="s">
        <v>874</v>
      </c>
      <c r="J352" s="243"/>
      <c r="K352" s="243"/>
      <c r="L352" s="240" t="s">
        <v>3</v>
      </c>
      <c r="M352" s="244">
        <v>1</v>
      </c>
      <c r="N352" s="245">
        <v>35</v>
      </c>
      <c r="O352" s="243">
        <v>35</v>
      </c>
      <c r="P352" s="243"/>
      <c r="Q352" s="180" t="str">
        <f>IF(PEDIDOS[[#This Row],[Valor do item pago]]=PEDIDOS[[#This Row],[Total Item ]],"PAGO", "")</f>
        <v/>
      </c>
    </row>
    <row r="353" spans="1:17" s="216" customFormat="1" ht="39.950000000000003" customHeight="1" x14ac:dyDescent="0.25">
      <c r="A353" s="231"/>
      <c r="B353" s="240">
        <v>1389</v>
      </c>
      <c r="C353" s="241">
        <v>43985</v>
      </c>
      <c r="D353" s="242" t="s">
        <v>11</v>
      </c>
      <c r="E353" s="240" t="s">
        <v>338</v>
      </c>
      <c r="F353" s="240" t="s">
        <v>1208</v>
      </c>
      <c r="G353" s="240" t="s">
        <v>1400</v>
      </c>
      <c r="H353" s="240" t="s">
        <v>1254</v>
      </c>
      <c r="I353" s="243" t="s">
        <v>654</v>
      </c>
      <c r="J353" s="243" t="s">
        <v>1527</v>
      </c>
      <c r="K353" s="243"/>
      <c r="L353" s="240" t="s">
        <v>1</v>
      </c>
      <c r="M353" s="244">
        <v>1</v>
      </c>
      <c r="N353" s="245">
        <v>35</v>
      </c>
      <c r="O353" s="243">
        <v>35</v>
      </c>
      <c r="P353" s="243"/>
      <c r="Q353" s="180" t="str">
        <f>IF(PEDIDOS[[#This Row],[Valor do item pago]]=PEDIDOS[[#This Row],[Total Item ]],"PAGO", "")</f>
        <v/>
      </c>
    </row>
    <row r="354" spans="1:17" s="216" customFormat="1" ht="39.950000000000003" customHeight="1" x14ac:dyDescent="0.25">
      <c r="A354" s="231"/>
      <c r="B354" s="240">
        <v>1388</v>
      </c>
      <c r="C354" s="241">
        <v>43985</v>
      </c>
      <c r="D354" s="242" t="s">
        <v>11</v>
      </c>
      <c r="E354" s="240" t="s">
        <v>367</v>
      </c>
      <c r="F354" s="240" t="s">
        <v>1237</v>
      </c>
      <c r="G354" s="240" t="s">
        <v>1418</v>
      </c>
      <c r="H354" s="240" t="s">
        <v>392</v>
      </c>
      <c r="I354" s="243" t="s">
        <v>656</v>
      </c>
      <c r="J354" s="243"/>
      <c r="K354" s="243"/>
      <c r="L354" s="240" t="s">
        <v>219</v>
      </c>
      <c r="M354" s="244">
        <v>1</v>
      </c>
      <c r="N354" s="245">
        <v>35</v>
      </c>
      <c r="O354" s="243">
        <v>35</v>
      </c>
      <c r="P354" s="243"/>
      <c r="Q354" s="180" t="str">
        <f>IF(PEDIDOS[[#This Row],[Valor do item pago]]=PEDIDOS[[#This Row],[Total Item ]],"PAGO", "")</f>
        <v/>
      </c>
    </row>
    <row r="355" spans="1:17" s="216" customFormat="1" ht="39.950000000000003" customHeight="1" x14ac:dyDescent="0.25">
      <c r="A355" s="231"/>
      <c r="B355" s="240">
        <v>1388</v>
      </c>
      <c r="C355" s="241">
        <v>43985</v>
      </c>
      <c r="D355" s="242" t="s">
        <v>11</v>
      </c>
      <c r="E355" s="240" t="s">
        <v>367</v>
      </c>
      <c r="F355" s="240" t="s">
        <v>1237</v>
      </c>
      <c r="G355" s="240" t="s">
        <v>1418</v>
      </c>
      <c r="H355" s="240" t="s">
        <v>392</v>
      </c>
      <c r="I355" s="243" t="s">
        <v>656</v>
      </c>
      <c r="J355" s="243"/>
      <c r="K355" s="243"/>
      <c r="L355" s="240" t="s">
        <v>0</v>
      </c>
      <c r="M355" s="244">
        <v>1</v>
      </c>
      <c r="N355" s="245">
        <v>35</v>
      </c>
      <c r="O355" s="243">
        <v>35</v>
      </c>
      <c r="P355" s="243"/>
      <c r="Q355" s="180" t="str">
        <f>IF(PEDIDOS[[#This Row],[Valor do item pago]]=PEDIDOS[[#This Row],[Total Item ]],"PAGO", "")</f>
        <v/>
      </c>
    </row>
    <row r="356" spans="1:17" s="216" customFormat="1" ht="39.950000000000003" customHeight="1" x14ac:dyDescent="0.25">
      <c r="A356" s="231"/>
      <c r="B356" s="240">
        <v>1387</v>
      </c>
      <c r="C356" s="241">
        <v>43985</v>
      </c>
      <c r="D356" s="242" t="s">
        <v>11</v>
      </c>
      <c r="E356" s="240" t="s">
        <v>11</v>
      </c>
      <c r="F356" s="240" t="s">
        <v>882</v>
      </c>
      <c r="G356" s="240" t="s">
        <v>1382</v>
      </c>
      <c r="H356" s="240" t="s">
        <v>441</v>
      </c>
      <c r="I356" s="243" t="s">
        <v>884</v>
      </c>
      <c r="J356" s="243"/>
      <c r="K356" s="243"/>
      <c r="L356" s="240" t="s">
        <v>1</v>
      </c>
      <c r="M356" s="244">
        <v>2</v>
      </c>
      <c r="N356" s="245">
        <v>35</v>
      </c>
      <c r="O356" s="243">
        <v>70</v>
      </c>
      <c r="P356" s="243"/>
      <c r="Q356" s="180" t="str">
        <f>IF(PEDIDOS[[#This Row],[Valor do item pago]]=PEDIDOS[[#This Row],[Total Item ]],"PAGO", "")</f>
        <v/>
      </c>
    </row>
    <row r="357" spans="1:17" s="216" customFormat="1" ht="39.950000000000003" customHeight="1" x14ac:dyDescent="0.25">
      <c r="A357" s="231"/>
      <c r="B357" s="240">
        <v>1386</v>
      </c>
      <c r="C357" s="241">
        <v>43985</v>
      </c>
      <c r="D357" s="242" t="s">
        <v>11</v>
      </c>
      <c r="E357" s="240" t="s">
        <v>1278</v>
      </c>
      <c r="F357" s="240" t="s">
        <v>1757</v>
      </c>
      <c r="G357" s="240" t="s">
        <v>1758</v>
      </c>
      <c r="H357" s="240" t="s">
        <v>1257</v>
      </c>
      <c r="I357" s="243" t="s">
        <v>1759</v>
      </c>
      <c r="J357" s="243"/>
      <c r="K357" s="243"/>
      <c r="L357" s="240" t="s">
        <v>0</v>
      </c>
      <c r="M357" s="244">
        <v>1</v>
      </c>
      <c r="N357" s="245">
        <v>35</v>
      </c>
      <c r="O357" s="243">
        <v>35</v>
      </c>
      <c r="P357" s="243"/>
      <c r="Q357" s="180" t="str">
        <f>IF(PEDIDOS[[#This Row],[Valor do item pago]]=PEDIDOS[[#This Row],[Total Item ]],"PAGO", "")</f>
        <v/>
      </c>
    </row>
    <row r="358" spans="1:17" s="216" customFormat="1" ht="39.950000000000003" customHeight="1" x14ac:dyDescent="0.25">
      <c r="A358" s="231"/>
      <c r="B358" s="240">
        <v>1385</v>
      </c>
      <c r="C358" s="241">
        <v>43985</v>
      </c>
      <c r="D358" s="242" t="s">
        <v>11</v>
      </c>
      <c r="E358" s="240" t="s">
        <v>1262</v>
      </c>
      <c r="F358" s="240">
        <v>0</v>
      </c>
      <c r="G358" s="240">
        <v>0</v>
      </c>
      <c r="H358" s="240">
        <v>0</v>
      </c>
      <c r="I358" s="243">
        <v>0</v>
      </c>
      <c r="J358" s="243"/>
      <c r="K358" s="243" t="s">
        <v>40</v>
      </c>
      <c r="L358" s="240" t="s">
        <v>1</v>
      </c>
      <c r="M358" s="244">
        <v>1</v>
      </c>
      <c r="N358" s="245">
        <v>35</v>
      </c>
      <c r="O358" s="243">
        <v>35</v>
      </c>
      <c r="P358" s="243">
        <v>35</v>
      </c>
      <c r="Q358" s="180" t="str">
        <f>IF(PEDIDOS[[#This Row],[Valor do item pago]]=PEDIDOS[[#This Row],[Total Item ]],"PAGO", "")</f>
        <v>PAGO</v>
      </c>
    </row>
    <row r="359" spans="1:17" s="216" customFormat="1" ht="39.950000000000003" customHeight="1" x14ac:dyDescent="0.25">
      <c r="A359" s="231"/>
      <c r="B359" s="240">
        <v>1384</v>
      </c>
      <c r="C359" s="241">
        <v>43985</v>
      </c>
      <c r="D359" s="242" t="s">
        <v>11</v>
      </c>
      <c r="E359" s="240" t="s">
        <v>1272</v>
      </c>
      <c r="F359" s="240" t="s">
        <v>1227</v>
      </c>
      <c r="G359" s="240" t="s">
        <v>1273</v>
      </c>
      <c r="H359" s="240" t="s">
        <v>1196</v>
      </c>
      <c r="I359" s="243" t="s">
        <v>652</v>
      </c>
      <c r="J359" s="243"/>
      <c r="K359" s="243"/>
      <c r="L359" s="240" t="s">
        <v>1</v>
      </c>
      <c r="M359" s="244">
        <v>1</v>
      </c>
      <c r="N359" s="245">
        <v>35</v>
      </c>
      <c r="O359" s="243">
        <v>35</v>
      </c>
      <c r="P359" s="243"/>
      <c r="Q359" s="180" t="str">
        <f>IF(PEDIDOS[[#This Row],[Valor do item pago]]=PEDIDOS[[#This Row],[Total Item ]],"PAGO", "")</f>
        <v/>
      </c>
    </row>
    <row r="360" spans="1:17" s="216" customFormat="1" ht="39.950000000000003" customHeight="1" x14ac:dyDescent="0.25">
      <c r="A360" s="231"/>
      <c r="B360" s="240">
        <v>1383</v>
      </c>
      <c r="C360" s="241">
        <v>43985</v>
      </c>
      <c r="D360" s="242" t="s">
        <v>11</v>
      </c>
      <c r="E360" s="240" t="s">
        <v>507</v>
      </c>
      <c r="F360" s="240" t="s">
        <v>497</v>
      </c>
      <c r="G360" s="240" t="s">
        <v>1376</v>
      </c>
      <c r="H360" s="240" t="s">
        <v>461</v>
      </c>
      <c r="I360" s="243" t="s">
        <v>659</v>
      </c>
      <c r="J360" s="243"/>
      <c r="K360" s="243"/>
      <c r="L360" s="240" t="s">
        <v>1</v>
      </c>
      <c r="M360" s="244">
        <v>1</v>
      </c>
      <c r="N360" s="245">
        <v>35</v>
      </c>
      <c r="O360" s="243">
        <v>35</v>
      </c>
      <c r="P360" s="243"/>
      <c r="Q360" s="180" t="str">
        <f>IF(PEDIDOS[[#This Row],[Valor do item pago]]=PEDIDOS[[#This Row],[Total Item ]],"PAGO", "")</f>
        <v/>
      </c>
    </row>
    <row r="361" spans="1:17" s="216" customFormat="1" ht="39.950000000000003" customHeight="1" x14ac:dyDescent="0.25">
      <c r="A361" s="231"/>
      <c r="B361" s="240">
        <v>1382</v>
      </c>
      <c r="C361" s="241">
        <v>43985</v>
      </c>
      <c r="D361" s="242" t="s">
        <v>11</v>
      </c>
      <c r="E361" s="240" t="s">
        <v>1259</v>
      </c>
      <c r="F361" s="240" t="s">
        <v>1226</v>
      </c>
      <c r="G361" s="240" t="s">
        <v>1440</v>
      </c>
      <c r="H361" s="240" t="s">
        <v>390</v>
      </c>
      <c r="I361" s="243" t="s">
        <v>251</v>
      </c>
      <c r="J361" s="243"/>
      <c r="K361" s="243"/>
      <c r="L361" s="240" t="s">
        <v>3</v>
      </c>
      <c r="M361" s="244">
        <v>1</v>
      </c>
      <c r="N361" s="245">
        <v>35</v>
      </c>
      <c r="O361" s="243">
        <v>35</v>
      </c>
      <c r="P361" s="243"/>
      <c r="Q361" s="180" t="str">
        <f>IF(PEDIDOS[[#This Row],[Valor do item pago]]=PEDIDOS[[#This Row],[Total Item ]],"PAGO", "")</f>
        <v/>
      </c>
    </row>
    <row r="362" spans="1:17" s="216" customFormat="1" ht="39.950000000000003" customHeight="1" x14ac:dyDescent="0.25">
      <c r="A362" s="231"/>
      <c r="B362" s="240">
        <v>1381</v>
      </c>
      <c r="C362" s="241">
        <v>43985</v>
      </c>
      <c r="D362" s="242" t="s">
        <v>11</v>
      </c>
      <c r="E362" s="240" t="s">
        <v>1555</v>
      </c>
      <c r="F362" s="240" t="s">
        <v>1556</v>
      </c>
      <c r="G362" s="240" t="s">
        <v>1640</v>
      </c>
      <c r="H362" s="240" t="s">
        <v>461</v>
      </c>
      <c r="I362" s="243" t="s">
        <v>1641</v>
      </c>
      <c r="J362" s="243"/>
      <c r="K362" s="243"/>
      <c r="L362" s="240" t="s">
        <v>219</v>
      </c>
      <c r="M362" s="244">
        <v>1</v>
      </c>
      <c r="N362" s="245">
        <v>35</v>
      </c>
      <c r="O362" s="243">
        <v>35</v>
      </c>
      <c r="P362" s="243">
        <v>35</v>
      </c>
      <c r="Q362" s="180" t="str">
        <f>IF(PEDIDOS[[#This Row],[Valor do item pago]]=PEDIDOS[[#This Row],[Total Item ]],"PAGO", "")</f>
        <v>PAGO</v>
      </c>
    </row>
    <row r="363" spans="1:17" s="216" customFormat="1" ht="39.950000000000003" customHeight="1" x14ac:dyDescent="0.25">
      <c r="A363" s="231"/>
      <c r="B363" s="240">
        <v>1380</v>
      </c>
      <c r="C363" s="241">
        <v>43985</v>
      </c>
      <c r="D363" s="242" t="s">
        <v>11</v>
      </c>
      <c r="E363" s="240" t="s">
        <v>1470</v>
      </c>
      <c r="F363" s="240" t="s">
        <v>1475</v>
      </c>
      <c r="G363" s="240" t="s">
        <v>1480</v>
      </c>
      <c r="H363" s="240" t="s">
        <v>441</v>
      </c>
      <c r="I363" s="243" t="s">
        <v>1487</v>
      </c>
      <c r="J363" s="243"/>
      <c r="K363" s="243"/>
      <c r="L363" s="240" t="s">
        <v>1</v>
      </c>
      <c r="M363" s="244">
        <v>1</v>
      </c>
      <c r="N363" s="245">
        <v>35</v>
      </c>
      <c r="O363" s="243">
        <v>35</v>
      </c>
      <c r="P363" s="243"/>
      <c r="Q363" s="180" t="str">
        <f>IF(PEDIDOS[[#This Row],[Valor do item pago]]=PEDIDOS[[#This Row],[Total Item ]],"PAGO", "")</f>
        <v/>
      </c>
    </row>
    <row r="364" spans="1:17" s="216" customFormat="1" ht="39.950000000000003" customHeight="1" x14ac:dyDescent="0.25">
      <c r="A364" s="231"/>
      <c r="B364" s="240">
        <v>1379</v>
      </c>
      <c r="C364" s="241">
        <v>43985</v>
      </c>
      <c r="D364" s="242" t="s">
        <v>11</v>
      </c>
      <c r="E364" s="240" t="s">
        <v>1188</v>
      </c>
      <c r="F364" s="240" t="s">
        <v>1241</v>
      </c>
      <c r="G364" s="240" t="s">
        <v>1350</v>
      </c>
      <c r="H364" s="240" t="s">
        <v>401</v>
      </c>
      <c r="I364" s="243" t="s">
        <v>445</v>
      </c>
      <c r="J364" s="243"/>
      <c r="K364" s="243"/>
      <c r="L364" s="240" t="s">
        <v>1</v>
      </c>
      <c r="M364" s="244">
        <v>2</v>
      </c>
      <c r="N364" s="245">
        <v>35</v>
      </c>
      <c r="O364" s="243">
        <v>70</v>
      </c>
      <c r="P364" s="243"/>
      <c r="Q364" s="180" t="str">
        <f>IF(PEDIDOS[[#This Row],[Valor do item pago]]=PEDIDOS[[#This Row],[Total Item ]],"PAGO", "")</f>
        <v/>
      </c>
    </row>
    <row r="365" spans="1:17" s="216" customFormat="1" ht="39.950000000000003" customHeight="1" x14ac:dyDescent="0.25">
      <c r="A365" s="231"/>
      <c r="B365" s="240">
        <v>1378</v>
      </c>
      <c r="C365" s="241">
        <v>43985</v>
      </c>
      <c r="D365" s="242" t="s">
        <v>11</v>
      </c>
      <c r="E365" s="240" t="s">
        <v>513</v>
      </c>
      <c r="F365" s="240" t="s">
        <v>514</v>
      </c>
      <c r="G365" s="240" t="s">
        <v>1419</v>
      </c>
      <c r="H365" s="240" t="s">
        <v>1455</v>
      </c>
      <c r="I365" s="243" t="s">
        <v>661</v>
      </c>
      <c r="J365" s="243"/>
      <c r="K365" s="243"/>
      <c r="L365" s="240" t="s">
        <v>219</v>
      </c>
      <c r="M365" s="244">
        <v>1</v>
      </c>
      <c r="N365" s="245">
        <v>35</v>
      </c>
      <c r="O365" s="243">
        <v>35</v>
      </c>
      <c r="P365" s="243"/>
      <c r="Q365" s="180" t="str">
        <f>IF(PEDIDOS[[#This Row],[Valor do item pago]]=PEDIDOS[[#This Row],[Total Item ]],"PAGO", "")</f>
        <v/>
      </c>
    </row>
    <row r="366" spans="1:17" s="216" customFormat="1" ht="39.950000000000003" customHeight="1" x14ac:dyDescent="0.25">
      <c r="A366" s="231"/>
      <c r="B366" s="240">
        <v>1378</v>
      </c>
      <c r="C366" s="241">
        <v>43985</v>
      </c>
      <c r="D366" s="242" t="s">
        <v>11</v>
      </c>
      <c r="E366" s="240" t="s">
        <v>513</v>
      </c>
      <c r="F366" s="240" t="s">
        <v>514</v>
      </c>
      <c r="G366" s="240" t="s">
        <v>1419</v>
      </c>
      <c r="H366" s="240" t="s">
        <v>1455</v>
      </c>
      <c r="I366" s="243" t="s">
        <v>661</v>
      </c>
      <c r="J366" s="243"/>
      <c r="K366" s="243"/>
      <c r="L366" s="240" t="s">
        <v>1</v>
      </c>
      <c r="M366" s="244">
        <v>1</v>
      </c>
      <c r="N366" s="245">
        <v>35</v>
      </c>
      <c r="O366" s="243">
        <v>35</v>
      </c>
      <c r="P366" s="243"/>
      <c r="Q366" s="180" t="str">
        <f>IF(PEDIDOS[[#This Row],[Valor do item pago]]=PEDIDOS[[#This Row],[Total Item ]],"PAGO", "")</f>
        <v/>
      </c>
    </row>
    <row r="367" spans="1:17" s="216" customFormat="1" ht="39.950000000000003" customHeight="1" x14ac:dyDescent="0.25">
      <c r="A367" s="231"/>
      <c r="B367" s="240">
        <v>1376</v>
      </c>
      <c r="C367" s="241">
        <v>43985</v>
      </c>
      <c r="D367" s="242" t="s">
        <v>34</v>
      </c>
      <c r="E367" s="240" t="s">
        <v>1768</v>
      </c>
      <c r="F367" s="240" t="s">
        <v>589</v>
      </c>
      <c r="G367" s="240" t="s">
        <v>1770</v>
      </c>
      <c r="H367" s="240" t="s">
        <v>1771</v>
      </c>
      <c r="I367" s="243" t="s">
        <v>1772</v>
      </c>
      <c r="J367" s="243"/>
      <c r="K367" s="243"/>
      <c r="L367" s="240" t="s">
        <v>1</v>
      </c>
      <c r="M367" s="244">
        <v>1</v>
      </c>
      <c r="N367" s="245">
        <v>35</v>
      </c>
      <c r="O367" s="243">
        <v>35</v>
      </c>
      <c r="P367" s="243"/>
      <c r="Q367" s="180" t="str">
        <f>IF(PEDIDOS[[#This Row],[Valor do item pago]]=PEDIDOS[[#This Row],[Total Item ]],"PAGO", "")</f>
        <v/>
      </c>
    </row>
    <row r="368" spans="1:17" s="216" customFormat="1" ht="39.950000000000003" customHeight="1" x14ac:dyDescent="0.25">
      <c r="A368" s="231"/>
      <c r="B368" s="240">
        <v>1376</v>
      </c>
      <c r="C368" s="241">
        <v>43985</v>
      </c>
      <c r="D368" s="242" t="s">
        <v>34</v>
      </c>
      <c r="E368" s="240" t="s">
        <v>594</v>
      </c>
      <c r="F368" s="240" t="s">
        <v>1449</v>
      </c>
      <c r="G368" s="240" t="s">
        <v>1769</v>
      </c>
      <c r="H368" s="240" t="s">
        <v>112</v>
      </c>
      <c r="I368" s="243" t="s">
        <v>413</v>
      </c>
      <c r="J368" s="243"/>
      <c r="K368" s="243"/>
      <c r="L368" s="240" t="s">
        <v>1</v>
      </c>
      <c r="M368" s="244">
        <v>1</v>
      </c>
      <c r="N368" s="245">
        <v>35</v>
      </c>
      <c r="O368" s="243">
        <v>35</v>
      </c>
      <c r="P368" s="243"/>
      <c r="Q368" s="180" t="str">
        <f>IF(PEDIDOS[[#This Row],[Valor do item pago]]=PEDIDOS[[#This Row],[Total Item ]],"PAGO", "")</f>
        <v/>
      </c>
    </row>
    <row r="369" spans="1:17" s="216" customFormat="1" ht="39.950000000000003" customHeight="1" x14ac:dyDescent="0.25">
      <c r="A369" s="231"/>
      <c r="B369" s="240">
        <v>1375</v>
      </c>
      <c r="C369" s="241">
        <v>43985</v>
      </c>
      <c r="D369" s="242" t="s">
        <v>34</v>
      </c>
      <c r="E369" s="240" t="s">
        <v>203</v>
      </c>
      <c r="F369" s="240" t="s">
        <v>1238</v>
      </c>
      <c r="G369" s="240" t="s">
        <v>41</v>
      </c>
      <c r="H369" s="240" t="s">
        <v>441</v>
      </c>
      <c r="I369" s="243" t="s">
        <v>442</v>
      </c>
      <c r="J369" s="243"/>
      <c r="K369" s="243" t="s">
        <v>648</v>
      </c>
      <c r="L369" s="240" t="s">
        <v>1</v>
      </c>
      <c r="M369" s="244">
        <v>1</v>
      </c>
      <c r="N369" s="245">
        <v>40</v>
      </c>
      <c r="O369" s="243">
        <v>40</v>
      </c>
      <c r="P369" s="243"/>
      <c r="Q369" s="180" t="str">
        <f>IF(PEDIDOS[[#This Row],[Valor do item pago]]=PEDIDOS[[#This Row],[Total Item ]],"PAGO", "")</f>
        <v/>
      </c>
    </row>
    <row r="370" spans="1:17" s="216" customFormat="1" ht="39.950000000000003" customHeight="1" x14ac:dyDescent="0.25">
      <c r="A370" s="231"/>
      <c r="B370" s="240">
        <v>1375</v>
      </c>
      <c r="C370" s="241">
        <v>43985</v>
      </c>
      <c r="D370" s="242" t="s">
        <v>34</v>
      </c>
      <c r="E370" s="240" t="s">
        <v>203</v>
      </c>
      <c r="F370" s="240" t="s">
        <v>1238</v>
      </c>
      <c r="G370" s="240" t="s">
        <v>41</v>
      </c>
      <c r="H370" s="240" t="s">
        <v>441</v>
      </c>
      <c r="I370" s="243" t="s">
        <v>442</v>
      </c>
      <c r="J370" s="243"/>
      <c r="K370" s="243" t="s">
        <v>648</v>
      </c>
      <c r="L370" s="240" t="s">
        <v>0</v>
      </c>
      <c r="M370" s="244">
        <v>1</v>
      </c>
      <c r="N370" s="245">
        <v>40</v>
      </c>
      <c r="O370" s="243">
        <v>40</v>
      </c>
      <c r="P370" s="243"/>
      <c r="Q370" s="180" t="str">
        <f>IF(PEDIDOS[[#This Row],[Valor do item pago]]=PEDIDOS[[#This Row],[Total Item ]],"PAGO", "")</f>
        <v/>
      </c>
    </row>
    <row r="371" spans="1:17" s="216" customFormat="1" ht="39.950000000000003" customHeight="1" x14ac:dyDescent="0.25">
      <c r="A371" s="231"/>
      <c r="B371" s="240">
        <v>1374</v>
      </c>
      <c r="C371" s="241">
        <v>43985</v>
      </c>
      <c r="D371" s="242" t="s">
        <v>411</v>
      </c>
      <c r="E371" s="240" t="s">
        <v>1747</v>
      </c>
      <c r="F371" s="240" t="s">
        <v>1748</v>
      </c>
      <c r="G371" s="240" t="s">
        <v>1749</v>
      </c>
      <c r="H371" s="240" t="s">
        <v>1750</v>
      </c>
      <c r="I371" s="243" t="s">
        <v>1751</v>
      </c>
      <c r="J371" s="243"/>
      <c r="K371" s="243"/>
      <c r="L371" s="240" t="s">
        <v>3</v>
      </c>
      <c r="M371" s="244">
        <v>1</v>
      </c>
      <c r="N371" s="245">
        <v>40</v>
      </c>
      <c r="O371" s="243">
        <v>40</v>
      </c>
      <c r="P371" s="243">
        <v>40</v>
      </c>
      <c r="Q371" s="180" t="str">
        <f>IF(PEDIDOS[[#This Row],[Valor do item pago]]=PEDIDOS[[#This Row],[Total Item ]],"PAGO", "")</f>
        <v>PAGO</v>
      </c>
    </row>
    <row r="372" spans="1:17" s="216" customFormat="1" ht="39.950000000000003" customHeight="1" x14ac:dyDescent="0.25">
      <c r="A372" s="231"/>
      <c r="B372" s="240">
        <v>1373</v>
      </c>
      <c r="C372" s="241">
        <v>43985</v>
      </c>
      <c r="D372" s="242" t="s">
        <v>411</v>
      </c>
      <c r="E372" s="240" t="s">
        <v>1688</v>
      </c>
      <c r="F372" s="240" t="s">
        <v>1689</v>
      </c>
      <c r="G372" s="240" t="s">
        <v>1745</v>
      </c>
      <c r="H372" s="240" t="s">
        <v>84</v>
      </c>
      <c r="I372" s="243" t="s">
        <v>1746</v>
      </c>
      <c r="J372" s="243"/>
      <c r="K372" s="243"/>
      <c r="L372" s="240" t="s">
        <v>3</v>
      </c>
      <c r="M372" s="244">
        <v>1</v>
      </c>
      <c r="N372" s="245">
        <v>40</v>
      </c>
      <c r="O372" s="243">
        <v>40</v>
      </c>
      <c r="P372" s="243"/>
      <c r="Q372" s="180" t="str">
        <f>IF(PEDIDOS[[#This Row],[Valor do item pago]]=PEDIDOS[[#This Row],[Total Item ]],"PAGO", "")</f>
        <v/>
      </c>
    </row>
    <row r="373" spans="1:17" s="216" customFormat="1" ht="39.950000000000003" customHeight="1" x14ac:dyDescent="0.25">
      <c r="A373" s="231"/>
      <c r="B373" s="240">
        <v>1372</v>
      </c>
      <c r="C373" s="241">
        <v>43985</v>
      </c>
      <c r="D373" s="242" t="s">
        <v>411</v>
      </c>
      <c r="E373" s="240" t="s">
        <v>1741</v>
      </c>
      <c r="F373" s="240" t="s">
        <v>1742</v>
      </c>
      <c r="G373" s="240" t="s">
        <v>1743</v>
      </c>
      <c r="H373" s="240" t="s">
        <v>784</v>
      </c>
      <c r="I373" s="243" t="s">
        <v>1744</v>
      </c>
      <c r="J373" s="243"/>
      <c r="K373" s="243"/>
      <c r="L373" s="240" t="s">
        <v>1</v>
      </c>
      <c r="M373" s="244">
        <v>1</v>
      </c>
      <c r="N373" s="245">
        <v>40</v>
      </c>
      <c r="O373" s="243">
        <v>40</v>
      </c>
      <c r="P373" s="243"/>
      <c r="Q373" s="180" t="str">
        <f>IF(PEDIDOS[[#This Row],[Valor do item pago]]=PEDIDOS[[#This Row],[Total Item ]],"PAGO", "")</f>
        <v/>
      </c>
    </row>
    <row r="374" spans="1:17" s="216" customFormat="1" ht="39.950000000000003" customHeight="1" x14ac:dyDescent="0.25">
      <c r="A374" s="231"/>
      <c r="B374" s="240">
        <v>1371</v>
      </c>
      <c r="C374" s="241">
        <v>43985</v>
      </c>
      <c r="D374" s="242" t="s">
        <v>411</v>
      </c>
      <c r="E374" s="240" t="s">
        <v>1752</v>
      </c>
      <c r="F374" s="240" t="s">
        <v>1753</v>
      </c>
      <c r="G374" s="240" t="s">
        <v>1754</v>
      </c>
      <c r="H374" s="240" t="s">
        <v>461</v>
      </c>
      <c r="I374" s="243" t="s">
        <v>1755</v>
      </c>
      <c r="J374" s="243"/>
      <c r="K374" s="243"/>
      <c r="L374" s="240" t="s">
        <v>1</v>
      </c>
      <c r="M374" s="244">
        <v>2</v>
      </c>
      <c r="N374" s="245">
        <v>40</v>
      </c>
      <c r="O374" s="243">
        <v>80</v>
      </c>
      <c r="P374" s="243"/>
      <c r="Q374" s="180" t="str">
        <f>IF(PEDIDOS[[#This Row],[Valor do item pago]]=PEDIDOS[[#This Row],[Total Item ]],"PAGO", "")</f>
        <v/>
      </c>
    </row>
    <row r="375" spans="1:17" s="216" customFormat="1" ht="39.950000000000003" customHeight="1" x14ac:dyDescent="0.25">
      <c r="A375" s="231"/>
      <c r="B375" s="240">
        <v>1370</v>
      </c>
      <c r="C375" s="241">
        <v>43985</v>
      </c>
      <c r="D375" s="242" t="s">
        <v>411</v>
      </c>
      <c r="E375" s="240" t="s">
        <v>35</v>
      </c>
      <c r="F375" s="240">
        <v>0</v>
      </c>
      <c r="G375" s="240" t="s">
        <v>1386</v>
      </c>
      <c r="H375" s="240">
        <v>0</v>
      </c>
      <c r="I375" s="243">
        <v>0</v>
      </c>
      <c r="J375" s="243" t="s">
        <v>1740</v>
      </c>
      <c r="K375" s="243"/>
      <c r="L375" s="240" t="s">
        <v>219</v>
      </c>
      <c r="M375" s="244">
        <v>1</v>
      </c>
      <c r="N375" s="245">
        <v>40</v>
      </c>
      <c r="O375" s="243">
        <v>40</v>
      </c>
      <c r="P375" s="243">
        <v>40</v>
      </c>
      <c r="Q375" s="180" t="str">
        <f>IF(PEDIDOS[[#This Row],[Valor do item pago]]=PEDIDOS[[#This Row],[Total Item ]],"PAGO", "")</f>
        <v>PAGO</v>
      </c>
    </row>
    <row r="376" spans="1:17" s="216" customFormat="1" ht="39.950000000000003" customHeight="1" x14ac:dyDescent="0.25">
      <c r="A376" s="231"/>
      <c r="B376" s="240">
        <v>1369</v>
      </c>
      <c r="C376" s="241">
        <v>43985</v>
      </c>
      <c r="D376" s="242" t="s">
        <v>411</v>
      </c>
      <c r="E376" s="240" t="s">
        <v>35</v>
      </c>
      <c r="F376" s="240">
        <v>0</v>
      </c>
      <c r="G376" s="240" t="s">
        <v>1386</v>
      </c>
      <c r="H376" s="240">
        <v>0</v>
      </c>
      <c r="I376" s="243">
        <v>0</v>
      </c>
      <c r="J376" s="243" t="s">
        <v>1739</v>
      </c>
      <c r="K376" s="243"/>
      <c r="L376" s="240" t="s">
        <v>3</v>
      </c>
      <c r="M376" s="244">
        <v>1</v>
      </c>
      <c r="N376" s="245">
        <v>40</v>
      </c>
      <c r="O376" s="243">
        <v>40</v>
      </c>
      <c r="P376" s="243"/>
      <c r="Q376" s="180" t="str">
        <f>IF(PEDIDOS[[#This Row],[Valor do item pago]]=PEDIDOS[[#This Row],[Total Item ]],"PAGO", "")</f>
        <v/>
      </c>
    </row>
    <row r="377" spans="1:17" s="216" customFormat="1" ht="39.950000000000003" customHeight="1" x14ac:dyDescent="0.25">
      <c r="A377" s="231"/>
      <c r="B377" s="240">
        <v>1368</v>
      </c>
      <c r="C377" s="241">
        <v>43985</v>
      </c>
      <c r="D377" s="242" t="s">
        <v>411</v>
      </c>
      <c r="E377" s="240" t="s">
        <v>35</v>
      </c>
      <c r="F377" s="240">
        <v>0</v>
      </c>
      <c r="G377" s="240" t="s">
        <v>1386</v>
      </c>
      <c r="H377" s="240">
        <v>0</v>
      </c>
      <c r="I377" s="243">
        <v>0</v>
      </c>
      <c r="J377" s="243"/>
      <c r="K377" s="243"/>
      <c r="L377" s="240" t="s">
        <v>3</v>
      </c>
      <c r="M377" s="244">
        <v>1</v>
      </c>
      <c r="N377" s="245">
        <v>40</v>
      </c>
      <c r="O377" s="243">
        <v>40</v>
      </c>
      <c r="P377" s="243"/>
      <c r="Q377" s="180" t="str">
        <f>IF(PEDIDOS[[#This Row],[Valor do item pago]]=PEDIDOS[[#This Row],[Total Item ]],"PAGO", "")</f>
        <v/>
      </c>
    </row>
    <row r="378" spans="1:17" s="216" customFormat="1" ht="39.950000000000003" customHeight="1" x14ac:dyDescent="0.25">
      <c r="A378" s="231"/>
      <c r="B378" s="240">
        <v>1367</v>
      </c>
      <c r="C378" s="241">
        <v>43985</v>
      </c>
      <c r="D378" s="242" t="s">
        <v>411</v>
      </c>
      <c r="E378" s="240" t="s">
        <v>1496</v>
      </c>
      <c r="F378" s="240" t="s">
        <v>1497</v>
      </c>
      <c r="G378" s="240" t="s">
        <v>1505</v>
      </c>
      <c r="H378" s="240" t="s">
        <v>1450</v>
      </c>
      <c r="I378" s="243" t="s">
        <v>1504</v>
      </c>
      <c r="J378" s="243"/>
      <c r="K378" s="243"/>
      <c r="L378" s="240" t="s">
        <v>219</v>
      </c>
      <c r="M378" s="244">
        <v>1</v>
      </c>
      <c r="N378" s="245">
        <v>40</v>
      </c>
      <c r="O378" s="243">
        <v>40</v>
      </c>
      <c r="P378" s="243"/>
      <c r="Q378" s="180" t="str">
        <f>IF(PEDIDOS[[#This Row],[Valor do item pago]]=PEDIDOS[[#This Row],[Total Item ]],"PAGO", "")</f>
        <v/>
      </c>
    </row>
    <row r="379" spans="1:17" s="216" customFormat="1" ht="39.950000000000003" customHeight="1" x14ac:dyDescent="0.25">
      <c r="A379" s="231"/>
      <c r="B379" s="240">
        <v>1366</v>
      </c>
      <c r="C379" s="241">
        <v>43985</v>
      </c>
      <c r="D379" s="242" t="s">
        <v>411</v>
      </c>
      <c r="E379" s="240" t="s">
        <v>1461</v>
      </c>
      <c r="F379" s="240" t="s">
        <v>1180</v>
      </c>
      <c r="G379" s="240" t="s">
        <v>1276</v>
      </c>
      <c r="H379" s="240" t="s">
        <v>398</v>
      </c>
      <c r="I379" s="243" t="s">
        <v>1181</v>
      </c>
      <c r="J379" s="243"/>
      <c r="K379" s="243"/>
      <c r="L379" s="240" t="s">
        <v>3</v>
      </c>
      <c r="M379" s="244">
        <v>1</v>
      </c>
      <c r="N379" s="245">
        <v>40</v>
      </c>
      <c r="O379" s="243">
        <v>40</v>
      </c>
      <c r="P379" s="243">
        <v>40</v>
      </c>
      <c r="Q379" s="180" t="str">
        <f>IF(PEDIDOS[[#This Row],[Valor do item pago]]=PEDIDOS[[#This Row],[Total Item ]],"PAGO", "")</f>
        <v>PAGO</v>
      </c>
    </row>
    <row r="380" spans="1:17" s="216" customFormat="1" ht="39.950000000000003" customHeight="1" x14ac:dyDescent="0.25">
      <c r="A380" s="231"/>
      <c r="B380" s="240">
        <v>1365</v>
      </c>
      <c r="C380" s="241">
        <v>43985</v>
      </c>
      <c r="D380" s="242" t="s">
        <v>411</v>
      </c>
      <c r="E380" s="240" t="s">
        <v>25</v>
      </c>
      <c r="F380" s="240" t="s">
        <v>1222</v>
      </c>
      <c r="G380" s="240" t="s">
        <v>1411</v>
      </c>
      <c r="H380" s="240" t="s">
        <v>406</v>
      </c>
      <c r="I380" s="243" t="s">
        <v>329</v>
      </c>
      <c r="J380" s="243" t="s">
        <v>1738</v>
      </c>
      <c r="K380" s="243"/>
      <c r="L380" s="240" t="s">
        <v>219</v>
      </c>
      <c r="M380" s="244">
        <v>1</v>
      </c>
      <c r="N380" s="245">
        <v>40</v>
      </c>
      <c r="O380" s="243">
        <v>40</v>
      </c>
      <c r="P380" s="243"/>
      <c r="Q380" s="180" t="str">
        <f>IF(PEDIDOS[[#This Row],[Valor do item pago]]=PEDIDOS[[#This Row],[Total Item ]],"PAGO", "")</f>
        <v/>
      </c>
    </row>
    <row r="381" spans="1:17" s="216" customFormat="1" ht="39.950000000000003" customHeight="1" x14ac:dyDescent="0.25">
      <c r="A381" s="231"/>
      <c r="B381" s="240">
        <v>1364</v>
      </c>
      <c r="C381" s="241">
        <v>43985</v>
      </c>
      <c r="D381" s="242" t="s">
        <v>411</v>
      </c>
      <c r="E381" s="240" t="s">
        <v>25</v>
      </c>
      <c r="F381" s="240" t="s">
        <v>1222</v>
      </c>
      <c r="G381" s="240" t="s">
        <v>1411</v>
      </c>
      <c r="H381" s="240" t="s">
        <v>406</v>
      </c>
      <c r="I381" s="243" t="s">
        <v>329</v>
      </c>
      <c r="J381" s="243" t="s">
        <v>1460</v>
      </c>
      <c r="K381" s="243"/>
      <c r="L381" s="240" t="s">
        <v>219</v>
      </c>
      <c r="M381" s="244">
        <v>5</v>
      </c>
      <c r="N381" s="245">
        <v>40</v>
      </c>
      <c r="O381" s="243">
        <v>200</v>
      </c>
      <c r="P381" s="243">
        <v>200</v>
      </c>
      <c r="Q381" s="180" t="str">
        <f>IF(PEDIDOS[[#This Row],[Valor do item pago]]=PEDIDOS[[#This Row],[Total Item ]],"PAGO", "")</f>
        <v>PAGO</v>
      </c>
    </row>
    <row r="382" spans="1:17" s="216" customFormat="1" ht="39.950000000000003" customHeight="1" x14ac:dyDescent="0.25">
      <c r="A382" s="231"/>
      <c r="B382" s="240">
        <v>1363</v>
      </c>
      <c r="C382" s="241">
        <v>43985</v>
      </c>
      <c r="D382" s="242" t="s">
        <v>411</v>
      </c>
      <c r="E382" s="240" t="s">
        <v>25</v>
      </c>
      <c r="F382" s="240" t="s">
        <v>1222</v>
      </c>
      <c r="G382" s="240" t="s">
        <v>1411</v>
      </c>
      <c r="H382" s="240" t="s">
        <v>406</v>
      </c>
      <c r="I382" s="243" t="s">
        <v>329</v>
      </c>
      <c r="J382" s="243" t="s">
        <v>712</v>
      </c>
      <c r="K382" s="243"/>
      <c r="L382" s="240" t="s">
        <v>219</v>
      </c>
      <c r="M382" s="244">
        <v>1</v>
      </c>
      <c r="N382" s="245">
        <v>40</v>
      </c>
      <c r="O382" s="243">
        <v>40</v>
      </c>
      <c r="P382" s="243">
        <v>40</v>
      </c>
      <c r="Q382" s="180" t="str">
        <f>IF(PEDIDOS[[#This Row],[Valor do item pago]]=PEDIDOS[[#This Row],[Total Item ]],"PAGO", "")</f>
        <v>PAGO</v>
      </c>
    </row>
    <row r="383" spans="1:17" s="216" customFormat="1" ht="39.950000000000003" customHeight="1" x14ac:dyDescent="0.25">
      <c r="A383" s="231"/>
      <c r="B383" s="240">
        <v>1362</v>
      </c>
      <c r="C383" s="241">
        <v>43985</v>
      </c>
      <c r="D383" s="242" t="s">
        <v>411</v>
      </c>
      <c r="E383" s="240" t="s">
        <v>622</v>
      </c>
      <c r="F383" s="240" t="s">
        <v>623</v>
      </c>
      <c r="G383" s="240" t="s">
        <v>1323</v>
      </c>
      <c r="H383" s="240" t="s">
        <v>520</v>
      </c>
      <c r="I383" s="243" t="s">
        <v>682</v>
      </c>
      <c r="J383" s="243" t="s">
        <v>965</v>
      </c>
      <c r="K383" s="243"/>
      <c r="L383" s="240" t="s">
        <v>219</v>
      </c>
      <c r="M383" s="244">
        <v>1</v>
      </c>
      <c r="N383" s="245">
        <v>40</v>
      </c>
      <c r="O383" s="243">
        <v>40</v>
      </c>
      <c r="P383" s="243"/>
      <c r="Q383" s="180" t="str">
        <f>IF(PEDIDOS[[#This Row],[Valor do item pago]]=PEDIDOS[[#This Row],[Total Item ]],"PAGO", "")</f>
        <v/>
      </c>
    </row>
    <row r="384" spans="1:17" s="216" customFormat="1" ht="39.950000000000003" customHeight="1" x14ac:dyDescent="0.25">
      <c r="A384" s="231"/>
      <c r="B384" s="240">
        <v>1361</v>
      </c>
      <c r="C384" s="241">
        <v>43985</v>
      </c>
      <c r="D384" s="242" t="s">
        <v>411</v>
      </c>
      <c r="E384" s="240" t="s">
        <v>1268</v>
      </c>
      <c r="F384" s="240" t="s">
        <v>1212</v>
      </c>
      <c r="G384" s="240" t="s">
        <v>1569</v>
      </c>
      <c r="H384" s="240" t="s">
        <v>1197</v>
      </c>
      <c r="I384" s="243" t="s">
        <v>1028</v>
      </c>
      <c r="J384" s="243"/>
      <c r="K384" s="243"/>
      <c r="L384" s="240" t="s">
        <v>219</v>
      </c>
      <c r="M384" s="244">
        <v>3</v>
      </c>
      <c r="N384" s="245">
        <v>40</v>
      </c>
      <c r="O384" s="243">
        <v>120</v>
      </c>
      <c r="P384" s="243"/>
      <c r="Q384" s="180" t="str">
        <f>IF(PEDIDOS[[#This Row],[Valor do item pago]]=PEDIDOS[[#This Row],[Total Item ]],"PAGO", "")</f>
        <v/>
      </c>
    </row>
    <row r="385" spans="1:17" s="216" customFormat="1" ht="39.950000000000003" customHeight="1" x14ac:dyDescent="0.25">
      <c r="A385" s="231"/>
      <c r="B385" s="240">
        <v>1360</v>
      </c>
      <c r="C385" s="241">
        <v>43985</v>
      </c>
      <c r="D385" s="242" t="s">
        <v>231</v>
      </c>
      <c r="E385" s="240" t="s">
        <v>381</v>
      </c>
      <c r="F385" s="240">
        <v>0</v>
      </c>
      <c r="G385" s="240">
        <v>0</v>
      </c>
      <c r="H385" s="240">
        <v>0</v>
      </c>
      <c r="I385" s="243">
        <v>0</v>
      </c>
      <c r="J385" s="243"/>
      <c r="K385" s="243" t="s">
        <v>231</v>
      </c>
      <c r="L385" s="240" t="s">
        <v>1</v>
      </c>
      <c r="M385" s="244">
        <v>2</v>
      </c>
      <c r="N385" s="245">
        <v>40</v>
      </c>
      <c r="O385" s="243">
        <v>80</v>
      </c>
      <c r="P385" s="243">
        <v>80</v>
      </c>
      <c r="Q385" s="180" t="str">
        <f>IF(PEDIDOS[[#This Row],[Valor do item pago]]=PEDIDOS[[#This Row],[Total Item ]],"PAGO", "")</f>
        <v>PAGO</v>
      </c>
    </row>
    <row r="386" spans="1:17" s="216" customFormat="1" ht="39.950000000000003" customHeight="1" x14ac:dyDescent="0.25">
      <c r="A386" s="231"/>
      <c r="B386" s="240">
        <v>1359</v>
      </c>
      <c r="C386" s="241">
        <v>43985</v>
      </c>
      <c r="D386" s="242" t="s">
        <v>231</v>
      </c>
      <c r="E386" s="240" t="s">
        <v>375</v>
      </c>
      <c r="F386" s="240" t="s">
        <v>1065</v>
      </c>
      <c r="G386" s="240">
        <v>0</v>
      </c>
      <c r="H386" s="240" t="s">
        <v>40</v>
      </c>
      <c r="I386" s="243">
        <v>0</v>
      </c>
      <c r="J386" s="243"/>
      <c r="K386" s="243" t="s">
        <v>40</v>
      </c>
      <c r="L386" s="240" t="s">
        <v>3</v>
      </c>
      <c r="M386" s="244">
        <v>2</v>
      </c>
      <c r="N386" s="245">
        <v>40</v>
      </c>
      <c r="O386" s="243">
        <v>80</v>
      </c>
      <c r="P386" s="243"/>
      <c r="Q386" s="180" t="str">
        <f>IF(PEDIDOS[[#This Row],[Valor do item pago]]=PEDIDOS[[#This Row],[Total Item ]],"PAGO", "")</f>
        <v/>
      </c>
    </row>
    <row r="387" spans="1:17" s="216" customFormat="1" ht="39.950000000000003" customHeight="1" x14ac:dyDescent="0.25">
      <c r="A387" s="231"/>
      <c r="B387" s="240">
        <v>1359</v>
      </c>
      <c r="C387" s="241">
        <v>43985</v>
      </c>
      <c r="D387" s="242" t="s">
        <v>231</v>
      </c>
      <c r="E387" s="240" t="s">
        <v>375</v>
      </c>
      <c r="F387" s="240" t="s">
        <v>1065</v>
      </c>
      <c r="G387" s="240">
        <v>0</v>
      </c>
      <c r="H387" s="240" t="s">
        <v>40</v>
      </c>
      <c r="I387" s="243">
        <v>0</v>
      </c>
      <c r="J387" s="243"/>
      <c r="K387" s="243" t="s">
        <v>40</v>
      </c>
      <c r="L387" s="240" t="s">
        <v>219</v>
      </c>
      <c r="M387" s="244">
        <v>1</v>
      </c>
      <c r="N387" s="245">
        <v>40</v>
      </c>
      <c r="O387" s="243">
        <v>40</v>
      </c>
      <c r="P387" s="243"/>
      <c r="Q387" s="180" t="str">
        <f>IF(PEDIDOS[[#This Row],[Valor do item pago]]=PEDIDOS[[#This Row],[Total Item ]],"PAGO", "")</f>
        <v/>
      </c>
    </row>
    <row r="388" spans="1:17" s="216" customFormat="1" ht="39.950000000000003" customHeight="1" x14ac:dyDescent="0.25">
      <c r="A388" s="231"/>
      <c r="B388" s="240">
        <v>1359</v>
      </c>
      <c r="C388" s="241">
        <v>43985</v>
      </c>
      <c r="D388" s="242" t="s">
        <v>231</v>
      </c>
      <c r="E388" s="240" t="s">
        <v>375</v>
      </c>
      <c r="F388" s="240" t="s">
        <v>1065</v>
      </c>
      <c r="G388" s="240">
        <v>0</v>
      </c>
      <c r="H388" s="240" t="s">
        <v>40</v>
      </c>
      <c r="I388" s="243">
        <v>0</v>
      </c>
      <c r="J388" s="243"/>
      <c r="K388" s="243" t="s">
        <v>40</v>
      </c>
      <c r="L388" s="240" t="s">
        <v>1</v>
      </c>
      <c r="M388" s="244">
        <v>1</v>
      </c>
      <c r="N388" s="245">
        <v>40</v>
      </c>
      <c r="O388" s="243">
        <v>40</v>
      </c>
      <c r="P388" s="243"/>
      <c r="Q388" s="180" t="str">
        <f>IF(PEDIDOS[[#This Row],[Valor do item pago]]=PEDIDOS[[#This Row],[Total Item ]],"PAGO", "")</f>
        <v/>
      </c>
    </row>
    <row r="389" spans="1:17" s="216" customFormat="1" ht="39.950000000000003" customHeight="1" x14ac:dyDescent="0.25">
      <c r="A389" s="231"/>
      <c r="B389" s="240">
        <v>1358</v>
      </c>
      <c r="C389" s="241">
        <v>43985</v>
      </c>
      <c r="D389" s="242" t="s">
        <v>231</v>
      </c>
      <c r="E389" s="240" t="s">
        <v>1705</v>
      </c>
      <c r="F389" s="240">
        <v>0</v>
      </c>
      <c r="G389" s="240">
        <v>0</v>
      </c>
      <c r="H389" s="240">
        <v>0</v>
      </c>
      <c r="I389" s="243">
        <v>0</v>
      </c>
      <c r="J389" s="243"/>
      <c r="K389" s="243" t="s">
        <v>231</v>
      </c>
      <c r="L389" s="240" t="s">
        <v>1</v>
      </c>
      <c r="M389" s="244">
        <v>1</v>
      </c>
      <c r="N389" s="245">
        <v>40</v>
      </c>
      <c r="O389" s="243">
        <v>40</v>
      </c>
      <c r="P389" s="243">
        <v>40</v>
      </c>
      <c r="Q389" s="180" t="str">
        <f>IF(PEDIDOS[[#This Row],[Valor do item pago]]=PEDIDOS[[#This Row],[Total Item ]],"PAGO", "")</f>
        <v>PAGO</v>
      </c>
    </row>
    <row r="390" spans="1:17" s="216" customFormat="1" ht="39.950000000000003" customHeight="1" x14ac:dyDescent="0.25">
      <c r="A390" s="231"/>
      <c r="B390" s="240">
        <v>1358</v>
      </c>
      <c r="C390" s="241">
        <v>43985</v>
      </c>
      <c r="D390" s="242" t="s">
        <v>231</v>
      </c>
      <c r="E390" s="240" t="s">
        <v>1705</v>
      </c>
      <c r="F390" s="240">
        <v>0</v>
      </c>
      <c r="G390" s="240">
        <v>0</v>
      </c>
      <c r="H390" s="240">
        <v>0</v>
      </c>
      <c r="I390" s="243">
        <v>0</v>
      </c>
      <c r="J390" s="243"/>
      <c r="K390" s="243" t="s">
        <v>231</v>
      </c>
      <c r="L390" s="240" t="s">
        <v>0</v>
      </c>
      <c r="M390" s="244">
        <v>1</v>
      </c>
      <c r="N390" s="245">
        <v>40</v>
      </c>
      <c r="O390" s="243">
        <v>40</v>
      </c>
      <c r="P390" s="243">
        <v>40</v>
      </c>
      <c r="Q390" s="180" t="str">
        <f>IF(PEDIDOS[[#This Row],[Valor do item pago]]=PEDIDOS[[#This Row],[Total Item ]],"PAGO", "")</f>
        <v>PAGO</v>
      </c>
    </row>
    <row r="391" spans="1:17" s="216" customFormat="1" ht="39.950000000000003" customHeight="1" x14ac:dyDescent="0.25">
      <c r="A391" s="231"/>
      <c r="B391" s="240">
        <v>1357</v>
      </c>
      <c r="C391" s="241">
        <v>43985</v>
      </c>
      <c r="D391" s="242" t="s">
        <v>231</v>
      </c>
      <c r="E391" s="240" t="s">
        <v>597</v>
      </c>
      <c r="F391" s="240" t="s">
        <v>703</v>
      </c>
      <c r="G391" s="240" t="s">
        <v>1456</v>
      </c>
      <c r="H391" s="240" t="s">
        <v>84</v>
      </c>
      <c r="I391" s="243" t="s">
        <v>679</v>
      </c>
      <c r="J391" s="243"/>
      <c r="K391" s="243" t="s">
        <v>231</v>
      </c>
      <c r="L391" s="240" t="s">
        <v>219</v>
      </c>
      <c r="M391" s="244">
        <v>1</v>
      </c>
      <c r="N391" s="245">
        <v>40</v>
      </c>
      <c r="O391" s="243">
        <v>40</v>
      </c>
      <c r="P391" s="243">
        <v>40</v>
      </c>
      <c r="Q391" s="180" t="str">
        <f>IF(PEDIDOS[[#This Row],[Valor do item pago]]=PEDIDOS[[#This Row],[Total Item ]],"PAGO", "")</f>
        <v>PAGO</v>
      </c>
    </row>
    <row r="392" spans="1:17" s="216" customFormat="1" ht="39.950000000000003" customHeight="1" x14ac:dyDescent="0.25">
      <c r="A392" s="231"/>
      <c r="B392" s="240">
        <v>1356</v>
      </c>
      <c r="C392" s="241">
        <v>43985</v>
      </c>
      <c r="D392" s="242" t="s">
        <v>231</v>
      </c>
      <c r="E392" s="240" t="s">
        <v>1606</v>
      </c>
      <c r="F392" s="240">
        <v>0</v>
      </c>
      <c r="G392" s="240">
        <v>0</v>
      </c>
      <c r="H392" s="240">
        <v>0</v>
      </c>
      <c r="I392" s="243">
        <v>0</v>
      </c>
      <c r="J392" s="243"/>
      <c r="K392" s="243" t="s">
        <v>1554</v>
      </c>
      <c r="L392" s="240" t="s">
        <v>1</v>
      </c>
      <c r="M392" s="244">
        <v>1</v>
      </c>
      <c r="N392" s="245">
        <v>40</v>
      </c>
      <c r="O392" s="243">
        <v>40</v>
      </c>
      <c r="P392" s="243"/>
      <c r="Q392" s="180" t="str">
        <f>IF(PEDIDOS[[#This Row],[Valor do item pago]]=PEDIDOS[[#This Row],[Total Item ]],"PAGO", "")</f>
        <v/>
      </c>
    </row>
    <row r="393" spans="1:17" s="216" customFormat="1" ht="39.950000000000003" customHeight="1" x14ac:dyDescent="0.25">
      <c r="A393" s="231"/>
      <c r="B393" s="240">
        <v>1355</v>
      </c>
      <c r="C393" s="241">
        <v>43985</v>
      </c>
      <c r="D393" s="242" t="s">
        <v>231</v>
      </c>
      <c r="E393" s="240" t="s">
        <v>345</v>
      </c>
      <c r="F393" s="240" t="s">
        <v>1216</v>
      </c>
      <c r="G393" s="240">
        <v>0</v>
      </c>
      <c r="H393" s="240">
        <v>0</v>
      </c>
      <c r="I393" s="243">
        <v>0</v>
      </c>
      <c r="J393" s="243"/>
      <c r="K393" s="243" t="s">
        <v>231</v>
      </c>
      <c r="L393" s="240" t="s">
        <v>219</v>
      </c>
      <c r="M393" s="244">
        <v>1</v>
      </c>
      <c r="N393" s="245">
        <v>40</v>
      </c>
      <c r="O393" s="243">
        <v>40</v>
      </c>
      <c r="P393" s="243">
        <v>40</v>
      </c>
      <c r="Q393" s="180" t="str">
        <f>IF(PEDIDOS[[#This Row],[Valor do item pago]]=PEDIDOS[[#This Row],[Total Item ]],"PAGO", "")</f>
        <v>PAGO</v>
      </c>
    </row>
    <row r="394" spans="1:17" s="216" customFormat="1" ht="39.950000000000003" customHeight="1" x14ac:dyDescent="0.25">
      <c r="A394" s="231"/>
      <c r="B394" s="240">
        <v>1355</v>
      </c>
      <c r="C394" s="241">
        <v>43985</v>
      </c>
      <c r="D394" s="242" t="s">
        <v>231</v>
      </c>
      <c r="E394" s="240" t="s">
        <v>345</v>
      </c>
      <c r="F394" s="240" t="s">
        <v>1216</v>
      </c>
      <c r="G394" s="240">
        <v>0</v>
      </c>
      <c r="H394" s="240">
        <v>0</v>
      </c>
      <c r="I394" s="243">
        <v>0</v>
      </c>
      <c r="J394" s="243"/>
      <c r="K394" s="243" t="s">
        <v>231</v>
      </c>
      <c r="L394" s="240" t="s">
        <v>0</v>
      </c>
      <c r="M394" s="244">
        <v>1</v>
      </c>
      <c r="N394" s="245">
        <v>40</v>
      </c>
      <c r="O394" s="243">
        <v>40</v>
      </c>
      <c r="P394" s="243">
        <v>40</v>
      </c>
      <c r="Q394" s="180" t="str">
        <f>IF(PEDIDOS[[#This Row],[Valor do item pago]]=PEDIDOS[[#This Row],[Total Item ]],"PAGO", "")</f>
        <v>PAGO</v>
      </c>
    </row>
    <row r="395" spans="1:17" s="216" customFormat="1" ht="39.950000000000003" customHeight="1" x14ac:dyDescent="0.25">
      <c r="A395" s="231"/>
      <c r="B395" s="240">
        <v>1354</v>
      </c>
      <c r="C395" s="241">
        <v>43985</v>
      </c>
      <c r="D395" s="242" t="s">
        <v>231</v>
      </c>
      <c r="E395" s="240" t="s">
        <v>90</v>
      </c>
      <c r="F395" s="240" t="s">
        <v>806</v>
      </c>
      <c r="G395" s="240">
        <v>0</v>
      </c>
      <c r="H395" s="240" t="s">
        <v>40</v>
      </c>
      <c r="I395" s="243">
        <v>0</v>
      </c>
      <c r="J395" s="243"/>
      <c r="K395" s="243" t="s">
        <v>1554</v>
      </c>
      <c r="L395" s="240" t="s">
        <v>219</v>
      </c>
      <c r="M395" s="244">
        <v>3</v>
      </c>
      <c r="N395" s="245">
        <v>40</v>
      </c>
      <c r="O395" s="243">
        <v>120</v>
      </c>
      <c r="P395" s="243"/>
      <c r="Q395" s="180" t="str">
        <f>IF(PEDIDOS[[#This Row],[Valor do item pago]]=PEDIDOS[[#This Row],[Total Item ]],"PAGO", "")</f>
        <v/>
      </c>
    </row>
    <row r="396" spans="1:17" s="216" customFormat="1" ht="39.950000000000003" customHeight="1" x14ac:dyDescent="0.25">
      <c r="A396" s="231"/>
      <c r="B396" s="240">
        <v>1353</v>
      </c>
      <c r="C396" s="241">
        <v>43985</v>
      </c>
      <c r="D396" s="242" t="s">
        <v>231</v>
      </c>
      <c r="E396" s="240" t="s">
        <v>356</v>
      </c>
      <c r="F396" s="240" t="s">
        <v>700</v>
      </c>
      <c r="G396" s="240" t="s">
        <v>1377</v>
      </c>
      <c r="H396" s="240" t="s">
        <v>1378</v>
      </c>
      <c r="I396" s="243" t="s">
        <v>702</v>
      </c>
      <c r="J396" s="243" t="s">
        <v>1529</v>
      </c>
      <c r="K396" s="243"/>
      <c r="L396" s="240" t="s">
        <v>219</v>
      </c>
      <c r="M396" s="244">
        <v>1</v>
      </c>
      <c r="N396" s="245">
        <v>40</v>
      </c>
      <c r="O396" s="243">
        <v>40</v>
      </c>
      <c r="P396" s="243">
        <v>40</v>
      </c>
      <c r="Q396" s="180" t="str">
        <f>IF(PEDIDOS[[#This Row],[Valor do item pago]]=PEDIDOS[[#This Row],[Total Item ]],"PAGO", "")</f>
        <v>PAGO</v>
      </c>
    </row>
    <row r="397" spans="1:17" s="216" customFormat="1" ht="39.950000000000003" customHeight="1" x14ac:dyDescent="0.25">
      <c r="A397" s="231"/>
      <c r="B397" s="240">
        <v>1352</v>
      </c>
      <c r="C397" s="241">
        <v>43985</v>
      </c>
      <c r="D397" s="242" t="s">
        <v>1025</v>
      </c>
      <c r="E397" s="240" t="s">
        <v>1725</v>
      </c>
      <c r="F397" s="240" t="s">
        <v>1736</v>
      </c>
      <c r="G397" s="240" t="s">
        <v>1737</v>
      </c>
      <c r="H397" s="240" t="s">
        <v>461</v>
      </c>
      <c r="I397" s="243" t="s">
        <v>1728</v>
      </c>
      <c r="J397" s="243"/>
      <c r="K397" s="243"/>
      <c r="L397" s="240" t="s">
        <v>219</v>
      </c>
      <c r="M397" s="244">
        <v>2</v>
      </c>
      <c r="N397" s="245">
        <v>40</v>
      </c>
      <c r="O397" s="243">
        <v>80</v>
      </c>
      <c r="P397" s="243"/>
      <c r="Q397" s="180" t="str">
        <f>IF(PEDIDOS[[#This Row],[Valor do item pago]]=PEDIDOS[[#This Row],[Total Item ]],"PAGO", "")</f>
        <v/>
      </c>
    </row>
    <row r="398" spans="1:17" s="216" customFormat="1" ht="39.950000000000003" customHeight="1" x14ac:dyDescent="0.25">
      <c r="A398" s="231"/>
      <c r="B398" s="240">
        <v>1351</v>
      </c>
      <c r="C398" s="241">
        <v>43985</v>
      </c>
      <c r="D398" s="242" t="s">
        <v>49</v>
      </c>
      <c r="E398" s="240" t="s">
        <v>615</v>
      </c>
      <c r="F398" s="240" t="s">
        <v>1242</v>
      </c>
      <c r="G398" s="240" t="s">
        <v>1392</v>
      </c>
      <c r="H398" s="240" t="s">
        <v>1205</v>
      </c>
      <c r="I398" s="243" t="s">
        <v>735</v>
      </c>
      <c r="J398" s="243"/>
      <c r="K398" s="243" t="s">
        <v>49</v>
      </c>
      <c r="L398" s="240" t="s">
        <v>3</v>
      </c>
      <c r="M398" s="244">
        <v>1</v>
      </c>
      <c r="N398" s="245">
        <v>40</v>
      </c>
      <c r="O398" s="243">
        <v>40</v>
      </c>
      <c r="P398" s="243">
        <v>40</v>
      </c>
      <c r="Q398" s="180" t="str">
        <f>IF(PEDIDOS[[#This Row],[Valor do item pago]]=PEDIDOS[[#This Row],[Total Item ]],"PAGO", "")</f>
        <v>PAGO</v>
      </c>
    </row>
    <row r="399" spans="1:17" s="216" customFormat="1" ht="39.950000000000003" customHeight="1" x14ac:dyDescent="0.25">
      <c r="A399" s="231"/>
      <c r="B399" s="240">
        <v>1351</v>
      </c>
      <c r="C399" s="241">
        <v>43985</v>
      </c>
      <c r="D399" s="242" t="s">
        <v>49</v>
      </c>
      <c r="E399" s="240" t="s">
        <v>615</v>
      </c>
      <c r="F399" s="240" t="s">
        <v>1242</v>
      </c>
      <c r="G399" s="240" t="s">
        <v>1392</v>
      </c>
      <c r="H399" s="240" t="s">
        <v>1205</v>
      </c>
      <c r="I399" s="243" t="s">
        <v>735</v>
      </c>
      <c r="J399" s="243"/>
      <c r="K399" s="243" t="s">
        <v>49</v>
      </c>
      <c r="L399" s="240" t="s">
        <v>1</v>
      </c>
      <c r="M399" s="244">
        <v>1</v>
      </c>
      <c r="N399" s="245">
        <v>40</v>
      </c>
      <c r="O399" s="243">
        <v>40</v>
      </c>
      <c r="P399" s="243">
        <v>40</v>
      </c>
      <c r="Q399" s="180" t="str">
        <f>IF(PEDIDOS[[#This Row],[Valor do item pago]]=PEDIDOS[[#This Row],[Total Item ]],"PAGO", "")</f>
        <v>PAGO</v>
      </c>
    </row>
    <row r="400" spans="1:17" s="216" customFormat="1" ht="39.950000000000003" customHeight="1" x14ac:dyDescent="0.25">
      <c r="A400" s="231"/>
      <c r="B400" s="240">
        <v>1350</v>
      </c>
      <c r="C400" s="241">
        <v>43985</v>
      </c>
      <c r="D400" s="242" t="s">
        <v>49</v>
      </c>
      <c r="E400" s="240" t="s">
        <v>614</v>
      </c>
      <c r="F400" s="240" t="s">
        <v>1220</v>
      </c>
      <c r="G400" s="240" t="s">
        <v>1363</v>
      </c>
      <c r="H400" s="240" t="s">
        <v>393</v>
      </c>
      <c r="I400" s="243" t="s">
        <v>423</v>
      </c>
      <c r="J400" s="243"/>
      <c r="K400" s="243"/>
      <c r="L400" s="240" t="s">
        <v>219</v>
      </c>
      <c r="M400" s="244">
        <v>1</v>
      </c>
      <c r="N400" s="245">
        <v>40</v>
      </c>
      <c r="O400" s="243">
        <v>40</v>
      </c>
      <c r="P400" s="243">
        <v>40</v>
      </c>
      <c r="Q400" s="180" t="str">
        <f>IF(PEDIDOS[[#This Row],[Valor do item pago]]=PEDIDOS[[#This Row],[Total Item ]],"PAGO", "")</f>
        <v>PAGO</v>
      </c>
    </row>
    <row r="401" spans="1:17" s="216" customFormat="1" ht="39.950000000000003" customHeight="1" x14ac:dyDescent="0.25">
      <c r="A401" s="231"/>
      <c r="B401" s="240">
        <v>1349</v>
      </c>
      <c r="C401" s="241">
        <v>43985</v>
      </c>
      <c r="D401" s="242" t="s">
        <v>49</v>
      </c>
      <c r="E401" s="240" t="s">
        <v>611</v>
      </c>
      <c r="F401" s="240" t="s">
        <v>1225</v>
      </c>
      <c r="G401" s="240" t="s">
        <v>1429</v>
      </c>
      <c r="H401" s="240" t="s">
        <v>390</v>
      </c>
      <c r="I401" s="243" t="s">
        <v>253</v>
      </c>
      <c r="J401" s="243"/>
      <c r="K401" s="243"/>
      <c r="L401" s="240" t="s">
        <v>3</v>
      </c>
      <c r="M401" s="244">
        <v>1</v>
      </c>
      <c r="N401" s="245">
        <v>40</v>
      </c>
      <c r="O401" s="243">
        <v>40</v>
      </c>
      <c r="P401" s="243"/>
      <c r="Q401" s="180" t="str">
        <f>IF(PEDIDOS[[#This Row],[Valor do item pago]]=PEDIDOS[[#This Row],[Total Item ]],"PAGO", "")</f>
        <v/>
      </c>
    </row>
    <row r="402" spans="1:17" s="216" customFormat="1" ht="39.950000000000003" customHeight="1" x14ac:dyDescent="0.25">
      <c r="A402" s="231"/>
      <c r="B402" s="240">
        <v>1348</v>
      </c>
      <c r="C402" s="241">
        <v>43985</v>
      </c>
      <c r="D402" s="242" t="s">
        <v>1025</v>
      </c>
      <c r="E402" s="240" t="s">
        <v>1621</v>
      </c>
      <c r="F402" s="240" t="s">
        <v>1616</v>
      </c>
      <c r="G402" s="240" t="s">
        <v>1630</v>
      </c>
      <c r="H402" s="240" t="s">
        <v>570</v>
      </c>
      <c r="I402" s="243" t="s">
        <v>1629</v>
      </c>
      <c r="J402" s="243" t="s">
        <v>887</v>
      </c>
      <c r="K402" s="243"/>
      <c r="L402" s="240" t="s">
        <v>1</v>
      </c>
      <c r="M402" s="244">
        <v>1</v>
      </c>
      <c r="N402" s="245">
        <v>40</v>
      </c>
      <c r="O402" s="243">
        <v>40</v>
      </c>
      <c r="P402" s="243"/>
      <c r="Q402" s="180" t="str">
        <f>IF(PEDIDOS[[#This Row],[Valor do item pago]]=PEDIDOS[[#This Row],[Total Item ]],"PAGO", "")</f>
        <v/>
      </c>
    </row>
    <row r="403" spans="1:17" s="216" customFormat="1" ht="39.950000000000003" customHeight="1" x14ac:dyDescent="0.25">
      <c r="A403" s="231"/>
      <c r="B403" s="240">
        <v>1347</v>
      </c>
      <c r="C403" s="241">
        <v>43985</v>
      </c>
      <c r="D403" s="242" t="s">
        <v>1025</v>
      </c>
      <c r="E403" s="240" t="s">
        <v>1620</v>
      </c>
      <c r="F403" s="240" t="s">
        <v>1615</v>
      </c>
      <c r="G403" s="240" t="s">
        <v>1628</v>
      </c>
      <c r="H403" s="240" t="s">
        <v>1378</v>
      </c>
      <c r="I403" s="243" t="s">
        <v>1627</v>
      </c>
      <c r="J403" s="243"/>
      <c r="K403" s="243"/>
      <c r="L403" s="240" t="s">
        <v>1</v>
      </c>
      <c r="M403" s="244">
        <v>1</v>
      </c>
      <c r="N403" s="245">
        <v>40</v>
      </c>
      <c r="O403" s="243">
        <v>40</v>
      </c>
      <c r="P403" s="243"/>
      <c r="Q403" s="180" t="str">
        <f>IF(PEDIDOS[[#This Row],[Valor do item pago]]=PEDIDOS[[#This Row],[Total Item ]],"PAGO", "")</f>
        <v/>
      </c>
    </row>
    <row r="404" spans="1:17" s="216" customFormat="1" ht="39.950000000000003" customHeight="1" x14ac:dyDescent="0.25">
      <c r="A404" s="231"/>
      <c r="B404" s="240">
        <v>1346</v>
      </c>
      <c r="C404" s="241">
        <v>43985</v>
      </c>
      <c r="D404" s="242" t="s">
        <v>1025</v>
      </c>
      <c r="E404" s="240" t="s">
        <v>1286</v>
      </c>
      <c r="F404" s="240">
        <v>0</v>
      </c>
      <c r="G404" s="240">
        <v>0</v>
      </c>
      <c r="H404" s="240">
        <v>0</v>
      </c>
      <c r="I404" s="243">
        <v>0</v>
      </c>
      <c r="J404" s="243"/>
      <c r="K404" s="243"/>
      <c r="L404" s="240" t="s">
        <v>1</v>
      </c>
      <c r="M404" s="244">
        <v>1</v>
      </c>
      <c r="N404" s="245">
        <v>40</v>
      </c>
      <c r="O404" s="243">
        <v>40</v>
      </c>
      <c r="P404" s="243"/>
      <c r="Q404" s="180" t="str">
        <f>IF(PEDIDOS[[#This Row],[Valor do item pago]]=PEDIDOS[[#This Row],[Total Item ]],"PAGO", "")</f>
        <v/>
      </c>
    </row>
    <row r="405" spans="1:17" s="216" customFormat="1" ht="39.950000000000003" customHeight="1" x14ac:dyDescent="0.25">
      <c r="A405" s="231"/>
      <c r="B405" s="240">
        <v>1345</v>
      </c>
      <c r="C405" s="241">
        <v>43985</v>
      </c>
      <c r="D405" s="242" t="s">
        <v>1025</v>
      </c>
      <c r="E405" s="240" t="s">
        <v>25</v>
      </c>
      <c r="F405" s="240" t="s">
        <v>1222</v>
      </c>
      <c r="G405" s="240" t="s">
        <v>1411</v>
      </c>
      <c r="H405" s="240" t="s">
        <v>406</v>
      </c>
      <c r="I405" s="243" t="s">
        <v>329</v>
      </c>
      <c r="J405" s="243" t="s">
        <v>1591</v>
      </c>
      <c r="K405" s="243"/>
      <c r="L405" s="240" t="s">
        <v>219</v>
      </c>
      <c r="M405" s="244">
        <v>2</v>
      </c>
      <c r="N405" s="245">
        <v>40</v>
      </c>
      <c r="O405" s="243">
        <v>80</v>
      </c>
      <c r="P405" s="243"/>
      <c r="Q405" s="180" t="str">
        <f>IF(PEDIDOS[[#This Row],[Valor do item pago]]=PEDIDOS[[#This Row],[Total Item ]],"PAGO", "")</f>
        <v/>
      </c>
    </row>
    <row r="406" spans="1:17" s="216" customFormat="1" ht="39.950000000000003" customHeight="1" x14ac:dyDescent="0.25">
      <c r="A406" s="231"/>
      <c r="B406" s="240">
        <v>1344</v>
      </c>
      <c r="C406" s="241">
        <v>43985</v>
      </c>
      <c r="D406" s="242" t="s">
        <v>1025</v>
      </c>
      <c r="E406" s="240" t="s">
        <v>374</v>
      </c>
      <c r="F406" s="240" t="s">
        <v>1246</v>
      </c>
      <c r="G406" s="240" t="s">
        <v>1422</v>
      </c>
      <c r="H406" s="240" t="s">
        <v>402</v>
      </c>
      <c r="I406" s="243" t="s">
        <v>658</v>
      </c>
      <c r="J406" s="243"/>
      <c r="K406" s="243"/>
      <c r="L406" s="240" t="s">
        <v>1</v>
      </c>
      <c r="M406" s="244">
        <v>1</v>
      </c>
      <c r="N406" s="245">
        <v>40</v>
      </c>
      <c r="O406" s="243">
        <v>40</v>
      </c>
      <c r="P406" s="243"/>
      <c r="Q406" s="180" t="str">
        <f>IF(PEDIDOS[[#This Row],[Valor do item pago]]=PEDIDOS[[#This Row],[Total Item ]],"PAGO", "")</f>
        <v/>
      </c>
    </row>
    <row r="407" spans="1:17" s="216" customFormat="1" ht="39.950000000000003" customHeight="1" x14ac:dyDescent="0.25">
      <c r="A407" s="231"/>
      <c r="B407" s="240">
        <v>1344</v>
      </c>
      <c r="C407" s="241">
        <v>43985</v>
      </c>
      <c r="D407" s="242" t="s">
        <v>1025</v>
      </c>
      <c r="E407" s="240" t="s">
        <v>374</v>
      </c>
      <c r="F407" s="240" t="s">
        <v>1246</v>
      </c>
      <c r="G407" s="240" t="s">
        <v>1422</v>
      </c>
      <c r="H407" s="240" t="s">
        <v>402</v>
      </c>
      <c r="I407" s="243" t="s">
        <v>658</v>
      </c>
      <c r="J407" s="243"/>
      <c r="K407" s="243"/>
      <c r="L407" s="240" t="s">
        <v>0</v>
      </c>
      <c r="M407" s="244">
        <v>1</v>
      </c>
      <c r="N407" s="245">
        <v>40</v>
      </c>
      <c r="O407" s="243">
        <v>40</v>
      </c>
      <c r="P407" s="243"/>
      <c r="Q407" s="180" t="str">
        <f>IF(PEDIDOS[[#This Row],[Valor do item pago]]=PEDIDOS[[#This Row],[Total Item ]],"PAGO", "")</f>
        <v/>
      </c>
    </row>
    <row r="408" spans="1:17" s="216" customFormat="1" ht="39.950000000000003" customHeight="1" x14ac:dyDescent="0.25">
      <c r="A408" s="231"/>
      <c r="B408" s="240">
        <v>1343</v>
      </c>
      <c r="C408" s="241">
        <v>43985</v>
      </c>
      <c r="D408" s="242" t="s">
        <v>229</v>
      </c>
      <c r="E408" s="240" t="s">
        <v>229</v>
      </c>
      <c r="F408" s="240">
        <v>0</v>
      </c>
      <c r="G408" s="240">
        <v>0</v>
      </c>
      <c r="H408" s="240">
        <v>0</v>
      </c>
      <c r="I408" s="243">
        <v>0</v>
      </c>
      <c r="J408" s="243"/>
      <c r="K408" s="243"/>
      <c r="L408" s="240" t="s">
        <v>3</v>
      </c>
      <c r="M408" s="244">
        <v>4</v>
      </c>
      <c r="N408" s="245">
        <v>40</v>
      </c>
      <c r="O408" s="243">
        <v>160</v>
      </c>
      <c r="P408" s="243"/>
      <c r="Q408" s="180" t="str">
        <f>IF(PEDIDOS[[#This Row],[Valor do item pago]]=PEDIDOS[[#This Row],[Total Item ]],"PAGO", "")</f>
        <v/>
      </c>
    </row>
    <row r="409" spans="1:17" s="216" customFormat="1" ht="39.950000000000003" customHeight="1" x14ac:dyDescent="0.25">
      <c r="A409" s="231"/>
      <c r="B409" s="240">
        <v>1343</v>
      </c>
      <c r="C409" s="241">
        <v>43985</v>
      </c>
      <c r="D409" s="242" t="s">
        <v>229</v>
      </c>
      <c r="E409" s="240" t="s">
        <v>229</v>
      </c>
      <c r="F409" s="240">
        <v>0</v>
      </c>
      <c r="G409" s="240">
        <v>0</v>
      </c>
      <c r="H409" s="240">
        <v>0</v>
      </c>
      <c r="I409" s="243">
        <v>0</v>
      </c>
      <c r="J409" s="243"/>
      <c r="K409" s="243"/>
      <c r="L409" s="240" t="s">
        <v>219</v>
      </c>
      <c r="M409" s="244">
        <v>9</v>
      </c>
      <c r="N409" s="245">
        <v>40</v>
      </c>
      <c r="O409" s="243">
        <v>360</v>
      </c>
      <c r="P409" s="243"/>
      <c r="Q409" s="180" t="str">
        <f>IF(PEDIDOS[[#This Row],[Valor do item pago]]=PEDIDOS[[#This Row],[Total Item ]],"PAGO", "")</f>
        <v/>
      </c>
    </row>
    <row r="410" spans="1:17" s="216" customFormat="1" ht="39.950000000000003" customHeight="1" x14ac:dyDescent="0.25">
      <c r="A410" s="231"/>
      <c r="B410" s="240">
        <v>1343</v>
      </c>
      <c r="C410" s="241">
        <v>43985</v>
      </c>
      <c r="D410" s="242" t="s">
        <v>229</v>
      </c>
      <c r="E410" s="240" t="s">
        <v>229</v>
      </c>
      <c r="F410" s="240">
        <v>0</v>
      </c>
      <c r="G410" s="240">
        <v>0</v>
      </c>
      <c r="H410" s="240">
        <v>0</v>
      </c>
      <c r="I410" s="243">
        <v>0</v>
      </c>
      <c r="J410" s="243"/>
      <c r="K410" s="243"/>
      <c r="L410" s="240" t="s">
        <v>1</v>
      </c>
      <c r="M410" s="244">
        <v>7</v>
      </c>
      <c r="N410" s="245">
        <v>40</v>
      </c>
      <c r="O410" s="243">
        <v>280</v>
      </c>
      <c r="P410" s="243"/>
      <c r="Q410" s="180" t="str">
        <f>IF(PEDIDOS[[#This Row],[Valor do item pago]]=PEDIDOS[[#This Row],[Total Item ]],"PAGO", "")</f>
        <v/>
      </c>
    </row>
    <row r="411" spans="1:17" s="216" customFormat="1" ht="39.950000000000003" customHeight="1" x14ac:dyDescent="0.25">
      <c r="A411" s="231"/>
      <c r="B411" s="240">
        <v>1343</v>
      </c>
      <c r="C411" s="241">
        <v>43985</v>
      </c>
      <c r="D411" s="242" t="s">
        <v>229</v>
      </c>
      <c r="E411" s="240" t="s">
        <v>229</v>
      </c>
      <c r="F411" s="240">
        <v>0</v>
      </c>
      <c r="G411" s="240">
        <v>0</v>
      </c>
      <c r="H411" s="240">
        <v>0</v>
      </c>
      <c r="I411" s="243">
        <v>0</v>
      </c>
      <c r="J411" s="243"/>
      <c r="K411" s="243"/>
      <c r="L411" s="240" t="s">
        <v>0</v>
      </c>
      <c r="M411" s="244">
        <v>2</v>
      </c>
      <c r="N411" s="245">
        <v>40</v>
      </c>
      <c r="O411" s="243">
        <v>80</v>
      </c>
      <c r="P411" s="243"/>
      <c r="Q411" s="180" t="str">
        <f>IF(PEDIDOS[[#This Row],[Valor do item pago]]=PEDIDOS[[#This Row],[Total Item ]],"PAGO", "")</f>
        <v/>
      </c>
    </row>
    <row r="412" spans="1:17" s="216" customFormat="1" ht="39.950000000000003" customHeight="1" x14ac:dyDescent="0.25">
      <c r="A412" s="231"/>
      <c r="B412" s="240">
        <v>1342</v>
      </c>
      <c r="C412" s="241">
        <v>43985</v>
      </c>
      <c r="D412" s="242" t="s">
        <v>1134</v>
      </c>
      <c r="E412" s="240" t="s">
        <v>1735</v>
      </c>
      <c r="F412" s="240">
        <v>0</v>
      </c>
      <c r="G412" s="240">
        <v>0</v>
      </c>
      <c r="H412" s="240">
        <v>0</v>
      </c>
      <c r="I412" s="243">
        <v>0</v>
      </c>
      <c r="J412" s="243"/>
      <c r="K412" s="243"/>
      <c r="L412" s="240" t="s">
        <v>1</v>
      </c>
      <c r="M412" s="244">
        <v>2</v>
      </c>
      <c r="N412" s="245">
        <v>40</v>
      </c>
      <c r="O412" s="243">
        <v>80</v>
      </c>
      <c r="P412" s="243"/>
      <c r="Q412" s="180" t="str">
        <f>IF(PEDIDOS[[#This Row],[Valor do item pago]]=PEDIDOS[[#This Row],[Total Item ]],"PAGO", "")</f>
        <v/>
      </c>
    </row>
    <row r="413" spans="1:17" s="216" customFormat="1" ht="39.950000000000003" customHeight="1" x14ac:dyDescent="0.25">
      <c r="A413" s="231"/>
      <c r="B413" s="240">
        <v>1341</v>
      </c>
      <c r="C413" s="241">
        <v>43985</v>
      </c>
      <c r="D413" s="242" t="s">
        <v>1134</v>
      </c>
      <c r="E413" s="240" t="s">
        <v>1326</v>
      </c>
      <c r="F413" s="240" t="s">
        <v>1088</v>
      </c>
      <c r="G413" s="240" t="s">
        <v>1407</v>
      </c>
      <c r="H413" s="240" t="s">
        <v>570</v>
      </c>
      <c r="I413" s="243" t="s">
        <v>1090</v>
      </c>
      <c r="J413" s="243"/>
      <c r="K413" s="243"/>
      <c r="L413" s="240" t="s">
        <v>219</v>
      </c>
      <c r="M413" s="244">
        <v>1</v>
      </c>
      <c r="N413" s="245">
        <v>40</v>
      </c>
      <c r="O413" s="243">
        <v>40</v>
      </c>
      <c r="P413" s="243"/>
      <c r="Q413" s="180" t="str">
        <f>IF(PEDIDOS[[#This Row],[Valor do item pago]]=PEDIDOS[[#This Row],[Total Item ]],"PAGO", "")</f>
        <v/>
      </c>
    </row>
    <row r="414" spans="1:17" s="216" customFormat="1" ht="39.950000000000003" customHeight="1" x14ac:dyDescent="0.25">
      <c r="A414" s="231"/>
      <c r="B414" s="240">
        <v>1340</v>
      </c>
      <c r="C414" s="241">
        <v>43985</v>
      </c>
      <c r="D414" s="242" t="s">
        <v>1134</v>
      </c>
      <c r="E414" s="240" t="s">
        <v>1680</v>
      </c>
      <c r="F414" s="240" t="s">
        <v>1691</v>
      </c>
      <c r="G414" s="240" t="s">
        <v>1682</v>
      </c>
      <c r="H414" s="240" t="s">
        <v>645</v>
      </c>
      <c r="I414" s="243" t="s">
        <v>1681</v>
      </c>
      <c r="J414" s="243"/>
      <c r="K414" s="243"/>
      <c r="L414" s="240" t="s">
        <v>1</v>
      </c>
      <c r="M414" s="244">
        <v>1</v>
      </c>
      <c r="N414" s="245">
        <v>40</v>
      </c>
      <c r="O414" s="243">
        <v>40</v>
      </c>
      <c r="P414" s="243">
        <v>40</v>
      </c>
      <c r="Q414" s="180" t="str">
        <f>IF(PEDIDOS[[#This Row],[Valor do item pago]]=PEDIDOS[[#This Row],[Total Item ]],"PAGO", "")</f>
        <v>PAGO</v>
      </c>
    </row>
    <row r="415" spans="1:17" s="216" customFormat="1" ht="39.950000000000003" customHeight="1" x14ac:dyDescent="0.25">
      <c r="A415" s="231"/>
      <c r="B415" s="240">
        <v>1340</v>
      </c>
      <c r="C415" s="241">
        <v>43985</v>
      </c>
      <c r="D415" s="242" t="s">
        <v>1134</v>
      </c>
      <c r="E415" s="240" t="s">
        <v>1680</v>
      </c>
      <c r="F415" s="240" t="s">
        <v>1691</v>
      </c>
      <c r="G415" s="240" t="s">
        <v>1682</v>
      </c>
      <c r="H415" s="240" t="s">
        <v>645</v>
      </c>
      <c r="I415" s="243" t="s">
        <v>1681</v>
      </c>
      <c r="J415" s="243"/>
      <c r="K415" s="243"/>
      <c r="L415" s="240" t="s">
        <v>0</v>
      </c>
      <c r="M415" s="244">
        <v>1</v>
      </c>
      <c r="N415" s="245">
        <v>40</v>
      </c>
      <c r="O415" s="243">
        <v>40</v>
      </c>
      <c r="P415" s="243">
        <v>40</v>
      </c>
      <c r="Q415" s="180" t="str">
        <f>IF(PEDIDOS[[#This Row],[Valor do item pago]]=PEDIDOS[[#This Row],[Total Item ]],"PAGO", "")</f>
        <v>PAGO</v>
      </c>
    </row>
    <row r="416" spans="1:17" s="216" customFormat="1" ht="39.950000000000003" customHeight="1" x14ac:dyDescent="0.25">
      <c r="A416" s="231"/>
      <c r="B416" s="240">
        <v>1339</v>
      </c>
      <c r="C416" s="241">
        <v>43985</v>
      </c>
      <c r="D416" s="242" t="s">
        <v>1134</v>
      </c>
      <c r="E416" s="240" t="s">
        <v>1584</v>
      </c>
      <c r="F416" s="240" t="s">
        <v>1585</v>
      </c>
      <c r="G416" s="240" t="s">
        <v>1586</v>
      </c>
      <c r="H416" s="240" t="s">
        <v>651</v>
      </c>
      <c r="I416" s="243" t="s">
        <v>1587</v>
      </c>
      <c r="J416" s="243"/>
      <c r="K416" s="243"/>
      <c r="L416" s="240" t="s">
        <v>1</v>
      </c>
      <c r="M416" s="244">
        <v>1</v>
      </c>
      <c r="N416" s="245">
        <v>40</v>
      </c>
      <c r="O416" s="243">
        <v>40</v>
      </c>
      <c r="P416" s="243"/>
      <c r="Q416" s="180" t="str">
        <f>IF(PEDIDOS[[#This Row],[Valor do item pago]]=PEDIDOS[[#This Row],[Total Item ]],"PAGO", "")</f>
        <v/>
      </c>
    </row>
    <row r="417" spans="1:17" s="216" customFormat="1" ht="39.950000000000003" customHeight="1" x14ac:dyDescent="0.25">
      <c r="A417" s="231"/>
      <c r="B417" s="240">
        <v>1338</v>
      </c>
      <c r="C417" s="241">
        <v>43985</v>
      </c>
      <c r="D417" s="242" t="s">
        <v>1134</v>
      </c>
      <c r="E417" s="240" t="s">
        <v>966</v>
      </c>
      <c r="F417" s="240" t="s">
        <v>1073</v>
      </c>
      <c r="G417" s="240">
        <v>0</v>
      </c>
      <c r="H417" s="240" t="s">
        <v>40</v>
      </c>
      <c r="I417" s="243">
        <v>0</v>
      </c>
      <c r="J417" s="243"/>
      <c r="K417" s="243"/>
      <c r="L417" s="240" t="s">
        <v>3</v>
      </c>
      <c r="M417" s="244">
        <v>2</v>
      </c>
      <c r="N417" s="245">
        <v>40</v>
      </c>
      <c r="O417" s="243">
        <v>80</v>
      </c>
      <c r="P417" s="243"/>
      <c r="Q417" s="180" t="str">
        <f>IF(PEDIDOS[[#This Row],[Valor do item pago]]=PEDIDOS[[#This Row],[Total Item ]],"PAGO", "")</f>
        <v/>
      </c>
    </row>
    <row r="418" spans="1:17" s="216" customFormat="1" ht="39.950000000000003" customHeight="1" x14ac:dyDescent="0.25">
      <c r="A418" s="231"/>
      <c r="B418" s="240">
        <v>1338</v>
      </c>
      <c r="C418" s="241">
        <v>43985</v>
      </c>
      <c r="D418" s="242" t="s">
        <v>1134</v>
      </c>
      <c r="E418" s="240" t="s">
        <v>966</v>
      </c>
      <c r="F418" s="240" t="s">
        <v>1073</v>
      </c>
      <c r="G418" s="240">
        <v>0</v>
      </c>
      <c r="H418" s="240" t="s">
        <v>40</v>
      </c>
      <c r="I418" s="243">
        <v>0</v>
      </c>
      <c r="J418" s="243"/>
      <c r="K418" s="243"/>
      <c r="L418" s="240" t="s">
        <v>219</v>
      </c>
      <c r="M418" s="244">
        <v>2</v>
      </c>
      <c r="N418" s="245">
        <v>40</v>
      </c>
      <c r="O418" s="243">
        <v>80</v>
      </c>
      <c r="P418" s="243"/>
      <c r="Q418" s="180" t="str">
        <f>IF(PEDIDOS[[#This Row],[Valor do item pago]]=PEDIDOS[[#This Row],[Total Item ]],"PAGO", "")</f>
        <v/>
      </c>
    </row>
    <row r="419" spans="1:17" s="216" customFormat="1" ht="39.950000000000003" customHeight="1" x14ac:dyDescent="0.25">
      <c r="A419" s="231"/>
      <c r="B419" s="240">
        <v>1338</v>
      </c>
      <c r="C419" s="241">
        <v>43985</v>
      </c>
      <c r="D419" s="242" t="s">
        <v>1134</v>
      </c>
      <c r="E419" s="240" t="s">
        <v>966</v>
      </c>
      <c r="F419" s="240" t="s">
        <v>1073</v>
      </c>
      <c r="G419" s="240">
        <v>0</v>
      </c>
      <c r="H419" s="240" t="s">
        <v>40</v>
      </c>
      <c r="I419" s="243">
        <v>0</v>
      </c>
      <c r="J419" s="243"/>
      <c r="K419" s="243"/>
      <c r="L419" s="240" t="s">
        <v>1</v>
      </c>
      <c r="M419" s="244">
        <v>2</v>
      </c>
      <c r="N419" s="245">
        <v>40</v>
      </c>
      <c r="O419" s="243">
        <v>80</v>
      </c>
      <c r="P419" s="243"/>
      <c r="Q419" s="180" t="str">
        <f>IF(PEDIDOS[[#This Row],[Valor do item pago]]=PEDIDOS[[#This Row],[Total Item ]],"PAGO", "")</f>
        <v/>
      </c>
    </row>
    <row r="420" spans="1:17" s="216" customFormat="1" ht="39.950000000000003" customHeight="1" x14ac:dyDescent="0.25">
      <c r="A420" s="231"/>
      <c r="B420" s="240">
        <v>1338</v>
      </c>
      <c r="C420" s="241">
        <v>43985</v>
      </c>
      <c r="D420" s="242" t="s">
        <v>1134</v>
      </c>
      <c r="E420" s="240" t="s">
        <v>966</v>
      </c>
      <c r="F420" s="240" t="s">
        <v>1073</v>
      </c>
      <c r="G420" s="240">
        <v>0</v>
      </c>
      <c r="H420" s="240" t="s">
        <v>40</v>
      </c>
      <c r="I420" s="243">
        <v>0</v>
      </c>
      <c r="J420" s="243"/>
      <c r="K420" s="243"/>
      <c r="L420" s="240" t="s">
        <v>0</v>
      </c>
      <c r="M420" s="244">
        <v>2</v>
      </c>
      <c r="N420" s="245">
        <v>40</v>
      </c>
      <c r="O420" s="243">
        <v>80</v>
      </c>
      <c r="P420" s="243"/>
      <c r="Q420" s="180" t="str">
        <f>IF(PEDIDOS[[#This Row],[Valor do item pago]]=PEDIDOS[[#This Row],[Total Item ]],"PAGO", "")</f>
        <v/>
      </c>
    </row>
    <row r="421" spans="1:17" s="216" customFormat="1" ht="39.950000000000003" customHeight="1" x14ac:dyDescent="0.25">
      <c r="A421" s="231"/>
      <c r="B421" s="240">
        <v>1337</v>
      </c>
      <c r="C421" s="241">
        <v>43985</v>
      </c>
      <c r="D421" s="242" t="s">
        <v>1192</v>
      </c>
      <c r="E421" s="240" t="s">
        <v>1192</v>
      </c>
      <c r="F421" s="240" t="s">
        <v>1247</v>
      </c>
      <c r="G421" s="240">
        <v>0</v>
      </c>
      <c r="H421" s="240">
        <v>0</v>
      </c>
      <c r="I421" s="243">
        <v>0</v>
      </c>
      <c r="J421" s="243"/>
      <c r="K421" s="243"/>
      <c r="L421" s="240" t="s">
        <v>1</v>
      </c>
      <c r="M421" s="244">
        <v>2</v>
      </c>
      <c r="N421" s="245">
        <v>40</v>
      </c>
      <c r="O421" s="243">
        <v>80</v>
      </c>
      <c r="P421" s="243"/>
      <c r="Q421" s="180" t="str">
        <f>IF(PEDIDOS[[#This Row],[Valor do item pago]]=PEDIDOS[[#This Row],[Total Item ]],"PAGO", "")</f>
        <v/>
      </c>
    </row>
    <row r="422" spans="1:17" s="216" customFormat="1" ht="39.950000000000003" customHeight="1" x14ac:dyDescent="0.25">
      <c r="A422" s="231"/>
      <c r="B422" s="240">
        <v>1337</v>
      </c>
      <c r="C422" s="241">
        <v>43985</v>
      </c>
      <c r="D422" s="242" t="s">
        <v>1192</v>
      </c>
      <c r="E422" s="240" t="s">
        <v>1192</v>
      </c>
      <c r="F422" s="240" t="s">
        <v>1247</v>
      </c>
      <c r="G422" s="240">
        <v>0</v>
      </c>
      <c r="H422" s="240">
        <v>0</v>
      </c>
      <c r="I422" s="243">
        <v>0</v>
      </c>
      <c r="J422" s="243"/>
      <c r="K422" s="243"/>
      <c r="L422" s="240" t="s">
        <v>0</v>
      </c>
      <c r="M422" s="244">
        <v>2</v>
      </c>
      <c r="N422" s="245">
        <v>40</v>
      </c>
      <c r="O422" s="243">
        <v>80</v>
      </c>
      <c r="P422" s="243"/>
      <c r="Q422" s="180" t="str">
        <f>IF(PEDIDOS[[#This Row],[Valor do item pago]]=PEDIDOS[[#This Row],[Total Item ]],"PAGO", "")</f>
        <v/>
      </c>
    </row>
    <row r="423" spans="1:17" s="216" customFormat="1" ht="39.950000000000003" customHeight="1" x14ac:dyDescent="0.25">
      <c r="A423" s="231"/>
      <c r="B423" s="240">
        <v>1336</v>
      </c>
      <c r="C423" s="241">
        <v>43985</v>
      </c>
      <c r="D423" s="242" t="s">
        <v>732</v>
      </c>
      <c r="E423" s="240" t="s">
        <v>732</v>
      </c>
      <c r="F423" s="240" t="s">
        <v>733</v>
      </c>
      <c r="G423" s="240">
        <v>0</v>
      </c>
      <c r="H423" s="240" t="s">
        <v>40</v>
      </c>
      <c r="I423" s="243">
        <v>0</v>
      </c>
      <c r="J423" s="243"/>
      <c r="K423" s="243"/>
      <c r="L423" s="240" t="s">
        <v>219</v>
      </c>
      <c r="M423" s="244">
        <v>1</v>
      </c>
      <c r="N423" s="245">
        <v>40</v>
      </c>
      <c r="O423" s="243">
        <v>40</v>
      </c>
      <c r="P423" s="243"/>
      <c r="Q423" s="180" t="str">
        <f>IF(PEDIDOS[[#This Row],[Valor do item pago]]=PEDIDOS[[#This Row],[Total Item ]],"PAGO", "")</f>
        <v/>
      </c>
    </row>
    <row r="424" spans="1:17" s="216" customFormat="1" ht="39.950000000000003" customHeight="1" x14ac:dyDescent="0.25">
      <c r="A424" s="231"/>
      <c r="B424" s="240">
        <v>1336</v>
      </c>
      <c r="C424" s="241">
        <v>43985</v>
      </c>
      <c r="D424" s="242" t="s">
        <v>732</v>
      </c>
      <c r="E424" s="240" t="s">
        <v>732</v>
      </c>
      <c r="F424" s="240" t="s">
        <v>733</v>
      </c>
      <c r="G424" s="240">
        <v>0</v>
      </c>
      <c r="H424" s="240" t="s">
        <v>40</v>
      </c>
      <c r="I424" s="243">
        <v>0</v>
      </c>
      <c r="J424" s="243"/>
      <c r="K424" s="243"/>
      <c r="L424" s="240" t="s">
        <v>1</v>
      </c>
      <c r="M424" s="244">
        <v>1</v>
      </c>
      <c r="N424" s="245">
        <v>40</v>
      </c>
      <c r="O424" s="243">
        <v>40</v>
      </c>
      <c r="P424" s="243"/>
      <c r="Q424" s="180" t="str">
        <f>IF(PEDIDOS[[#This Row],[Valor do item pago]]=PEDIDOS[[#This Row],[Total Item ]],"PAGO", "")</f>
        <v/>
      </c>
    </row>
    <row r="425" spans="1:17" s="216" customFormat="1" ht="39.950000000000003" customHeight="1" x14ac:dyDescent="0.25">
      <c r="A425" s="231"/>
      <c r="B425" s="240">
        <v>1336</v>
      </c>
      <c r="C425" s="241">
        <v>43985</v>
      </c>
      <c r="D425" s="242" t="s">
        <v>732</v>
      </c>
      <c r="E425" s="240" t="s">
        <v>732</v>
      </c>
      <c r="F425" s="240" t="s">
        <v>733</v>
      </c>
      <c r="G425" s="240">
        <v>0</v>
      </c>
      <c r="H425" s="240" t="s">
        <v>40</v>
      </c>
      <c r="I425" s="243">
        <v>0</v>
      </c>
      <c r="J425" s="243"/>
      <c r="K425" s="243"/>
      <c r="L425" s="240" t="s">
        <v>0</v>
      </c>
      <c r="M425" s="244">
        <v>1</v>
      </c>
      <c r="N425" s="245">
        <v>40</v>
      </c>
      <c r="O425" s="243">
        <v>40</v>
      </c>
      <c r="P425" s="243"/>
      <c r="Q425" s="180" t="str">
        <f>IF(PEDIDOS[[#This Row],[Valor do item pago]]=PEDIDOS[[#This Row],[Total Item ]],"PAGO", "")</f>
        <v/>
      </c>
    </row>
    <row r="426" spans="1:17" s="216" customFormat="1" ht="39.950000000000003" customHeight="1" x14ac:dyDescent="0.25">
      <c r="A426" s="231"/>
      <c r="B426" s="240">
        <v>1335</v>
      </c>
      <c r="C426" s="241">
        <v>43985</v>
      </c>
      <c r="D426" s="242" t="s">
        <v>1134</v>
      </c>
      <c r="E426" s="240" t="s">
        <v>1583</v>
      </c>
      <c r="F426" s="240" t="s">
        <v>1696</v>
      </c>
      <c r="G426" s="240" t="s">
        <v>437</v>
      </c>
      <c r="H426" s="240" t="s">
        <v>84</v>
      </c>
      <c r="I426" s="243" t="s">
        <v>439</v>
      </c>
      <c r="J426" s="243"/>
      <c r="K426" s="243"/>
      <c r="L426" s="240" t="s">
        <v>219</v>
      </c>
      <c r="M426" s="244">
        <v>3</v>
      </c>
      <c r="N426" s="245">
        <v>40</v>
      </c>
      <c r="O426" s="243">
        <v>120</v>
      </c>
      <c r="P426" s="243"/>
      <c r="Q426" s="180" t="str">
        <f>IF(PEDIDOS[[#This Row],[Valor do item pago]]=PEDIDOS[[#This Row],[Total Item ]],"PAGO", "")</f>
        <v/>
      </c>
    </row>
    <row r="427" spans="1:17" s="216" customFormat="1" ht="39.950000000000003" customHeight="1" x14ac:dyDescent="0.25">
      <c r="A427" s="231"/>
      <c r="B427" s="240">
        <v>1334</v>
      </c>
      <c r="C427" s="241">
        <v>43985</v>
      </c>
      <c r="D427" s="242" t="s">
        <v>24</v>
      </c>
      <c r="E427" s="240" t="s">
        <v>25</v>
      </c>
      <c r="F427" s="240" t="s">
        <v>1222</v>
      </c>
      <c r="G427" s="240" t="s">
        <v>1411</v>
      </c>
      <c r="H427" s="240" t="s">
        <v>406</v>
      </c>
      <c r="I427" s="243" t="s">
        <v>329</v>
      </c>
      <c r="J427" s="243" t="s">
        <v>24</v>
      </c>
      <c r="K427" s="243"/>
      <c r="L427" s="240" t="s">
        <v>219</v>
      </c>
      <c r="M427" s="244">
        <v>2</v>
      </c>
      <c r="N427" s="245">
        <v>40</v>
      </c>
      <c r="O427" s="243">
        <v>80</v>
      </c>
      <c r="P427" s="243"/>
      <c r="Q427" s="180" t="str">
        <f>IF(PEDIDOS[[#This Row],[Valor do item pago]]=PEDIDOS[[#This Row],[Total Item ]],"PAGO", "")</f>
        <v/>
      </c>
    </row>
    <row r="428" spans="1:17" s="216" customFormat="1" ht="39.950000000000003" customHeight="1" x14ac:dyDescent="0.25">
      <c r="A428" s="231"/>
      <c r="B428" s="240">
        <v>1333</v>
      </c>
      <c r="C428" s="241">
        <v>43985</v>
      </c>
      <c r="D428" s="242" t="s">
        <v>24</v>
      </c>
      <c r="E428" s="240" t="s">
        <v>23</v>
      </c>
      <c r="F428" s="240">
        <v>0</v>
      </c>
      <c r="G428" s="240">
        <v>0</v>
      </c>
      <c r="H428" s="240">
        <v>0</v>
      </c>
      <c r="I428" s="243">
        <v>0</v>
      </c>
      <c r="J428" s="243" t="s">
        <v>1734</v>
      </c>
      <c r="K428" s="243" t="s">
        <v>24</v>
      </c>
      <c r="L428" s="240" t="s">
        <v>219</v>
      </c>
      <c r="M428" s="244">
        <v>4</v>
      </c>
      <c r="N428" s="245">
        <v>40</v>
      </c>
      <c r="O428" s="243">
        <v>160</v>
      </c>
      <c r="P428" s="243"/>
      <c r="Q428" s="180" t="str">
        <f>IF(PEDIDOS[[#This Row],[Valor do item pago]]=PEDIDOS[[#This Row],[Total Item ]],"PAGO", "")</f>
        <v/>
      </c>
    </row>
    <row r="429" spans="1:17" s="216" customFormat="1" ht="39.950000000000003" customHeight="1" x14ac:dyDescent="0.25">
      <c r="A429" s="231"/>
      <c r="B429" s="240">
        <v>1332</v>
      </c>
      <c r="C429" s="241">
        <v>43985</v>
      </c>
      <c r="D429" s="242" t="s">
        <v>24</v>
      </c>
      <c r="E429" s="240" t="s">
        <v>1255</v>
      </c>
      <c r="F429" s="240" t="s">
        <v>1210</v>
      </c>
      <c r="G429" s="240">
        <v>0</v>
      </c>
      <c r="H429" s="240">
        <v>0</v>
      </c>
      <c r="I429" s="243">
        <v>0</v>
      </c>
      <c r="J429" s="243"/>
      <c r="K429" s="243"/>
      <c r="L429" s="240" t="s">
        <v>3</v>
      </c>
      <c r="M429" s="244">
        <v>2</v>
      </c>
      <c r="N429" s="245">
        <v>40</v>
      </c>
      <c r="O429" s="243">
        <v>80</v>
      </c>
      <c r="P429" s="243"/>
      <c r="Q429" s="180" t="str">
        <f>IF(PEDIDOS[[#This Row],[Valor do item pago]]=PEDIDOS[[#This Row],[Total Item ]],"PAGO", "")</f>
        <v/>
      </c>
    </row>
    <row r="430" spans="1:17" s="216" customFormat="1" ht="39.950000000000003" customHeight="1" x14ac:dyDescent="0.25">
      <c r="A430" s="231"/>
      <c r="B430" s="240">
        <v>1331</v>
      </c>
      <c r="C430" s="241">
        <v>43985</v>
      </c>
      <c r="D430" s="242" t="s">
        <v>24</v>
      </c>
      <c r="E430" s="240" t="s">
        <v>13</v>
      </c>
      <c r="F430" s="240" t="s">
        <v>1491</v>
      </c>
      <c r="G430" s="240" t="s">
        <v>1492</v>
      </c>
      <c r="H430" s="240" t="s">
        <v>1197</v>
      </c>
      <c r="I430" s="243" t="s">
        <v>1493</v>
      </c>
      <c r="J430" s="243"/>
      <c r="K430" s="243" t="s">
        <v>24</v>
      </c>
      <c r="L430" s="240" t="s">
        <v>3</v>
      </c>
      <c r="M430" s="244">
        <v>1</v>
      </c>
      <c r="N430" s="245">
        <v>40</v>
      </c>
      <c r="O430" s="243">
        <v>40</v>
      </c>
      <c r="P430" s="243"/>
      <c r="Q430" s="180" t="str">
        <f>IF(PEDIDOS[[#This Row],[Valor do item pago]]=PEDIDOS[[#This Row],[Total Item ]],"PAGO", "")</f>
        <v/>
      </c>
    </row>
    <row r="431" spans="1:17" s="216" customFormat="1" ht="39.950000000000003" customHeight="1" x14ac:dyDescent="0.25">
      <c r="A431" s="231"/>
      <c r="B431" s="240">
        <v>1331</v>
      </c>
      <c r="C431" s="241">
        <v>43985</v>
      </c>
      <c r="D431" s="242" t="s">
        <v>24</v>
      </c>
      <c r="E431" s="240" t="s">
        <v>13</v>
      </c>
      <c r="F431" s="240" t="s">
        <v>1491</v>
      </c>
      <c r="G431" s="240" t="s">
        <v>1492</v>
      </c>
      <c r="H431" s="240" t="s">
        <v>1197</v>
      </c>
      <c r="I431" s="243" t="s">
        <v>1493</v>
      </c>
      <c r="J431" s="243"/>
      <c r="K431" s="243" t="s">
        <v>24</v>
      </c>
      <c r="L431" s="240" t="s">
        <v>219</v>
      </c>
      <c r="M431" s="244">
        <v>1</v>
      </c>
      <c r="N431" s="245">
        <v>40</v>
      </c>
      <c r="O431" s="243">
        <v>40</v>
      </c>
      <c r="P431" s="243"/>
      <c r="Q431" s="180" t="str">
        <f>IF(PEDIDOS[[#This Row],[Valor do item pago]]=PEDIDOS[[#This Row],[Total Item ]],"PAGO", "")</f>
        <v/>
      </c>
    </row>
    <row r="432" spans="1:17" s="216" customFormat="1" ht="39.950000000000003" customHeight="1" x14ac:dyDescent="0.25">
      <c r="A432" s="231"/>
      <c r="B432" s="240">
        <v>1330</v>
      </c>
      <c r="C432" s="241">
        <v>43985</v>
      </c>
      <c r="D432" s="242" t="s">
        <v>45</v>
      </c>
      <c r="E432" s="240" t="s">
        <v>1353</v>
      </c>
      <c r="F432" s="240" t="s">
        <v>930</v>
      </c>
      <c r="G432" s="240">
        <v>0</v>
      </c>
      <c r="H432" s="240" t="s">
        <v>40</v>
      </c>
      <c r="I432" s="243">
        <v>0</v>
      </c>
      <c r="J432" s="243"/>
      <c r="K432" s="243"/>
      <c r="L432" s="240" t="s">
        <v>1</v>
      </c>
      <c r="M432" s="244">
        <v>1</v>
      </c>
      <c r="N432" s="245">
        <v>40</v>
      </c>
      <c r="O432" s="243">
        <v>40</v>
      </c>
      <c r="P432" s="243"/>
      <c r="Q432" s="180" t="str">
        <f>IF(PEDIDOS[[#This Row],[Valor do item pago]]=PEDIDOS[[#This Row],[Total Item ]],"PAGO", "")</f>
        <v/>
      </c>
    </row>
    <row r="433" spans="1:17" s="216" customFormat="1" ht="39.950000000000003" customHeight="1" x14ac:dyDescent="0.25">
      <c r="A433" s="231"/>
      <c r="B433" s="240">
        <v>1329</v>
      </c>
      <c r="C433" s="241">
        <v>43985</v>
      </c>
      <c r="D433" s="242" t="s">
        <v>45</v>
      </c>
      <c r="E433" s="240" t="s">
        <v>350</v>
      </c>
      <c r="F433" s="240" t="s">
        <v>1221</v>
      </c>
      <c r="G433" s="240" t="s">
        <v>1366</v>
      </c>
      <c r="H433" s="240" t="s">
        <v>394</v>
      </c>
      <c r="I433" s="243" t="s">
        <v>424</v>
      </c>
      <c r="J433" s="243"/>
      <c r="K433" s="243"/>
      <c r="L433" s="240" t="s">
        <v>0</v>
      </c>
      <c r="M433" s="244">
        <v>1</v>
      </c>
      <c r="N433" s="245">
        <v>40</v>
      </c>
      <c r="O433" s="243">
        <v>40</v>
      </c>
      <c r="P433" s="243"/>
      <c r="Q433" s="180" t="str">
        <f>IF(PEDIDOS[[#This Row],[Valor do item pago]]=PEDIDOS[[#This Row],[Total Item ]],"PAGO", "")</f>
        <v/>
      </c>
    </row>
    <row r="434" spans="1:17" s="216" customFormat="1" ht="39.950000000000003" customHeight="1" x14ac:dyDescent="0.25">
      <c r="A434" s="231"/>
      <c r="B434" s="240">
        <v>1328</v>
      </c>
      <c r="C434" s="241">
        <v>43985</v>
      </c>
      <c r="D434" s="242" t="s">
        <v>45</v>
      </c>
      <c r="E434" s="240" t="s">
        <v>948</v>
      </c>
      <c r="F434" s="240" t="s">
        <v>951</v>
      </c>
      <c r="G434" s="240" t="s">
        <v>1444</v>
      </c>
      <c r="H434" s="240" t="s">
        <v>520</v>
      </c>
      <c r="I434" s="243" t="s">
        <v>950</v>
      </c>
      <c r="J434" s="243"/>
      <c r="K434" s="243"/>
      <c r="L434" s="240" t="s">
        <v>1</v>
      </c>
      <c r="M434" s="244">
        <v>1</v>
      </c>
      <c r="N434" s="245">
        <v>40</v>
      </c>
      <c r="O434" s="243">
        <v>40</v>
      </c>
      <c r="P434" s="243"/>
      <c r="Q434" s="180" t="str">
        <f>IF(PEDIDOS[[#This Row],[Valor do item pago]]=PEDIDOS[[#This Row],[Total Item ]],"PAGO", "")</f>
        <v/>
      </c>
    </row>
    <row r="435" spans="1:17" s="216" customFormat="1" ht="39.950000000000003" customHeight="1" x14ac:dyDescent="0.25">
      <c r="A435" s="231"/>
      <c r="B435" s="240">
        <v>1328</v>
      </c>
      <c r="C435" s="241">
        <v>43985</v>
      </c>
      <c r="D435" s="242" t="s">
        <v>45</v>
      </c>
      <c r="E435" s="240" t="s">
        <v>948</v>
      </c>
      <c r="F435" s="240" t="s">
        <v>951</v>
      </c>
      <c r="G435" s="240" t="s">
        <v>1444</v>
      </c>
      <c r="H435" s="240" t="s">
        <v>520</v>
      </c>
      <c r="I435" s="243" t="s">
        <v>950</v>
      </c>
      <c r="J435" s="243"/>
      <c r="K435" s="243"/>
      <c r="L435" s="240" t="s">
        <v>0</v>
      </c>
      <c r="M435" s="244">
        <v>1</v>
      </c>
      <c r="N435" s="245">
        <v>40</v>
      </c>
      <c r="O435" s="243">
        <v>40</v>
      </c>
      <c r="P435" s="243"/>
      <c r="Q435" s="180" t="str">
        <f>IF(PEDIDOS[[#This Row],[Valor do item pago]]=PEDIDOS[[#This Row],[Total Item ]],"PAGO", "")</f>
        <v/>
      </c>
    </row>
    <row r="436" spans="1:17" s="216" customFormat="1" ht="39.950000000000003" customHeight="1" x14ac:dyDescent="0.25">
      <c r="A436" s="231"/>
      <c r="B436" s="240">
        <v>1293</v>
      </c>
      <c r="C436" s="241">
        <v>43894</v>
      </c>
      <c r="D436" s="242" t="s">
        <v>411</v>
      </c>
      <c r="E436" s="240" t="s">
        <v>1731</v>
      </c>
      <c r="F436" s="240" t="s">
        <v>1732</v>
      </c>
      <c r="G436" s="240" t="s">
        <v>1733</v>
      </c>
      <c r="H436" s="240" t="s">
        <v>112</v>
      </c>
      <c r="I436" s="243" t="s">
        <v>421</v>
      </c>
      <c r="J436" s="243"/>
      <c r="K436" s="243"/>
      <c r="L436" s="240" t="s">
        <v>1</v>
      </c>
      <c r="M436" s="244">
        <v>1</v>
      </c>
      <c r="N436" s="245">
        <v>40</v>
      </c>
      <c r="O436" s="243">
        <v>40</v>
      </c>
      <c r="P436" s="243"/>
      <c r="Q436" s="180" t="str">
        <f>IF(PEDIDOS[[#This Row],[Valor do item pago]]=PEDIDOS[[#This Row],[Total Item ]],"PAGO", "")</f>
        <v/>
      </c>
    </row>
    <row r="437" spans="1:17" s="216" customFormat="1" ht="39.950000000000003" customHeight="1" x14ac:dyDescent="0.25">
      <c r="A437" s="231"/>
      <c r="B437" s="240">
        <v>1326</v>
      </c>
      <c r="C437" s="241">
        <v>43894</v>
      </c>
      <c r="D437" s="242" t="s">
        <v>1025</v>
      </c>
      <c r="E437" s="240" t="s">
        <v>1725</v>
      </c>
      <c r="F437" s="240" t="s">
        <v>1726</v>
      </c>
      <c r="G437" s="240" t="s">
        <v>1727</v>
      </c>
      <c r="H437" s="240" t="s">
        <v>461</v>
      </c>
      <c r="I437" s="243" t="s">
        <v>1728</v>
      </c>
      <c r="J437" s="243"/>
      <c r="K437" s="243"/>
      <c r="L437" s="240" t="s">
        <v>0</v>
      </c>
      <c r="M437" s="244">
        <v>1</v>
      </c>
      <c r="N437" s="245">
        <v>40</v>
      </c>
      <c r="O437" s="243">
        <v>40</v>
      </c>
      <c r="P437" s="243"/>
      <c r="Q437" s="180" t="str">
        <f>IF(PEDIDOS[[#This Row],[Valor do item pago]]=PEDIDOS[[#This Row],[Total Item ]],"PAGO", "")</f>
        <v/>
      </c>
    </row>
    <row r="438" spans="1:17" s="216" customFormat="1" ht="39.950000000000003" customHeight="1" x14ac:dyDescent="0.25">
      <c r="A438" s="231"/>
      <c r="B438" s="240">
        <v>1325</v>
      </c>
      <c r="C438" s="241">
        <v>43894</v>
      </c>
      <c r="D438" s="242" t="s">
        <v>1025</v>
      </c>
      <c r="E438" s="240" t="s">
        <v>374</v>
      </c>
      <c r="F438" s="240" t="s">
        <v>1246</v>
      </c>
      <c r="G438" s="240" t="s">
        <v>1422</v>
      </c>
      <c r="H438" s="240" t="s">
        <v>402</v>
      </c>
      <c r="I438" s="243" t="s">
        <v>658</v>
      </c>
      <c r="J438" s="243"/>
      <c r="K438" s="243"/>
      <c r="L438" s="240" t="s">
        <v>1</v>
      </c>
      <c r="M438" s="244">
        <v>1</v>
      </c>
      <c r="N438" s="245">
        <v>40</v>
      </c>
      <c r="O438" s="243">
        <v>40</v>
      </c>
      <c r="P438" s="243"/>
      <c r="Q438" s="180" t="str">
        <f>IF(PEDIDOS[[#This Row],[Valor do item pago]]=PEDIDOS[[#This Row],[Total Item ]],"PAGO", "")</f>
        <v/>
      </c>
    </row>
    <row r="439" spans="1:17" s="216" customFormat="1" ht="39.950000000000003" customHeight="1" x14ac:dyDescent="0.25">
      <c r="A439" s="231"/>
      <c r="B439" s="240">
        <v>1325</v>
      </c>
      <c r="C439" s="241">
        <v>43894</v>
      </c>
      <c r="D439" s="242" t="s">
        <v>1025</v>
      </c>
      <c r="E439" s="240" t="s">
        <v>374</v>
      </c>
      <c r="F439" s="240" t="s">
        <v>1246</v>
      </c>
      <c r="G439" s="240" t="s">
        <v>1422</v>
      </c>
      <c r="H439" s="240" t="s">
        <v>402</v>
      </c>
      <c r="I439" s="243" t="s">
        <v>658</v>
      </c>
      <c r="J439" s="243"/>
      <c r="K439" s="243"/>
      <c r="L439" s="240" t="s">
        <v>0</v>
      </c>
      <c r="M439" s="244">
        <v>1</v>
      </c>
      <c r="N439" s="245">
        <v>40</v>
      </c>
      <c r="O439" s="243">
        <v>40</v>
      </c>
      <c r="P439" s="243"/>
      <c r="Q439" s="180" t="str">
        <f>IF(PEDIDOS[[#This Row],[Valor do item pago]]=PEDIDOS[[#This Row],[Total Item ]],"PAGO", "")</f>
        <v/>
      </c>
    </row>
    <row r="440" spans="1:17" s="216" customFormat="1" ht="39.950000000000003" customHeight="1" x14ac:dyDescent="0.25">
      <c r="A440" s="231"/>
      <c r="B440" s="240">
        <v>1324</v>
      </c>
      <c r="C440" s="241">
        <v>43894</v>
      </c>
      <c r="D440" s="242" t="s">
        <v>1025</v>
      </c>
      <c r="E440" s="240" t="s">
        <v>1620</v>
      </c>
      <c r="F440" s="240" t="s">
        <v>1615</v>
      </c>
      <c r="G440" s="240" t="s">
        <v>1628</v>
      </c>
      <c r="H440" s="240" t="s">
        <v>1378</v>
      </c>
      <c r="I440" s="243" t="s">
        <v>1627</v>
      </c>
      <c r="J440" s="243"/>
      <c r="K440" s="243"/>
      <c r="L440" s="240" t="s">
        <v>1</v>
      </c>
      <c r="M440" s="244">
        <v>1</v>
      </c>
      <c r="N440" s="245">
        <v>40</v>
      </c>
      <c r="O440" s="243">
        <v>40</v>
      </c>
      <c r="P440" s="243"/>
      <c r="Q440" s="180" t="str">
        <f>IF(PEDIDOS[[#This Row],[Valor do item pago]]=PEDIDOS[[#This Row],[Total Item ]],"PAGO", "")</f>
        <v/>
      </c>
    </row>
    <row r="441" spans="1:17" s="216" customFormat="1" ht="39.950000000000003" customHeight="1" x14ac:dyDescent="0.25">
      <c r="A441" s="231"/>
      <c r="B441" s="240">
        <v>1323</v>
      </c>
      <c r="C441" s="241">
        <v>43894</v>
      </c>
      <c r="D441" s="242" t="s">
        <v>1025</v>
      </c>
      <c r="E441" s="240" t="s">
        <v>1524</v>
      </c>
      <c r="F441" s="240" t="s">
        <v>751</v>
      </c>
      <c r="G441" s="240" t="s">
        <v>1525</v>
      </c>
      <c r="H441" s="240" t="s">
        <v>1282</v>
      </c>
      <c r="I441" s="243" t="s">
        <v>1526</v>
      </c>
      <c r="J441" s="243"/>
      <c r="K441" s="243"/>
      <c r="L441" s="240" t="s">
        <v>1</v>
      </c>
      <c r="M441" s="244">
        <v>1</v>
      </c>
      <c r="N441" s="245">
        <v>40</v>
      </c>
      <c r="O441" s="243">
        <v>40</v>
      </c>
      <c r="P441" s="243"/>
      <c r="Q441" s="180" t="str">
        <f>IF(PEDIDOS[[#This Row],[Valor do item pago]]=PEDIDOS[[#This Row],[Total Item ]],"PAGO", "")</f>
        <v/>
      </c>
    </row>
    <row r="442" spans="1:17" s="216" customFormat="1" ht="39.950000000000003" customHeight="1" x14ac:dyDescent="0.25">
      <c r="A442" s="231"/>
      <c r="B442" s="240">
        <v>1322</v>
      </c>
      <c r="C442" s="241">
        <v>43894</v>
      </c>
      <c r="D442" s="242" t="s">
        <v>1025</v>
      </c>
      <c r="E442" s="240" t="s">
        <v>1592</v>
      </c>
      <c r="F442" s="240" t="s">
        <v>1593</v>
      </c>
      <c r="G442" s="240" t="s">
        <v>1723</v>
      </c>
      <c r="H442" s="240" t="s">
        <v>112</v>
      </c>
      <c r="I442" s="243" t="s">
        <v>1724</v>
      </c>
      <c r="J442" s="243"/>
      <c r="K442" s="243"/>
      <c r="L442" s="240" t="s">
        <v>1</v>
      </c>
      <c r="M442" s="244">
        <v>1</v>
      </c>
      <c r="N442" s="245">
        <v>40</v>
      </c>
      <c r="O442" s="243">
        <v>40</v>
      </c>
      <c r="P442" s="243"/>
      <c r="Q442" s="180" t="str">
        <f>IF(PEDIDOS[[#This Row],[Valor do item pago]]=PEDIDOS[[#This Row],[Total Item ]],"PAGO", "")</f>
        <v/>
      </c>
    </row>
    <row r="443" spans="1:17" s="216" customFormat="1" ht="39.950000000000003" customHeight="1" x14ac:dyDescent="0.25">
      <c r="A443" s="231"/>
      <c r="B443" s="240">
        <v>1321</v>
      </c>
      <c r="C443" s="241">
        <v>43894</v>
      </c>
      <c r="D443" s="242" t="s">
        <v>1025</v>
      </c>
      <c r="E443" s="240" t="s">
        <v>351</v>
      </c>
      <c r="F443" s="240">
        <v>0</v>
      </c>
      <c r="G443" s="240" t="s">
        <v>1369</v>
      </c>
      <c r="H443" s="240" t="s">
        <v>1257</v>
      </c>
      <c r="I443" s="243" t="s">
        <v>426</v>
      </c>
      <c r="J443" s="243"/>
      <c r="K443" s="243" t="s">
        <v>1025</v>
      </c>
      <c r="L443" s="240" t="s">
        <v>1</v>
      </c>
      <c r="M443" s="244">
        <v>1</v>
      </c>
      <c r="N443" s="245">
        <v>40</v>
      </c>
      <c r="O443" s="243">
        <v>40</v>
      </c>
      <c r="P443" s="243"/>
      <c r="Q443" s="180" t="str">
        <f>IF(PEDIDOS[[#This Row],[Valor do item pago]]=PEDIDOS[[#This Row],[Total Item ]],"PAGO", "")</f>
        <v/>
      </c>
    </row>
    <row r="444" spans="1:17" s="216" customFormat="1" ht="39.950000000000003" customHeight="1" x14ac:dyDescent="0.25">
      <c r="A444" s="231"/>
      <c r="B444" s="240">
        <v>1320</v>
      </c>
      <c r="C444" s="241">
        <v>43894</v>
      </c>
      <c r="D444" s="242" t="s">
        <v>1025</v>
      </c>
      <c r="E444" s="240" t="s">
        <v>1286</v>
      </c>
      <c r="F444" s="240">
        <v>0</v>
      </c>
      <c r="G444" s="240">
        <v>0</v>
      </c>
      <c r="H444" s="240">
        <v>0</v>
      </c>
      <c r="I444" s="243">
        <v>0</v>
      </c>
      <c r="J444" s="243"/>
      <c r="K444" s="243" t="s">
        <v>1025</v>
      </c>
      <c r="L444" s="240" t="s">
        <v>1</v>
      </c>
      <c r="M444" s="244">
        <v>1</v>
      </c>
      <c r="N444" s="245">
        <v>40</v>
      </c>
      <c r="O444" s="243">
        <v>40</v>
      </c>
      <c r="P444" s="243"/>
      <c r="Q444" s="180" t="str">
        <f>IF(PEDIDOS[[#This Row],[Valor do item pago]]=PEDIDOS[[#This Row],[Total Item ]],"PAGO", "")</f>
        <v/>
      </c>
    </row>
    <row r="445" spans="1:17" s="216" customFormat="1" ht="39.950000000000003" customHeight="1" x14ac:dyDescent="0.25">
      <c r="A445" s="231"/>
      <c r="B445" s="240">
        <v>1319</v>
      </c>
      <c r="C445" s="241">
        <v>43894</v>
      </c>
      <c r="D445" s="242" t="s">
        <v>1025</v>
      </c>
      <c r="E445" s="240" t="s">
        <v>25</v>
      </c>
      <c r="F445" s="240" t="s">
        <v>1222</v>
      </c>
      <c r="G445" s="240" t="s">
        <v>1411</v>
      </c>
      <c r="H445" s="240" t="s">
        <v>406</v>
      </c>
      <c r="I445" s="243" t="s">
        <v>329</v>
      </c>
      <c r="J445" s="243" t="s">
        <v>1591</v>
      </c>
      <c r="K445" s="243"/>
      <c r="L445" s="240" t="s">
        <v>219</v>
      </c>
      <c r="M445" s="244">
        <v>2</v>
      </c>
      <c r="N445" s="245">
        <v>40</v>
      </c>
      <c r="O445" s="243">
        <v>80</v>
      </c>
      <c r="P445" s="243"/>
      <c r="Q445" s="180" t="str">
        <f>IF(PEDIDOS[[#This Row],[Valor do item pago]]=PEDIDOS[[#This Row],[Total Item ]],"PAGO", "")</f>
        <v/>
      </c>
    </row>
    <row r="446" spans="1:17" s="216" customFormat="1" ht="39.950000000000003" customHeight="1" x14ac:dyDescent="0.25">
      <c r="A446" s="231"/>
      <c r="B446" s="240">
        <v>1318</v>
      </c>
      <c r="C446" s="241">
        <v>43894</v>
      </c>
      <c r="D446" s="242" t="s">
        <v>1134</v>
      </c>
      <c r="E446" s="240" t="s">
        <v>1719</v>
      </c>
      <c r="F446" s="240">
        <v>0</v>
      </c>
      <c r="G446" s="240" t="s">
        <v>1720</v>
      </c>
      <c r="H446" s="240" t="s">
        <v>441</v>
      </c>
      <c r="I446" s="243" t="s">
        <v>1721</v>
      </c>
      <c r="J446" s="243" t="s">
        <v>1722</v>
      </c>
      <c r="K446" s="243"/>
      <c r="L446" s="240" t="s">
        <v>3</v>
      </c>
      <c r="M446" s="244">
        <v>1</v>
      </c>
      <c r="N446" s="245">
        <v>40</v>
      </c>
      <c r="O446" s="243">
        <v>40</v>
      </c>
      <c r="P446" s="243"/>
      <c r="Q446" s="180" t="str">
        <f>IF(PEDIDOS[[#This Row],[Valor do item pago]]=PEDIDOS[[#This Row],[Total Item ]],"PAGO", "")</f>
        <v/>
      </c>
    </row>
    <row r="447" spans="1:17" s="216" customFormat="1" ht="39.950000000000003" customHeight="1" x14ac:dyDescent="0.25">
      <c r="A447" s="231"/>
      <c r="B447" s="240">
        <v>1318</v>
      </c>
      <c r="C447" s="241">
        <v>43894</v>
      </c>
      <c r="D447" s="242" t="s">
        <v>1134</v>
      </c>
      <c r="E447" s="240" t="s">
        <v>1719</v>
      </c>
      <c r="F447" s="240">
        <v>0</v>
      </c>
      <c r="G447" s="240" t="s">
        <v>1720</v>
      </c>
      <c r="H447" s="240" t="s">
        <v>441</v>
      </c>
      <c r="I447" s="243" t="s">
        <v>1721</v>
      </c>
      <c r="J447" s="243" t="s">
        <v>1722</v>
      </c>
      <c r="K447" s="243"/>
      <c r="L447" s="240" t="s">
        <v>219</v>
      </c>
      <c r="M447" s="244">
        <v>1</v>
      </c>
      <c r="N447" s="245">
        <v>40</v>
      </c>
      <c r="O447" s="243">
        <v>40</v>
      </c>
      <c r="P447" s="243"/>
      <c r="Q447" s="180" t="str">
        <f>IF(PEDIDOS[[#This Row],[Valor do item pago]]=PEDIDOS[[#This Row],[Total Item ]],"PAGO", "")</f>
        <v/>
      </c>
    </row>
    <row r="448" spans="1:17" s="216" customFormat="1" ht="39.950000000000003" customHeight="1" x14ac:dyDescent="0.25">
      <c r="A448" s="231"/>
      <c r="B448" s="240">
        <v>1317</v>
      </c>
      <c r="C448" s="241">
        <v>43894</v>
      </c>
      <c r="D448" s="242" t="s">
        <v>1134</v>
      </c>
      <c r="E448" s="240" t="s">
        <v>1718</v>
      </c>
      <c r="F448" s="240">
        <v>0</v>
      </c>
      <c r="G448" s="240">
        <v>0</v>
      </c>
      <c r="H448" s="240">
        <v>0</v>
      </c>
      <c r="I448" s="243">
        <v>0</v>
      </c>
      <c r="J448" s="243"/>
      <c r="K448" s="243" t="s">
        <v>40</v>
      </c>
      <c r="L448" s="240" t="s">
        <v>3</v>
      </c>
      <c r="M448" s="244">
        <v>1</v>
      </c>
      <c r="N448" s="245">
        <v>40</v>
      </c>
      <c r="O448" s="243">
        <v>40</v>
      </c>
      <c r="P448" s="243"/>
      <c r="Q448" s="180" t="str">
        <f>IF(PEDIDOS[[#This Row],[Valor do item pago]]=PEDIDOS[[#This Row],[Total Item ]],"PAGO", "")</f>
        <v/>
      </c>
    </row>
    <row r="449" spans="1:17" s="216" customFormat="1" ht="39.950000000000003" customHeight="1" x14ac:dyDescent="0.25">
      <c r="A449" s="231"/>
      <c r="B449" s="240">
        <v>1317</v>
      </c>
      <c r="C449" s="241">
        <v>43894</v>
      </c>
      <c r="D449" s="242" t="s">
        <v>1134</v>
      </c>
      <c r="E449" s="240" t="s">
        <v>1718</v>
      </c>
      <c r="F449" s="240">
        <v>0</v>
      </c>
      <c r="G449" s="240">
        <v>0</v>
      </c>
      <c r="H449" s="240">
        <v>0</v>
      </c>
      <c r="I449" s="243">
        <v>0</v>
      </c>
      <c r="J449" s="243"/>
      <c r="K449" s="243" t="s">
        <v>40</v>
      </c>
      <c r="L449" s="240" t="s">
        <v>1</v>
      </c>
      <c r="M449" s="244">
        <v>3</v>
      </c>
      <c r="N449" s="245">
        <v>40</v>
      </c>
      <c r="O449" s="243">
        <v>120</v>
      </c>
      <c r="P449" s="243"/>
      <c r="Q449" s="180" t="str">
        <f>IF(PEDIDOS[[#This Row],[Valor do item pago]]=PEDIDOS[[#This Row],[Total Item ]],"PAGO", "")</f>
        <v/>
      </c>
    </row>
    <row r="450" spans="1:17" s="216" customFormat="1" ht="39.950000000000003" customHeight="1" x14ac:dyDescent="0.25">
      <c r="A450" s="231"/>
      <c r="B450" s="240">
        <v>1317</v>
      </c>
      <c r="C450" s="241">
        <v>43894</v>
      </c>
      <c r="D450" s="242" t="s">
        <v>1134</v>
      </c>
      <c r="E450" s="240" t="s">
        <v>1718</v>
      </c>
      <c r="F450" s="240">
        <v>0</v>
      </c>
      <c r="G450" s="240">
        <v>0</v>
      </c>
      <c r="H450" s="240">
        <v>0</v>
      </c>
      <c r="I450" s="243">
        <v>0</v>
      </c>
      <c r="J450" s="243"/>
      <c r="K450" s="243" t="s">
        <v>40</v>
      </c>
      <c r="L450" s="240" t="s">
        <v>0</v>
      </c>
      <c r="M450" s="244">
        <v>1</v>
      </c>
      <c r="N450" s="245">
        <v>40</v>
      </c>
      <c r="O450" s="243">
        <v>40</v>
      </c>
      <c r="P450" s="243"/>
      <c r="Q450" s="180" t="str">
        <f>IF(PEDIDOS[[#This Row],[Valor do item pago]]=PEDIDOS[[#This Row],[Total Item ]],"PAGO", "")</f>
        <v/>
      </c>
    </row>
    <row r="451" spans="1:17" s="216" customFormat="1" ht="39.950000000000003" customHeight="1" x14ac:dyDescent="0.25">
      <c r="A451" s="231"/>
      <c r="B451" s="240">
        <v>1316</v>
      </c>
      <c r="C451" s="241">
        <v>43894</v>
      </c>
      <c r="D451" s="242" t="s">
        <v>11</v>
      </c>
      <c r="E451" s="240" t="s">
        <v>1648</v>
      </c>
      <c r="F451" s="240" t="s">
        <v>1649</v>
      </c>
      <c r="G451" s="240" t="s">
        <v>1650</v>
      </c>
      <c r="H451" s="240" t="s">
        <v>84</v>
      </c>
      <c r="I451" s="243" t="s">
        <v>1652</v>
      </c>
      <c r="J451" s="243"/>
      <c r="K451" s="243"/>
      <c r="L451" s="240" t="s">
        <v>219</v>
      </c>
      <c r="M451" s="244">
        <v>1</v>
      </c>
      <c r="N451" s="245">
        <v>40</v>
      </c>
      <c r="O451" s="243">
        <v>40</v>
      </c>
      <c r="P451" s="243"/>
      <c r="Q451" s="180" t="str">
        <f>IF(PEDIDOS[[#This Row],[Valor do item pago]]=PEDIDOS[[#This Row],[Total Item ]],"PAGO", "")</f>
        <v/>
      </c>
    </row>
    <row r="452" spans="1:17" s="216" customFormat="1" ht="39.950000000000003" customHeight="1" x14ac:dyDescent="0.25">
      <c r="A452" s="231"/>
      <c r="B452" s="240">
        <v>1315</v>
      </c>
      <c r="C452" s="241">
        <v>43894</v>
      </c>
      <c r="D452" s="242" t="s">
        <v>11</v>
      </c>
      <c r="E452" s="240" t="s">
        <v>1657</v>
      </c>
      <c r="F452" s="240" t="s">
        <v>1658</v>
      </c>
      <c r="G452" s="240" t="s">
        <v>1659</v>
      </c>
      <c r="H452" s="240" t="s">
        <v>441</v>
      </c>
      <c r="I452" s="243" t="s">
        <v>884</v>
      </c>
      <c r="J452" s="243"/>
      <c r="K452" s="243"/>
      <c r="L452" s="240" t="s">
        <v>1</v>
      </c>
      <c r="M452" s="244">
        <v>1</v>
      </c>
      <c r="N452" s="245">
        <v>40</v>
      </c>
      <c r="O452" s="243">
        <v>40</v>
      </c>
      <c r="P452" s="243"/>
      <c r="Q452" s="180" t="str">
        <f>IF(PEDIDOS[[#This Row],[Valor do item pago]]=PEDIDOS[[#This Row],[Total Item ]],"PAGO", "")</f>
        <v/>
      </c>
    </row>
    <row r="453" spans="1:17" s="216" customFormat="1" ht="39.950000000000003" customHeight="1" x14ac:dyDescent="0.25">
      <c r="A453" s="231"/>
      <c r="B453" s="240">
        <v>1314</v>
      </c>
      <c r="C453" s="241">
        <v>43894</v>
      </c>
      <c r="D453" s="242" t="s">
        <v>11</v>
      </c>
      <c r="E453" s="240" t="s">
        <v>1555</v>
      </c>
      <c r="F453" s="240" t="s">
        <v>1556</v>
      </c>
      <c r="G453" s="240" t="s">
        <v>1640</v>
      </c>
      <c r="H453" s="240" t="s">
        <v>461</v>
      </c>
      <c r="I453" s="243" t="s">
        <v>1641</v>
      </c>
      <c r="J453" s="243"/>
      <c r="K453" s="243"/>
      <c r="L453" s="240" t="s">
        <v>219</v>
      </c>
      <c r="M453" s="244">
        <v>1</v>
      </c>
      <c r="N453" s="245">
        <v>40</v>
      </c>
      <c r="O453" s="243">
        <v>40</v>
      </c>
      <c r="P453" s="243">
        <v>40</v>
      </c>
      <c r="Q453" s="180" t="str">
        <f>IF(PEDIDOS[[#This Row],[Valor do item pago]]=PEDIDOS[[#This Row],[Total Item ]],"PAGO", "")</f>
        <v>PAGO</v>
      </c>
    </row>
    <row r="454" spans="1:17" s="216" customFormat="1" ht="39.950000000000003" customHeight="1" x14ac:dyDescent="0.25">
      <c r="A454" s="231"/>
      <c r="B454" s="240">
        <v>1313</v>
      </c>
      <c r="C454" s="241">
        <v>43894</v>
      </c>
      <c r="D454" s="242" t="s">
        <v>11</v>
      </c>
      <c r="E454" s="240" t="s">
        <v>1717</v>
      </c>
      <c r="F454" s="240" t="s">
        <v>1654</v>
      </c>
      <c r="G454" s="240" t="s">
        <v>1655</v>
      </c>
      <c r="H454" s="240" t="s">
        <v>84</v>
      </c>
      <c r="I454" s="243" t="s">
        <v>1656</v>
      </c>
      <c r="J454" s="243"/>
      <c r="K454" s="243"/>
      <c r="L454" s="240" t="s">
        <v>219</v>
      </c>
      <c r="M454" s="244">
        <v>1</v>
      </c>
      <c r="N454" s="245">
        <v>40</v>
      </c>
      <c r="O454" s="243">
        <v>40</v>
      </c>
      <c r="P454" s="243"/>
      <c r="Q454" s="180" t="str">
        <f>IF(PEDIDOS[[#This Row],[Valor do item pago]]=PEDIDOS[[#This Row],[Total Item ]],"PAGO", "")</f>
        <v/>
      </c>
    </row>
    <row r="455" spans="1:17" s="216" customFormat="1" ht="39.950000000000003" customHeight="1" x14ac:dyDescent="0.25">
      <c r="A455" s="231"/>
      <c r="B455" s="240">
        <v>1312</v>
      </c>
      <c r="C455" s="241">
        <v>43894</v>
      </c>
      <c r="D455" s="242" t="s">
        <v>11</v>
      </c>
      <c r="E455" s="240" t="s">
        <v>1471</v>
      </c>
      <c r="F455" s="240" t="s">
        <v>1477</v>
      </c>
      <c r="G455" s="240" t="s">
        <v>1481</v>
      </c>
      <c r="H455" s="240" t="s">
        <v>651</v>
      </c>
      <c r="I455" s="243" t="s">
        <v>1486</v>
      </c>
      <c r="J455" s="243"/>
      <c r="K455" s="243"/>
      <c r="L455" s="240" t="s">
        <v>219</v>
      </c>
      <c r="M455" s="244">
        <v>1</v>
      </c>
      <c r="N455" s="245">
        <v>40</v>
      </c>
      <c r="O455" s="243">
        <v>40</v>
      </c>
      <c r="P455" s="243"/>
      <c r="Q455" s="180" t="str">
        <f>IF(PEDIDOS[[#This Row],[Valor do item pago]]=PEDIDOS[[#This Row],[Total Item ]],"PAGO", "")</f>
        <v/>
      </c>
    </row>
    <row r="456" spans="1:17" s="216" customFormat="1" ht="39.950000000000003" customHeight="1" x14ac:dyDescent="0.25">
      <c r="A456" s="231"/>
      <c r="B456" s="240">
        <v>1311</v>
      </c>
      <c r="C456" s="241">
        <v>43894</v>
      </c>
      <c r="D456" s="242" t="s">
        <v>11</v>
      </c>
      <c r="E456" s="240" t="s">
        <v>1199</v>
      </c>
      <c r="F456" s="240" t="s">
        <v>969</v>
      </c>
      <c r="G456" s="240" t="s">
        <v>1361</v>
      </c>
      <c r="H456" s="240" t="s">
        <v>52</v>
      </c>
      <c r="I456" s="243" t="s">
        <v>971</v>
      </c>
      <c r="J456" s="243"/>
      <c r="K456" s="243"/>
      <c r="L456" s="240" t="s">
        <v>219</v>
      </c>
      <c r="M456" s="244">
        <v>1</v>
      </c>
      <c r="N456" s="245">
        <v>40</v>
      </c>
      <c r="O456" s="243">
        <v>40</v>
      </c>
      <c r="P456" s="243">
        <v>40</v>
      </c>
      <c r="Q456" s="180" t="str">
        <f>IF(PEDIDOS[[#This Row],[Valor do item pago]]=PEDIDOS[[#This Row],[Total Item ]],"PAGO", "")</f>
        <v>PAGO</v>
      </c>
    </row>
    <row r="457" spans="1:17" s="216" customFormat="1" ht="39.950000000000003" customHeight="1" x14ac:dyDescent="0.25">
      <c r="A457" s="231"/>
      <c r="B457" s="240">
        <v>1310</v>
      </c>
      <c r="C457" s="241">
        <v>43894</v>
      </c>
      <c r="D457" s="242" t="s">
        <v>11</v>
      </c>
      <c r="E457" s="240" t="s">
        <v>531</v>
      </c>
      <c r="F457" s="240" t="s">
        <v>533</v>
      </c>
      <c r="G457" s="240" t="s">
        <v>1300</v>
      </c>
      <c r="H457" s="240" t="s">
        <v>532</v>
      </c>
      <c r="I457" s="243" t="s">
        <v>664</v>
      </c>
      <c r="J457" s="243"/>
      <c r="K457" s="243"/>
      <c r="L457" s="240" t="s">
        <v>1</v>
      </c>
      <c r="M457" s="244">
        <v>1</v>
      </c>
      <c r="N457" s="245">
        <v>40</v>
      </c>
      <c r="O457" s="243">
        <v>40</v>
      </c>
      <c r="P457" s="243"/>
      <c r="Q457" s="180" t="str">
        <f>IF(PEDIDOS[[#This Row],[Valor do item pago]]=PEDIDOS[[#This Row],[Total Item ]],"PAGO", "")</f>
        <v/>
      </c>
    </row>
    <row r="458" spans="1:17" s="216" customFormat="1" ht="39.950000000000003" customHeight="1" x14ac:dyDescent="0.25">
      <c r="A458" s="231"/>
      <c r="B458" s="240">
        <v>1309</v>
      </c>
      <c r="C458" s="241">
        <v>43894</v>
      </c>
      <c r="D458" s="242" t="s">
        <v>11</v>
      </c>
      <c r="E458" s="240" t="s">
        <v>547</v>
      </c>
      <c r="F458" s="240" t="s">
        <v>521</v>
      </c>
      <c r="G458" s="240" t="s">
        <v>1317</v>
      </c>
      <c r="H458" s="240" t="s">
        <v>1205</v>
      </c>
      <c r="I458" s="243" t="s">
        <v>663</v>
      </c>
      <c r="J458" s="243"/>
      <c r="K458" s="243"/>
      <c r="L458" s="240" t="s">
        <v>3</v>
      </c>
      <c r="M458" s="244">
        <v>1</v>
      </c>
      <c r="N458" s="245">
        <v>40</v>
      </c>
      <c r="O458" s="243">
        <v>40</v>
      </c>
      <c r="P458" s="243"/>
      <c r="Q458" s="180" t="str">
        <f>IF(PEDIDOS[[#This Row],[Valor do item pago]]=PEDIDOS[[#This Row],[Total Item ]],"PAGO", "")</f>
        <v/>
      </c>
    </row>
    <row r="459" spans="1:17" s="216" customFormat="1" ht="39.950000000000003" customHeight="1" x14ac:dyDescent="0.25">
      <c r="A459" s="231"/>
      <c r="B459" s="240">
        <v>1308</v>
      </c>
      <c r="C459" s="241">
        <v>43894</v>
      </c>
      <c r="D459" s="242" t="s">
        <v>11</v>
      </c>
      <c r="E459" s="240" t="s">
        <v>1188</v>
      </c>
      <c r="F459" s="240" t="s">
        <v>1241</v>
      </c>
      <c r="G459" s="240" t="s">
        <v>1350</v>
      </c>
      <c r="H459" s="240" t="s">
        <v>401</v>
      </c>
      <c r="I459" s="243" t="s">
        <v>445</v>
      </c>
      <c r="J459" s="243"/>
      <c r="K459" s="243"/>
      <c r="L459" s="240" t="s">
        <v>3</v>
      </c>
      <c r="M459" s="244">
        <v>1</v>
      </c>
      <c r="N459" s="245">
        <v>40</v>
      </c>
      <c r="O459" s="243">
        <v>40</v>
      </c>
      <c r="P459" s="243"/>
      <c r="Q459" s="180" t="str">
        <f>IF(PEDIDOS[[#This Row],[Valor do item pago]]=PEDIDOS[[#This Row],[Total Item ]],"PAGO", "")</f>
        <v/>
      </c>
    </row>
    <row r="460" spans="1:17" s="216" customFormat="1" ht="39.950000000000003" customHeight="1" x14ac:dyDescent="0.25">
      <c r="A460" s="231"/>
      <c r="B460" s="240">
        <v>1307</v>
      </c>
      <c r="C460" s="241">
        <v>43894</v>
      </c>
      <c r="D460" s="242" t="s">
        <v>11</v>
      </c>
      <c r="E460" s="240" t="s">
        <v>513</v>
      </c>
      <c r="F460" s="240" t="s">
        <v>514</v>
      </c>
      <c r="G460" s="240" t="s">
        <v>1419</v>
      </c>
      <c r="H460" s="240" t="s">
        <v>1455</v>
      </c>
      <c r="I460" s="243" t="s">
        <v>661</v>
      </c>
      <c r="J460" s="243"/>
      <c r="K460" s="243"/>
      <c r="L460" s="240" t="s">
        <v>219</v>
      </c>
      <c r="M460" s="244">
        <v>1</v>
      </c>
      <c r="N460" s="245">
        <v>40</v>
      </c>
      <c r="O460" s="243">
        <v>40</v>
      </c>
      <c r="P460" s="243"/>
      <c r="Q460" s="180" t="str">
        <f>IF(PEDIDOS[[#This Row],[Valor do item pago]]=PEDIDOS[[#This Row],[Total Item ]],"PAGO", "")</f>
        <v/>
      </c>
    </row>
    <row r="461" spans="1:17" s="216" customFormat="1" ht="39.950000000000003" customHeight="1" x14ac:dyDescent="0.25">
      <c r="A461" s="231"/>
      <c r="B461" s="240">
        <v>1307</v>
      </c>
      <c r="C461" s="241">
        <v>43894</v>
      </c>
      <c r="D461" s="242" t="s">
        <v>11</v>
      </c>
      <c r="E461" s="240" t="s">
        <v>513</v>
      </c>
      <c r="F461" s="240" t="s">
        <v>514</v>
      </c>
      <c r="G461" s="240" t="s">
        <v>1419</v>
      </c>
      <c r="H461" s="240" t="s">
        <v>1455</v>
      </c>
      <c r="I461" s="243" t="s">
        <v>661</v>
      </c>
      <c r="J461" s="243"/>
      <c r="K461" s="243"/>
      <c r="L461" s="240" t="s">
        <v>1</v>
      </c>
      <c r="M461" s="244">
        <v>1</v>
      </c>
      <c r="N461" s="245">
        <v>40</v>
      </c>
      <c r="O461" s="243">
        <v>40</v>
      </c>
      <c r="P461" s="243"/>
      <c r="Q461" s="180" t="str">
        <f>IF(PEDIDOS[[#This Row],[Valor do item pago]]=PEDIDOS[[#This Row],[Total Item ]],"PAGO", "")</f>
        <v/>
      </c>
    </row>
    <row r="462" spans="1:17" s="216" customFormat="1" ht="39.950000000000003" customHeight="1" x14ac:dyDescent="0.25">
      <c r="A462" s="231"/>
      <c r="B462" s="240">
        <v>1306</v>
      </c>
      <c r="C462" s="241">
        <v>43894</v>
      </c>
      <c r="D462" s="242" t="s">
        <v>11</v>
      </c>
      <c r="E462" s="240" t="s">
        <v>367</v>
      </c>
      <c r="F462" s="240" t="s">
        <v>1237</v>
      </c>
      <c r="G462" s="240" t="s">
        <v>1418</v>
      </c>
      <c r="H462" s="240" t="s">
        <v>392</v>
      </c>
      <c r="I462" s="243" t="s">
        <v>656</v>
      </c>
      <c r="J462" s="243"/>
      <c r="K462" s="243"/>
      <c r="L462" s="240" t="s">
        <v>0</v>
      </c>
      <c r="M462" s="244">
        <v>2</v>
      </c>
      <c r="N462" s="245">
        <v>40</v>
      </c>
      <c r="O462" s="243">
        <v>80</v>
      </c>
      <c r="P462" s="243"/>
      <c r="Q462" s="180" t="str">
        <f>IF(PEDIDOS[[#This Row],[Valor do item pago]]=PEDIDOS[[#This Row],[Total Item ]],"PAGO", "")</f>
        <v/>
      </c>
    </row>
    <row r="463" spans="1:17" s="216" customFormat="1" ht="39.950000000000003" customHeight="1" x14ac:dyDescent="0.25">
      <c r="A463" s="231"/>
      <c r="B463" s="240">
        <v>1305</v>
      </c>
      <c r="C463" s="241">
        <v>43894</v>
      </c>
      <c r="D463" s="242" t="s">
        <v>11</v>
      </c>
      <c r="E463" s="240" t="s">
        <v>1262</v>
      </c>
      <c r="F463" s="240">
        <v>0</v>
      </c>
      <c r="G463" s="240">
        <v>0</v>
      </c>
      <c r="H463" s="240">
        <v>0</v>
      </c>
      <c r="I463" s="243">
        <v>0</v>
      </c>
      <c r="J463" s="243"/>
      <c r="K463" s="243" t="s">
        <v>40</v>
      </c>
      <c r="L463" s="240" t="s">
        <v>1</v>
      </c>
      <c r="M463" s="244">
        <v>1</v>
      </c>
      <c r="N463" s="245">
        <v>40</v>
      </c>
      <c r="O463" s="243">
        <v>40</v>
      </c>
      <c r="P463" s="243">
        <v>40</v>
      </c>
      <c r="Q463" s="180" t="str">
        <f>IF(PEDIDOS[[#This Row],[Valor do item pago]]=PEDIDOS[[#This Row],[Total Item ]],"PAGO", "")</f>
        <v>PAGO</v>
      </c>
    </row>
    <row r="464" spans="1:17" s="216" customFormat="1" ht="39.950000000000003" customHeight="1" x14ac:dyDescent="0.25">
      <c r="A464" s="231"/>
      <c r="B464" s="240">
        <v>1304</v>
      </c>
      <c r="C464" s="241">
        <v>43894</v>
      </c>
      <c r="D464" s="242" t="s">
        <v>11</v>
      </c>
      <c r="E464" s="240" t="s">
        <v>506</v>
      </c>
      <c r="F464" s="240" t="s">
        <v>503</v>
      </c>
      <c r="G464" s="240" t="s">
        <v>1416</v>
      </c>
      <c r="H464" s="240" t="s">
        <v>505</v>
      </c>
      <c r="I464" s="243" t="s">
        <v>660</v>
      </c>
      <c r="J464" s="243"/>
      <c r="K464" s="243"/>
      <c r="L464" s="240" t="s">
        <v>1</v>
      </c>
      <c r="M464" s="244">
        <v>2</v>
      </c>
      <c r="N464" s="245">
        <v>40</v>
      </c>
      <c r="O464" s="243">
        <v>80</v>
      </c>
      <c r="P464" s="243"/>
      <c r="Q464" s="180" t="str">
        <f>IF(PEDIDOS[[#This Row],[Valor do item pago]]=PEDIDOS[[#This Row],[Total Item ]],"PAGO", "")</f>
        <v/>
      </c>
    </row>
    <row r="465" spans="1:17" s="216" customFormat="1" ht="39.950000000000003" customHeight="1" x14ac:dyDescent="0.25">
      <c r="A465" s="231"/>
      <c r="B465" s="240">
        <v>1303</v>
      </c>
      <c r="C465" s="241">
        <v>43894</v>
      </c>
      <c r="D465" s="242" t="s">
        <v>11</v>
      </c>
      <c r="E465" s="240" t="s">
        <v>1272</v>
      </c>
      <c r="F465" s="240" t="s">
        <v>1227</v>
      </c>
      <c r="G465" s="240" t="s">
        <v>1273</v>
      </c>
      <c r="H465" s="240" t="s">
        <v>1196</v>
      </c>
      <c r="I465" s="243" t="s">
        <v>652</v>
      </c>
      <c r="J465" s="243"/>
      <c r="K465" s="243"/>
      <c r="L465" s="240" t="s">
        <v>1</v>
      </c>
      <c r="M465" s="244">
        <v>1</v>
      </c>
      <c r="N465" s="245">
        <v>40</v>
      </c>
      <c r="O465" s="243">
        <v>40</v>
      </c>
      <c r="P465" s="243"/>
      <c r="Q465" s="180" t="str">
        <f>IF(PEDIDOS[[#This Row],[Valor do item pago]]=PEDIDOS[[#This Row],[Total Item ]],"PAGO", "")</f>
        <v/>
      </c>
    </row>
    <row r="466" spans="1:17" s="216" customFormat="1" ht="39.950000000000003" customHeight="1" x14ac:dyDescent="0.25">
      <c r="A466" s="231"/>
      <c r="B466" s="240">
        <v>1302</v>
      </c>
      <c r="C466" s="241">
        <v>43894</v>
      </c>
      <c r="D466" s="242" t="s">
        <v>11</v>
      </c>
      <c r="E466" s="240" t="s">
        <v>507</v>
      </c>
      <c r="F466" s="240" t="s">
        <v>497</v>
      </c>
      <c r="G466" s="240" t="s">
        <v>1376</v>
      </c>
      <c r="H466" s="240" t="s">
        <v>461</v>
      </c>
      <c r="I466" s="243" t="s">
        <v>659</v>
      </c>
      <c r="J466" s="243"/>
      <c r="K466" s="243"/>
      <c r="L466" s="240" t="s">
        <v>1</v>
      </c>
      <c r="M466" s="244">
        <v>1</v>
      </c>
      <c r="N466" s="245">
        <v>40</v>
      </c>
      <c r="O466" s="243">
        <v>40</v>
      </c>
      <c r="P466" s="243"/>
      <c r="Q466" s="180" t="str">
        <f>IF(PEDIDOS[[#This Row],[Valor do item pago]]=PEDIDOS[[#This Row],[Total Item ]],"PAGO", "")</f>
        <v/>
      </c>
    </row>
    <row r="467" spans="1:17" s="216" customFormat="1" ht="39.950000000000003" customHeight="1" x14ac:dyDescent="0.25">
      <c r="A467" s="231"/>
      <c r="B467" s="240">
        <v>1301</v>
      </c>
      <c r="C467" s="241">
        <v>43894</v>
      </c>
      <c r="D467" s="242" t="s">
        <v>11</v>
      </c>
      <c r="E467" s="240" t="s">
        <v>1259</v>
      </c>
      <c r="F467" s="240" t="s">
        <v>1226</v>
      </c>
      <c r="G467" s="240" t="s">
        <v>1440</v>
      </c>
      <c r="H467" s="240" t="s">
        <v>390</v>
      </c>
      <c r="I467" s="243" t="s">
        <v>251</v>
      </c>
      <c r="J467" s="243" t="s">
        <v>1716</v>
      </c>
      <c r="K467" s="243"/>
      <c r="L467" s="240" t="s">
        <v>3</v>
      </c>
      <c r="M467" s="244">
        <v>1</v>
      </c>
      <c r="N467" s="245">
        <v>40</v>
      </c>
      <c r="O467" s="243">
        <v>40</v>
      </c>
      <c r="P467" s="243"/>
      <c r="Q467" s="180" t="str">
        <f>IF(PEDIDOS[[#This Row],[Valor do item pago]]=PEDIDOS[[#This Row],[Total Item ]],"PAGO", "")</f>
        <v/>
      </c>
    </row>
    <row r="468" spans="1:17" s="216" customFormat="1" ht="39.950000000000003" customHeight="1" x14ac:dyDescent="0.25">
      <c r="A468" s="231"/>
      <c r="B468" s="240">
        <v>1300</v>
      </c>
      <c r="C468" s="241">
        <v>43894</v>
      </c>
      <c r="D468" s="242" t="s">
        <v>11</v>
      </c>
      <c r="E468" s="240" t="s">
        <v>343</v>
      </c>
      <c r="F468" s="240" t="s">
        <v>826</v>
      </c>
      <c r="G468" s="240" t="s">
        <v>1404</v>
      </c>
      <c r="H468" s="240" t="s">
        <v>441</v>
      </c>
      <c r="I468" s="243" t="s">
        <v>874</v>
      </c>
      <c r="J468" s="243"/>
      <c r="K468" s="243"/>
      <c r="L468" s="240" t="s">
        <v>3</v>
      </c>
      <c r="M468" s="244">
        <v>1</v>
      </c>
      <c r="N468" s="245">
        <v>40</v>
      </c>
      <c r="O468" s="243">
        <v>40</v>
      </c>
      <c r="P468" s="243"/>
      <c r="Q468" s="180" t="str">
        <f>IF(PEDIDOS[[#This Row],[Valor do item pago]]=PEDIDOS[[#This Row],[Total Item ]],"PAGO", "")</f>
        <v/>
      </c>
    </row>
    <row r="469" spans="1:17" s="216" customFormat="1" ht="39.950000000000003" customHeight="1" x14ac:dyDescent="0.25">
      <c r="A469" s="231"/>
      <c r="B469" s="240">
        <v>1299</v>
      </c>
      <c r="C469" s="241">
        <v>43894</v>
      </c>
      <c r="D469" s="242" t="s">
        <v>11</v>
      </c>
      <c r="E469" s="240" t="s">
        <v>340</v>
      </c>
      <c r="F469" s="240" t="s">
        <v>974</v>
      </c>
      <c r="G469" s="240" t="s">
        <v>1462</v>
      </c>
      <c r="H469" s="240" t="s">
        <v>388</v>
      </c>
      <c r="I469" s="243" t="s">
        <v>417</v>
      </c>
      <c r="J469" s="243"/>
      <c r="K469" s="243"/>
      <c r="L469" s="240" t="s">
        <v>219</v>
      </c>
      <c r="M469" s="244">
        <v>1</v>
      </c>
      <c r="N469" s="245">
        <v>40</v>
      </c>
      <c r="O469" s="243">
        <v>40</v>
      </c>
      <c r="P469" s="243"/>
      <c r="Q469" s="180" t="str">
        <f>IF(PEDIDOS[[#This Row],[Valor do item pago]]=PEDIDOS[[#This Row],[Total Item ]],"PAGO", "")</f>
        <v/>
      </c>
    </row>
    <row r="470" spans="1:17" s="216" customFormat="1" ht="39.950000000000003" customHeight="1" x14ac:dyDescent="0.25">
      <c r="A470" s="231"/>
      <c r="B470" s="240">
        <v>1298</v>
      </c>
      <c r="C470" s="241">
        <v>43894</v>
      </c>
      <c r="D470" s="242" t="s">
        <v>45</v>
      </c>
      <c r="E470" s="240" t="s">
        <v>1353</v>
      </c>
      <c r="F470" s="240" t="s">
        <v>930</v>
      </c>
      <c r="G470" s="240">
        <v>0</v>
      </c>
      <c r="H470" s="240" t="s">
        <v>40</v>
      </c>
      <c r="I470" s="243">
        <v>0</v>
      </c>
      <c r="J470" s="243"/>
      <c r="K470" s="243" t="s">
        <v>40</v>
      </c>
      <c r="L470" s="240" t="s">
        <v>219</v>
      </c>
      <c r="M470" s="244">
        <v>1</v>
      </c>
      <c r="N470" s="245">
        <v>40</v>
      </c>
      <c r="O470" s="243">
        <v>40</v>
      </c>
      <c r="P470" s="243"/>
      <c r="Q470" s="180" t="str">
        <f>IF(PEDIDOS[[#This Row],[Valor do item pago]]=PEDIDOS[[#This Row],[Total Item ]],"PAGO", "")</f>
        <v/>
      </c>
    </row>
    <row r="471" spans="1:17" s="216" customFormat="1" ht="39.950000000000003" customHeight="1" x14ac:dyDescent="0.25">
      <c r="A471" s="231"/>
      <c r="B471" s="240">
        <v>1297</v>
      </c>
      <c r="C471" s="241">
        <v>43894</v>
      </c>
      <c r="D471" s="242" t="s">
        <v>45</v>
      </c>
      <c r="E471" s="240" t="s">
        <v>1712</v>
      </c>
      <c r="F471" s="240" t="s">
        <v>1713</v>
      </c>
      <c r="G471" s="240" t="s">
        <v>1714</v>
      </c>
      <c r="H471" s="240" t="s">
        <v>532</v>
      </c>
      <c r="I471" s="243" t="s">
        <v>1715</v>
      </c>
      <c r="J471" s="243"/>
      <c r="K471" s="243"/>
      <c r="L471" s="240" t="s">
        <v>1</v>
      </c>
      <c r="M471" s="244">
        <v>1</v>
      </c>
      <c r="N471" s="245">
        <v>40</v>
      </c>
      <c r="O471" s="243">
        <v>40</v>
      </c>
      <c r="P471" s="243"/>
      <c r="Q471" s="180" t="str">
        <f>IF(PEDIDOS[[#This Row],[Valor do item pago]]=PEDIDOS[[#This Row],[Total Item ]],"PAGO", "")</f>
        <v/>
      </c>
    </row>
    <row r="472" spans="1:17" s="216" customFormat="1" ht="39.950000000000003" customHeight="1" x14ac:dyDescent="0.25">
      <c r="A472" s="231"/>
      <c r="B472" s="240">
        <v>1296</v>
      </c>
      <c r="C472" s="241">
        <v>43894</v>
      </c>
      <c r="D472" s="242" t="s">
        <v>411</v>
      </c>
      <c r="E472" s="240" t="s">
        <v>1547</v>
      </c>
      <c r="F472" s="240" t="s">
        <v>1548</v>
      </c>
      <c r="G472" s="240" t="s">
        <v>1549</v>
      </c>
      <c r="H472" s="240" t="s">
        <v>1191</v>
      </c>
      <c r="I472" s="243" t="s">
        <v>1550</v>
      </c>
      <c r="J472" s="243" t="s">
        <v>887</v>
      </c>
      <c r="K472" s="243"/>
      <c r="L472" s="240" t="s">
        <v>1</v>
      </c>
      <c r="M472" s="244">
        <v>1</v>
      </c>
      <c r="N472" s="245">
        <v>40</v>
      </c>
      <c r="O472" s="243">
        <v>40</v>
      </c>
      <c r="P472" s="243"/>
      <c r="Q472" s="180" t="str">
        <f>IF(PEDIDOS[[#This Row],[Valor do item pago]]=PEDIDOS[[#This Row],[Total Item ]],"PAGO", "")</f>
        <v/>
      </c>
    </row>
    <row r="473" spans="1:17" s="216" customFormat="1" ht="39.950000000000003" customHeight="1" x14ac:dyDescent="0.25">
      <c r="A473" s="231"/>
      <c r="B473" s="240">
        <v>1295</v>
      </c>
      <c r="C473" s="241">
        <v>43894</v>
      </c>
      <c r="D473" s="242" t="s">
        <v>411</v>
      </c>
      <c r="E473" s="240" t="s">
        <v>819</v>
      </c>
      <c r="F473" s="240" t="s">
        <v>820</v>
      </c>
      <c r="G473" s="240" t="s">
        <v>1390</v>
      </c>
      <c r="H473" s="240" t="s">
        <v>84</v>
      </c>
      <c r="I473" s="243" t="s">
        <v>824</v>
      </c>
      <c r="J473" s="243"/>
      <c r="K473" s="243"/>
      <c r="L473" s="240" t="s">
        <v>219</v>
      </c>
      <c r="M473" s="244">
        <v>1</v>
      </c>
      <c r="N473" s="245">
        <v>40</v>
      </c>
      <c r="O473" s="243">
        <v>40</v>
      </c>
      <c r="P473" s="243"/>
      <c r="Q473" s="180" t="str">
        <f>IF(PEDIDOS[[#This Row],[Valor do item pago]]=PEDIDOS[[#This Row],[Total Item ]],"PAGO", "")</f>
        <v/>
      </c>
    </row>
    <row r="474" spans="1:17" s="216" customFormat="1" ht="39.950000000000003" customHeight="1" x14ac:dyDescent="0.25">
      <c r="A474" s="231"/>
      <c r="B474" s="240">
        <v>1294</v>
      </c>
      <c r="C474" s="241">
        <v>43894</v>
      </c>
      <c r="D474" s="242" t="s">
        <v>411</v>
      </c>
      <c r="E474" s="240" t="s">
        <v>1187</v>
      </c>
      <c r="F474" s="240" t="s">
        <v>573</v>
      </c>
      <c r="G474" s="240" t="s">
        <v>621</v>
      </c>
      <c r="H474" s="240" t="s">
        <v>1263</v>
      </c>
      <c r="I474" s="243" t="s">
        <v>674</v>
      </c>
      <c r="J474" s="243"/>
      <c r="K474" s="243"/>
      <c r="L474" s="240" t="s">
        <v>219</v>
      </c>
      <c r="M474" s="244">
        <v>1</v>
      </c>
      <c r="N474" s="245">
        <v>40</v>
      </c>
      <c r="O474" s="243">
        <v>40</v>
      </c>
      <c r="P474" s="243"/>
      <c r="Q474" s="180" t="str">
        <f>IF(PEDIDOS[[#This Row],[Valor do item pago]]=PEDIDOS[[#This Row],[Total Item ]],"PAGO", "")</f>
        <v/>
      </c>
    </row>
    <row r="475" spans="1:17" s="216" customFormat="1" ht="39.950000000000003" customHeight="1" x14ac:dyDescent="0.25">
      <c r="A475" s="231"/>
      <c r="B475" s="240">
        <v>1293</v>
      </c>
      <c r="C475" s="241">
        <v>43894</v>
      </c>
      <c r="D475" s="242" t="s">
        <v>411</v>
      </c>
      <c r="E475" s="240" t="s">
        <v>35</v>
      </c>
      <c r="F475" s="240">
        <v>0</v>
      </c>
      <c r="G475" s="240" t="s">
        <v>1386</v>
      </c>
      <c r="H475" s="240">
        <v>0</v>
      </c>
      <c r="I475" s="243">
        <v>0</v>
      </c>
      <c r="J475" s="243"/>
      <c r="K475" s="243"/>
      <c r="L475" s="240" t="s">
        <v>219</v>
      </c>
      <c r="M475" s="244">
        <v>1</v>
      </c>
      <c r="N475" s="245">
        <v>40</v>
      </c>
      <c r="O475" s="243">
        <v>40</v>
      </c>
      <c r="P475" s="243"/>
      <c r="Q475" s="180" t="str">
        <f>IF(PEDIDOS[[#This Row],[Valor do item pago]]=PEDIDOS[[#This Row],[Total Item ]],"PAGO", "")</f>
        <v/>
      </c>
    </row>
    <row r="476" spans="1:17" s="216" customFormat="1" ht="39.950000000000003" customHeight="1" x14ac:dyDescent="0.25">
      <c r="A476" s="231"/>
      <c r="B476" s="240">
        <v>1292</v>
      </c>
      <c r="C476" s="241">
        <v>43894</v>
      </c>
      <c r="D476" s="242" t="s">
        <v>411</v>
      </c>
      <c r="E476" s="240" t="s">
        <v>1461</v>
      </c>
      <c r="F476" s="240" t="s">
        <v>1180</v>
      </c>
      <c r="G476" s="240" t="s">
        <v>1276</v>
      </c>
      <c r="H476" s="240" t="s">
        <v>398</v>
      </c>
      <c r="I476" s="243" t="s">
        <v>1181</v>
      </c>
      <c r="J476" s="243"/>
      <c r="K476" s="243"/>
      <c r="L476" s="240" t="s">
        <v>3</v>
      </c>
      <c r="M476" s="244">
        <v>1</v>
      </c>
      <c r="N476" s="245">
        <v>40</v>
      </c>
      <c r="O476" s="243">
        <v>40</v>
      </c>
      <c r="P476" s="243"/>
      <c r="Q476" s="180" t="str">
        <f>IF(PEDIDOS[[#This Row],[Valor do item pago]]=PEDIDOS[[#This Row],[Total Item ]],"PAGO", "")</f>
        <v/>
      </c>
    </row>
    <row r="477" spans="1:17" s="216" customFormat="1" ht="39.950000000000003" customHeight="1" x14ac:dyDescent="0.25">
      <c r="A477" s="231"/>
      <c r="B477" s="240">
        <v>1291</v>
      </c>
      <c r="C477" s="241">
        <v>43894</v>
      </c>
      <c r="D477" s="242" t="s">
        <v>411</v>
      </c>
      <c r="E477" s="240" t="s">
        <v>1496</v>
      </c>
      <c r="F477" s="240" t="s">
        <v>1497</v>
      </c>
      <c r="G477" s="240" t="s">
        <v>1505</v>
      </c>
      <c r="H477" s="240" t="s">
        <v>1450</v>
      </c>
      <c r="I477" s="243" t="s">
        <v>1504</v>
      </c>
      <c r="J477" s="243" t="s">
        <v>1711</v>
      </c>
      <c r="K477" s="243"/>
      <c r="L477" s="240" t="s">
        <v>219</v>
      </c>
      <c r="M477" s="244">
        <v>1</v>
      </c>
      <c r="N477" s="245">
        <v>40</v>
      </c>
      <c r="O477" s="243">
        <v>40</v>
      </c>
      <c r="P477" s="243"/>
      <c r="Q477" s="180" t="str">
        <f>IF(PEDIDOS[[#This Row],[Valor do item pago]]=PEDIDOS[[#This Row],[Total Item ]],"PAGO", "")</f>
        <v/>
      </c>
    </row>
    <row r="478" spans="1:17" s="216" customFormat="1" ht="39.950000000000003" customHeight="1" x14ac:dyDescent="0.25">
      <c r="A478" s="231"/>
      <c r="B478" s="240">
        <v>1290</v>
      </c>
      <c r="C478" s="241">
        <v>43894</v>
      </c>
      <c r="D478" s="242" t="s">
        <v>411</v>
      </c>
      <c r="E478" s="240" t="s">
        <v>25</v>
      </c>
      <c r="F478" s="240" t="s">
        <v>1222</v>
      </c>
      <c r="G478" s="240" t="s">
        <v>1411</v>
      </c>
      <c r="H478" s="240" t="s">
        <v>406</v>
      </c>
      <c r="I478" s="243" t="s">
        <v>329</v>
      </c>
      <c r="J478" s="243" t="s">
        <v>1460</v>
      </c>
      <c r="K478" s="243"/>
      <c r="L478" s="240" t="s">
        <v>219</v>
      </c>
      <c r="M478" s="244">
        <v>5</v>
      </c>
      <c r="N478" s="245">
        <v>40</v>
      </c>
      <c r="O478" s="243">
        <v>200</v>
      </c>
      <c r="P478" s="243"/>
      <c r="Q478" s="180" t="str">
        <f>IF(PEDIDOS[[#This Row],[Valor do item pago]]=PEDIDOS[[#This Row],[Total Item ]],"PAGO", "")</f>
        <v/>
      </c>
    </row>
    <row r="479" spans="1:17" s="216" customFormat="1" ht="39.950000000000003" customHeight="1" x14ac:dyDescent="0.25">
      <c r="A479" s="231"/>
      <c r="B479" s="240">
        <v>1289</v>
      </c>
      <c r="C479" s="241">
        <v>43894</v>
      </c>
      <c r="D479" s="242" t="s">
        <v>411</v>
      </c>
      <c r="E479" s="240" t="s">
        <v>622</v>
      </c>
      <c r="F479" s="240" t="s">
        <v>623</v>
      </c>
      <c r="G479" s="240" t="s">
        <v>1323</v>
      </c>
      <c r="H479" s="240" t="s">
        <v>520</v>
      </c>
      <c r="I479" s="243" t="s">
        <v>682</v>
      </c>
      <c r="J479" s="243" t="s">
        <v>887</v>
      </c>
      <c r="K479" s="243"/>
      <c r="L479" s="240" t="s">
        <v>219</v>
      </c>
      <c r="M479" s="244">
        <v>1</v>
      </c>
      <c r="N479" s="245">
        <v>40</v>
      </c>
      <c r="O479" s="243">
        <v>40</v>
      </c>
      <c r="P479" s="243"/>
      <c r="Q479" s="180" t="str">
        <f>IF(PEDIDOS[[#This Row],[Valor do item pago]]=PEDIDOS[[#This Row],[Total Item ]],"PAGO", "")</f>
        <v/>
      </c>
    </row>
    <row r="480" spans="1:17" s="216" customFormat="1" ht="39.950000000000003" customHeight="1" x14ac:dyDescent="0.25">
      <c r="A480" s="231"/>
      <c r="B480" s="240">
        <v>1288</v>
      </c>
      <c r="C480" s="241">
        <v>43894</v>
      </c>
      <c r="D480" s="242" t="s">
        <v>411</v>
      </c>
      <c r="E480" s="240" t="s">
        <v>1268</v>
      </c>
      <c r="F480" s="240" t="s">
        <v>1212</v>
      </c>
      <c r="G480" s="240" t="s">
        <v>1569</v>
      </c>
      <c r="H480" s="240" t="s">
        <v>1197</v>
      </c>
      <c r="I480" s="243" t="s">
        <v>1028</v>
      </c>
      <c r="J480" s="243"/>
      <c r="K480" s="243"/>
      <c r="L480" s="240" t="s">
        <v>1</v>
      </c>
      <c r="M480" s="244">
        <v>2</v>
      </c>
      <c r="N480" s="245">
        <v>40</v>
      </c>
      <c r="O480" s="243">
        <v>80</v>
      </c>
      <c r="P480" s="243"/>
      <c r="Q480" s="180" t="str">
        <f>IF(PEDIDOS[[#This Row],[Valor do item pago]]=PEDIDOS[[#This Row],[Total Item ]],"PAGO", "")</f>
        <v/>
      </c>
    </row>
    <row r="481" spans="1:17" s="216" customFormat="1" ht="39.950000000000003" customHeight="1" x14ac:dyDescent="0.25">
      <c r="A481" s="231"/>
      <c r="B481" s="240">
        <v>1287</v>
      </c>
      <c r="C481" s="241">
        <v>43894</v>
      </c>
      <c r="D481" s="242" t="s">
        <v>411</v>
      </c>
      <c r="E481" s="240" t="s">
        <v>1707</v>
      </c>
      <c r="F481" s="240" t="s">
        <v>1708</v>
      </c>
      <c r="G481" s="240" t="s">
        <v>1709</v>
      </c>
      <c r="H481" s="240" t="s">
        <v>1264</v>
      </c>
      <c r="I481" s="243" t="s">
        <v>1710</v>
      </c>
      <c r="J481" s="243"/>
      <c r="K481" s="243"/>
      <c r="L481" s="240" t="s">
        <v>1</v>
      </c>
      <c r="M481" s="244">
        <v>1</v>
      </c>
      <c r="N481" s="245">
        <v>40</v>
      </c>
      <c r="O481" s="243">
        <v>40</v>
      </c>
      <c r="P481" s="243"/>
      <c r="Q481" s="180" t="str">
        <f>IF(PEDIDOS[[#This Row],[Valor do item pago]]=PEDIDOS[[#This Row],[Total Item ]],"PAGO", "")</f>
        <v/>
      </c>
    </row>
    <row r="482" spans="1:17" s="216" customFormat="1" ht="39.950000000000003" customHeight="1" x14ac:dyDescent="0.25">
      <c r="A482" s="231"/>
      <c r="B482" s="240">
        <v>1286</v>
      </c>
      <c r="C482" s="241">
        <v>43894</v>
      </c>
      <c r="D482" s="242" t="s">
        <v>229</v>
      </c>
      <c r="E482" s="240" t="s">
        <v>229</v>
      </c>
      <c r="F482" s="240">
        <v>0</v>
      </c>
      <c r="G482" s="240">
        <v>0</v>
      </c>
      <c r="H482" s="240">
        <v>0</v>
      </c>
      <c r="I482" s="243">
        <v>0</v>
      </c>
      <c r="J482" s="243"/>
      <c r="K482" s="243" t="s">
        <v>229</v>
      </c>
      <c r="L482" s="240" t="s">
        <v>3</v>
      </c>
      <c r="M482" s="244">
        <v>3</v>
      </c>
      <c r="N482" s="245">
        <v>40</v>
      </c>
      <c r="O482" s="243">
        <v>120</v>
      </c>
      <c r="P482" s="243"/>
      <c r="Q482" s="180" t="str">
        <f>IF(PEDIDOS[[#This Row],[Valor do item pago]]=PEDIDOS[[#This Row],[Total Item ]],"PAGO", "")</f>
        <v/>
      </c>
    </row>
    <row r="483" spans="1:17" s="216" customFormat="1" ht="39.950000000000003" customHeight="1" x14ac:dyDescent="0.25">
      <c r="A483" s="231"/>
      <c r="B483" s="240">
        <v>1286</v>
      </c>
      <c r="C483" s="241">
        <v>43894</v>
      </c>
      <c r="D483" s="242" t="s">
        <v>229</v>
      </c>
      <c r="E483" s="240" t="s">
        <v>229</v>
      </c>
      <c r="F483" s="240">
        <v>0</v>
      </c>
      <c r="G483" s="240">
        <v>0</v>
      </c>
      <c r="H483" s="240">
        <v>0</v>
      </c>
      <c r="I483" s="243">
        <v>0</v>
      </c>
      <c r="J483" s="243"/>
      <c r="K483" s="243" t="s">
        <v>229</v>
      </c>
      <c r="L483" s="240" t="s">
        <v>219</v>
      </c>
      <c r="M483" s="244">
        <v>9</v>
      </c>
      <c r="N483" s="245">
        <v>40</v>
      </c>
      <c r="O483" s="243">
        <v>360</v>
      </c>
      <c r="P483" s="243"/>
      <c r="Q483" s="180" t="str">
        <f>IF(PEDIDOS[[#This Row],[Valor do item pago]]=PEDIDOS[[#This Row],[Total Item ]],"PAGO", "")</f>
        <v/>
      </c>
    </row>
    <row r="484" spans="1:17" s="216" customFormat="1" ht="39.950000000000003" customHeight="1" x14ac:dyDescent="0.25">
      <c r="A484" s="231"/>
      <c r="B484" s="240">
        <v>1286</v>
      </c>
      <c r="C484" s="241">
        <v>43894</v>
      </c>
      <c r="D484" s="242" t="s">
        <v>229</v>
      </c>
      <c r="E484" s="240" t="s">
        <v>229</v>
      </c>
      <c r="F484" s="240">
        <v>0</v>
      </c>
      <c r="G484" s="240">
        <v>0</v>
      </c>
      <c r="H484" s="240">
        <v>0</v>
      </c>
      <c r="I484" s="243">
        <v>0</v>
      </c>
      <c r="J484" s="243"/>
      <c r="K484" s="243" t="s">
        <v>229</v>
      </c>
      <c r="L484" s="240" t="s">
        <v>1</v>
      </c>
      <c r="M484" s="244">
        <v>5</v>
      </c>
      <c r="N484" s="245">
        <v>40</v>
      </c>
      <c r="O484" s="243">
        <v>200</v>
      </c>
      <c r="P484" s="243"/>
      <c r="Q484" s="180" t="str">
        <f>IF(PEDIDOS[[#This Row],[Valor do item pago]]=PEDIDOS[[#This Row],[Total Item ]],"PAGO", "")</f>
        <v/>
      </c>
    </row>
    <row r="485" spans="1:17" s="216" customFormat="1" ht="39.950000000000003" customHeight="1" x14ac:dyDescent="0.25">
      <c r="A485" s="231"/>
      <c r="B485" s="240">
        <v>1286</v>
      </c>
      <c r="C485" s="241">
        <v>43894</v>
      </c>
      <c r="D485" s="242" t="s">
        <v>229</v>
      </c>
      <c r="E485" s="240" t="s">
        <v>229</v>
      </c>
      <c r="F485" s="240">
        <v>0</v>
      </c>
      <c r="G485" s="240">
        <v>0</v>
      </c>
      <c r="H485" s="240">
        <v>0</v>
      </c>
      <c r="I485" s="243">
        <v>0</v>
      </c>
      <c r="J485" s="243"/>
      <c r="K485" s="243" t="s">
        <v>229</v>
      </c>
      <c r="L485" s="240" t="s">
        <v>0</v>
      </c>
      <c r="M485" s="244">
        <v>4</v>
      </c>
      <c r="N485" s="245">
        <v>40</v>
      </c>
      <c r="O485" s="243">
        <v>160</v>
      </c>
      <c r="P485" s="243"/>
      <c r="Q485" s="180" t="str">
        <f>IF(PEDIDOS[[#This Row],[Valor do item pago]]=PEDIDOS[[#This Row],[Total Item ]],"PAGO", "")</f>
        <v/>
      </c>
    </row>
    <row r="486" spans="1:17" s="216" customFormat="1" ht="39.950000000000003" customHeight="1" x14ac:dyDescent="0.25">
      <c r="A486" s="231"/>
      <c r="B486" s="240">
        <v>1285</v>
      </c>
      <c r="C486" s="241">
        <v>43894</v>
      </c>
      <c r="D486" s="242" t="s">
        <v>231</v>
      </c>
      <c r="E486" s="240" t="s">
        <v>381</v>
      </c>
      <c r="F486" s="240">
        <v>0</v>
      </c>
      <c r="G486" s="240">
        <v>0</v>
      </c>
      <c r="H486" s="240">
        <v>0</v>
      </c>
      <c r="I486" s="243">
        <v>0</v>
      </c>
      <c r="J486" s="243"/>
      <c r="K486" s="243" t="s">
        <v>231</v>
      </c>
      <c r="L486" s="240" t="s">
        <v>1</v>
      </c>
      <c r="M486" s="244">
        <v>2</v>
      </c>
      <c r="N486" s="245">
        <v>40</v>
      </c>
      <c r="O486" s="243">
        <v>80</v>
      </c>
      <c r="P486" s="243"/>
      <c r="Q486" s="180" t="str">
        <f>IF(PEDIDOS[[#This Row],[Valor do item pago]]=PEDIDOS[[#This Row],[Total Item ]],"PAGO", "")</f>
        <v/>
      </c>
    </row>
    <row r="487" spans="1:17" s="216" customFormat="1" ht="39.950000000000003" customHeight="1" x14ac:dyDescent="0.25">
      <c r="A487" s="231"/>
      <c r="B487" s="240">
        <v>1284</v>
      </c>
      <c r="C487" s="241">
        <v>43894</v>
      </c>
      <c r="D487" s="242" t="s">
        <v>231</v>
      </c>
      <c r="E487" s="240" t="s">
        <v>1706</v>
      </c>
      <c r="F487" s="240">
        <v>0</v>
      </c>
      <c r="G487" s="240">
        <v>0</v>
      </c>
      <c r="H487" s="240">
        <v>0</v>
      </c>
      <c r="I487" s="243">
        <v>0</v>
      </c>
      <c r="J487" s="243"/>
      <c r="K487" s="243" t="s">
        <v>231</v>
      </c>
      <c r="L487" s="240" t="s">
        <v>1</v>
      </c>
      <c r="M487" s="244">
        <v>1</v>
      </c>
      <c r="N487" s="245">
        <v>40</v>
      </c>
      <c r="O487" s="243">
        <v>40</v>
      </c>
      <c r="P487" s="243"/>
      <c r="Q487" s="180" t="str">
        <f>IF(PEDIDOS[[#This Row],[Valor do item pago]]=PEDIDOS[[#This Row],[Total Item ]],"PAGO", "")</f>
        <v/>
      </c>
    </row>
    <row r="488" spans="1:17" s="216" customFormat="1" ht="39.950000000000003" customHeight="1" x14ac:dyDescent="0.25">
      <c r="A488" s="231"/>
      <c r="B488" s="240">
        <v>1283</v>
      </c>
      <c r="C488" s="241">
        <v>43894</v>
      </c>
      <c r="D488" s="242" t="s">
        <v>231</v>
      </c>
      <c r="E488" s="240" t="s">
        <v>375</v>
      </c>
      <c r="F488" s="240" t="s">
        <v>1065</v>
      </c>
      <c r="G488" s="240">
        <v>0</v>
      </c>
      <c r="H488" s="240" t="s">
        <v>40</v>
      </c>
      <c r="I488" s="243">
        <v>0</v>
      </c>
      <c r="J488" s="243"/>
      <c r="K488" s="243" t="s">
        <v>231</v>
      </c>
      <c r="L488" s="240" t="s">
        <v>3</v>
      </c>
      <c r="M488" s="244">
        <v>2</v>
      </c>
      <c r="N488" s="245">
        <v>40</v>
      </c>
      <c r="O488" s="243">
        <v>80</v>
      </c>
      <c r="P488" s="243"/>
      <c r="Q488" s="180" t="str">
        <f>IF(PEDIDOS[[#This Row],[Valor do item pago]]=PEDIDOS[[#This Row],[Total Item ]],"PAGO", "")</f>
        <v/>
      </c>
    </row>
    <row r="489" spans="1:17" s="216" customFormat="1" ht="39.950000000000003" customHeight="1" x14ac:dyDescent="0.25">
      <c r="A489" s="231"/>
      <c r="B489" s="240">
        <v>1283</v>
      </c>
      <c r="C489" s="241">
        <v>43894</v>
      </c>
      <c r="D489" s="242" t="s">
        <v>231</v>
      </c>
      <c r="E489" s="240" t="s">
        <v>375</v>
      </c>
      <c r="F489" s="240" t="s">
        <v>1065</v>
      </c>
      <c r="G489" s="240">
        <v>0</v>
      </c>
      <c r="H489" s="240" t="s">
        <v>40</v>
      </c>
      <c r="I489" s="243">
        <v>0</v>
      </c>
      <c r="J489" s="243"/>
      <c r="K489" s="243" t="s">
        <v>231</v>
      </c>
      <c r="L489" s="240" t="s">
        <v>219</v>
      </c>
      <c r="M489" s="244">
        <v>1</v>
      </c>
      <c r="N489" s="245">
        <v>40</v>
      </c>
      <c r="O489" s="243">
        <v>40</v>
      </c>
      <c r="P489" s="243"/>
      <c r="Q489" s="180" t="str">
        <f>IF(PEDIDOS[[#This Row],[Valor do item pago]]=PEDIDOS[[#This Row],[Total Item ]],"PAGO", "")</f>
        <v/>
      </c>
    </row>
    <row r="490" spans="1:17" s="216" customFormat="1" ht="39.950000000000003" customHeight="1" x14ac:dyDescent="0.25">
      <c r="A490" s="231"/>
      <c r="B490" s="240">
        <v>1283</v>
      </c>
      <c r="C490" s="241">
        <v>43894</v>
      </c>
      <c r="D490" s="242" t="s">
        <v>231</v>
      </c>
      <c r="E490" s="240" t="s">
        <v>375</v>
      </c>
      <c r="F490" s="240" t="s">
        <v>1065</v>
      </c>
      <c r="G490" s="240">
        <v>0</v>
      </c>
      <c r="H490" s="240" t="s">
        <v>40</v>
      </c>
      <c r="I490" s="243">
        <v>0</v>
      </c>
      <c r="J490" s="243"/>
      <c r="K490" s="243" t="s">
        <v>231</v>
      </c>
      <c r="L490" s="240" t="s">
        <v>1</v>
      </c>
      <c r="M490" s="244">
        <v>1</v>
      </c>
      <c r="N490" s="245">
        <v>40</v>
      </c>
      <c r="O490" s="243">
        <v>40</v>
      </c>
      <c r="P490" s="243"/>
      <c r="Q490" s="180" t="str">
        <f>IF(PEDIDOS[[#This Row],[Valor do item pago]]=PEDIDOS[[#This Row],[Total Item ]],"PAGO", "")</f>
        <v/>
      </c>
    </row>
    <row r="491" spans="1:17" s="216" customFormat="1" ht="39.950000000000003" customHeight="1" x14ac:dyDescent="0.25">
      <c r="A491" s="231"/>
      <c r="B491" s="240">
        <v>1282</v>
      </c>
      <c r="C491" s="241">
        <v>43894</v>
      </c>
      <c r="D491" s="242" t="s">
        <v>231</v>
      </c>
      <c r="E491" s="240" t="s">
        <v>1705</v>
      </c>
      <c r="F491" s="240">
        <v>0</v>
      </c>
      <c r="G491" s="240">
        <v>0</v>
      </c>
      <c r="H491" s="240">
        <v>0</v>
      </c>
      <c r="I491" s="243">
        <v>0</v>
      </c>
      <c r="J491" s="243"/>
      <c r="K491" s="243" t="s">
        <v>231</v>
      </c>
      <c r="L491" s="240" t="s">
        <v>1</v>
      </c>
      <c r="M491" s="244">
        <v>1</v>
      </c>
      <c r="N491" s="245">
        <v>40</v>
      </c>
      <c r="O491" s="243">
        <v>40</v>
      </c>
      <c r="P491" s="243"/>
      <c r="Q491" s="180" t="str">
        <f>IF(PEDIDOS[[#This Row],[Valor do item pago]]=PEDIDOS[[#This Row],[Total Item ]],"PAGO", "")</f>
        <v/>
      </c>
    </row>
    <row r="492" spans="1:17" s="216" customFormat="1" ht="39.950000000000003" customHeight="1" x14ac:dyDescent="0.25">
      <c r="A492" s="231"/>
      <c r="B492" s="240">
        <v>1282</v>
      </c>
      <c r="C492" s="241">
        <v>43894</v>
      </c>
      <c r="D492" s="242" t="s">
        <v>231</v>
      </c>
      <c r="E492" s="240" t="s">
        <v>1705</v>
      </c>
      <c r="F492" s="240">
        <v>0</v>
      </c>
      <c r="G492" s="240">
        <v>0</v>
      </c>
      <c r="H492" s="240">
        <v>0</v>
      </c>
      <c r="I492" s="243">
        <v>0</v>
      </c>
      <c r="J492" s="243"/>
      <c r="K492" s="243" t="s">
        <v>231</v>
      </c>
      <c r="L492" s="240" t="s">
        <v>0</v>
      </c>
      <c r="M492" s="244">
        <v>1</v>
      </c>
      <c r="N492" s="245">
        <v>40</v>
      </c>
      <c r="O492" s="243">
        <v>40</v>
      </c>
      <c r="P492" s="243"/>
      <c r="Q492" s="180" t="str">
        <f>IF(PEDIDOS[[#This Row],[Valor do item pago]]=PEDIDOS[[#This Row],[Total Item ]],"PAGO", "")</f>
        <v/>
      </c>
    </row>
    <row r="493" spans="1:17" s="216" customFormat="1" ht="39.950000000000003" customHeight="1" x14ac:dyDescent="0.25">
      <c r="A493" s="231"/>
      <c r="B493" s="240">
        <v>1281</v>
      </c>
      <c r="C493" s="241">
        <v>43894</v>
      </c>
      <c r="D493" s="242" t="s">
        <v>231</v>
      </c>
      <c r="E493" s="240" t="s">
        <v>1704</v>
      </c>
      <c r="F493" s="240">
        <v>0</v>
      </c>
      <c r="G493" s="240">
        <v>0</v>
      </c>
      <c r="H493" s="240">
        <v>0</v>
      </c>
      <c r="I493" s="243">
        <v>0</v>
      </c>
      <c r="J493" s="243"/>
      <c r="K493" s="243" t="s">
        <v>231</v>
      </c>
      <c r="L493" s="240" t="s">
        <v>3</v>
      </c>
      <c r="M493" s="244">
        <v>1</v>
      </c>
      <c r="N493" s="245">
        <v>40</v>
      </c>
      <c r="O493" s="243">
        <v>40</v>
      </c>
      <c r="P493" s="243"/>
      <c r="Q493" s="180" t="str">
        <f>IF(PEDIDOS[[#This Row],[Valor do item pago]]=PEDIDOS[[#This Row],[Total Item ]],"PAGO", "")</f>
        <v/>
      </c>
    </row>
    <row r="494" spans="1:17" s="216" customFormat="1" ht="39.950000000000003" customHeight="1" x14ac:dyDescent="0.25">
      <c r="A494" s="231"/>
      <c r="B494" s="240">
        <v>1281</v>
      </c>
      <c r="C494" s="241">
        <v>43894</v>
      </c>
      <c r="D494" s="242" t="s">
        <v>231</v>
      </c>
      <c r="E494" s="240" t="s">
        <v>1704</v>
      </c>
      <c r="F494" s="240">
        <v>0</v>
      </c>
      <c r="G494" s="240">
        <v>0</v>
      </c>
      <c r="H494" s="240">
        <v>0</v>
      </c>
      <c r="I494" s="243">
        <v>0</v>
      </c>
      <c r="J494" s="243"/>
      <c r="K494" s="243" t="s">
        <v>231</v>
      </c>
      <c r="L494" s="240" t="s">
        <v>1</v>
      </c>
      <c r="M494" s="244">
        <v>1</v>
      </c>
      <c r="N494" s="245">
        <v>40</v>
      </c>
      <c r="O494" s="243">
        <v>40</v>
      </c>
      <c r="P494" s="243"/>
      <c r="Q494" s="180" t="str">
        <f>IF(PEDIDOS[[#This Row],[Valor do item pago]]=PEDIDOS[[#This Row],[Total Item ]],"PAGO", "")</f>
        <v/>
      </c>
    </row>
    <row r="495" spans="1:17" s="216" customFormat="1" ht="39.950000000000003" customHeight="1" x14ac:dyDescent="0.25">
      <c r="A495" s="231"/>
      <c r="B495" s="240">
        <v>1280</v>
      </c>
      <c r="C495" s="241">
        <v>43894</v>
      </c>
      <c r="D495" s="242" t="s">
        <v>231</v>
      </c>
      <c r="E495" s="240" t="s">
        <v>1703</v>
      </c>
      <c r="F495" s="240">
        <v>0</v>
      </c>
      <c r="G495" s="240">
        <v>0</v>
      </c>
      <c r="H495" s="240">
        <v>0</v>
      </c>
      <c r="I495" s="243">
        <v>0</v>
      </c>
      <c r="J495" s="243"/>
      <c r="K495" s="243"/>
      <c r="L495" s="240" t="s">
        <v>1</v>
      </c>
      <c r="M495" s="244">
        <v>1</v>
      </c>
      <c r="N495" s="245">
        <v>40</v>
      </c>
      <c r="O495" s="243">
        <v>40</v>
      </c>
      <c r="P495" s="243"/>
      <c r="Q495" s="180" t="str">
        <f>IF(PEDIDOS[[#This Row],[Valor do item pago]]=PEDIDOS[[#This Row],[Total Item ]],"PAGO", "")</f>
        <v/>
      </c>
    </row>
    <row r="496" spans="1:17" s="216" customFormat="1" ht="39.950000000000003" customHeight="1" x14ac:dyDescent="0.25">
      <c r="A496" s="231"/>
      <c r="B496" s="240">
        <v>1279</v>
      </c>
      <c r="C496" s="241">
        <v>43894</v>
      </c>
      <c r="D496" s="242" t="s">
        <v>231</v>
      </c>
      <c r="E496" s="240" t="s">
        <v>1607</v>
      </c>
      <c r="F496" s="240">
        <v>0</v>
      </c>
      <c r="G496" s="240">
        <v>0</v>
      </c>
      <c r="H496" s="240">
        <v>0</v>
      </c>
      <c r="I496" s="243">
        <v>0</v>
      </c>
      <c r="J496" s="243"/>
      <c r="K496" s="243" t="s">
        <v>231</v>
      </c>
      <c r="L496" s="240" t="s">
        <v>1</v>
      </c>
      <c r="M496" s="244">
        <v>1</v>
      </c>
      <c r="N496" s="245">
        <v>40</v>
      </c>
      <c r="O496" s="243">
        <v>40</v>
      </c>
      <c r="P496" s="243"/>
      <c r="Q496" s="180" t="str">
        <f>IF(PEDIDOS[[#This Row],[Valor do item pago]]=PEDIDOS[[#This Row],[Total Item ]],"PAGO", "")</f>
        <v/>
      </c>
    </row>
    <row r="497" spans="1:17" s="216" customFormat="1" ht="39.950000000000003" customHeight="1" x14ac:dyDescent="0.25">
      <c r="A497" s="231"/>
      <c r="B497" s="240">
        <v>1278</v>
      </c>
      <c r="C497" s="241">
        <v>43894</v>
      </c>
      <c r="D497" s="242" t="s">
        <v>231</v>
      </c>
      <c r="E497" s="240" t="s">
        <v>597</v>
      </c>
      <c r="F497" s="240" t="s">
        <v>703</v>
      </c>
      <c r="G497" s="240" t="s">
        <v>1456</v>
      </c>
      <c r="H497" s="240" t="s">
        <v>84</v>
      </c>
      <c r="I497" s="243" t="s">
        <v>679</v>
      </c>
      <c r="J497" s="243"/>
      <c r="K497" s="243" t="s">
        <v>231</v>
      </c>
      <c r="L497" s="240" t="s">
        <v>219</v>
      </c>
      <c r="M497" s="244">
        <v>1</v>
      </c>
      <c r="N497" s="245">
        <v>40</v>
      </c>
      <c r="O497" s="243">
        <v>40</v>
      </c>
      <c r="P497" s="243"/>
      <c r="Q497" s="180" t="str">
        <f>IF(PEDIDOS[[#This Row],[Valor do item pago]]=PEDIDOS[[#This Row],[Total Item ]],"PAGO", "")</f>
        <v/>
      </c>
    </row>
    <row r="498" spans="1:17" s="216" customFormat="1" ht="39.950000000000003" customHeight="1" x14ac:dyDescent="0.25">
      <c r="A498" s="231"/>
      <c r="B498" s="240">
        <v>1277</v>
      </c>
      <c r="C498" s="241">
        <v>43894</v>
      </c>
      <c r="D498" s="242" t="s">
        <v>231</v>
      </c>
      <c r="E498" s="240" t="s">
        <v>345</v>
      </c>
      <c r="F498" s="240" t="s">
        <v>1216</v>
      </c>
      <c r="G498" s="240">
        <v>0</v>
      </c>
      <c r="H498" s="240">
        <v>0</v>
      </c>
      <c r="I498" s="243">
        <v>0</v>
      </c>
      <c r="J498" s="243"/>
      <c r="K498" s="243" t="s">
        <v>231</v>
      </c>
      <c r="L498" s="240" t="s">
        <v>219</v>
      </c>
      <c r="M498" s="244">
        <v>1</v>
      </c>
      <c r="N498" s="245">
        <v>40</v>
      </c>
      <c r="O498" s="243">
        <v>40</v>
      </c>
      <c r="P498" s="243"/>
      <c r="Q498" s="180" t="str">
        <f>IF(PEDIDOS[[#This Row],[Valor do item pago]]=PEDIDOS[[#This Row],[Total Item ]],"PAGO", "")</f>
        <v/>
      </c>
    </row>
    <row r="499" spans="1:17" s="216" customFormat="1" ht="39.950000000000003" customHeight="1" x14ac:dyDescent="0.25">
      <c r="A499" s="231"/>
      <c r="B499" s="240">
        <v>1277</v>
      </c>
      <c r="C499" s="241">
        <v>43894</v>
      </c>
      <c r="D499" s="242" t="s">
        <v>231</v>
      </c>
      <c r="E499" s="240" t="s">
        <v>345</v>
      </c>
      <c r="F499" s="240" t="s">
        <v>1216</v>
      </c>
      <c r="G499" s="240">
        <v>0</v>
      </c>
      <c r="H499" s="240">
        <v>0</v>
      </c>
      <c r="I499" s="243">
        <v>0</v>
      </c>
      <c r="J499" s="243"/>
      <c r="K499" s="243" t="s">
        <v>231</v>
      </c>
      <c r="L499" s="240" t="s">
        <v>0</v>
      </c>
      <c r="M499" s="244">
        <v>1</v>
      </c>
      <c r="N499" s="245">
        <v>40</v>
      </c>
      <c r="O499" s="243">
        <v>40</v>
      </c>
      <c r="P499" s="243"/>
      <c r="Q499" s="180" t="str">
        <f>IF(PEDIDOS[[#This Row],[Valor do item pago]]=PEDIDOS[[#This Row],[Total Item ]],"PAGO", "")</f>
        <v/>
      </c>
    </row>
    <row r="500" spans="1:17" s="216" customFormat="1" ht="39.950000000000003" customHeight="1" x14ac:dyDescent="0.25">
      <c r="A500" s="231"/>
      <c r="B500" s="240">
        <v>1276</v>
      </c>
      <c r="C500" s="241">
        <v>43894</v>
      </c>
      <c r="D500" s="242" t="s">
        <v>231</v>
      </c>
      <c r="E500" s="240" t="s">
        <v>1606</v>
      </c>
      <c r="F500" s="240">
        <v>0</v>
      </c>
      <c r="G500" s="240">
        <v>0</v>
      </c>
      <c r="H500" s="240">
        <v>0</v>
      </c>
      <c r="I500" s="243">
        <v>0</v>
      </c>
      <c r="J500" s="243"/>
      <c r="K500" s="243" t="s">
        <v>40</v>
      </c>
      <c r="L500" s="240" t="s">
        <v>1</v>
      </c>
      <c r="M500" s="244">
        <v>1</v>
      </c>
      <c r="N500" s="245">
        <v>40</v>
      </c>
      <c r="O500" s="243">
        <v>40</v>
      </c>
      <c r="P500" s="243"/>
      <c r="Q500" s="180" t="str">
        <f>IF(PEDIDOS[[#This Row],[Valor do item pago]]=PEDIDOS[[#This Row],[Total Item ]],"PAGO", "")</f>
        <v/>
      </c>
    </row>
    <row r="501" spans="1:17" s="216" customFormat="1" ht="39.950000000000003" customHeight="1" x14ac:dyDescent="0.25">
      <c r="A501" s="231"/>
      <c r="B501" s="240">
        <v>1275</v>
      </c>
      <c r="C501" s="241">
        <v>43894</v>
      </c>
      <c r="D501" s="242" t="s">
        <v>231</v>
      </c>
      <c r="E501" s="240" t="s">
        <v>90</v>
      </c>
      <c r="F501" s="240" t="s">
        <v>806</v>
      </c>
      <c r="G501" s="240">
        <v>0</v>
      </c>
      <c r="H501" s="240" t="s">
        <v>40</v>
      </c>
      <c r="I501" s="243">
        <v>0</v>
      </c>
      <c r="J501" s="243"/>
      <c r="K501" s="243" t="s">
        <v>40</v>
      </c>
      <c r="L501" s="240" t="s">
        <v>219</v>
      </c>
      <c r="M501" s="244">
        <v>2</v>
      </c>
      <c r="N501" s="245">
        <v>40</v>
      </c>
      <c r="O501" s="243">
        <v>80</v>
      </c>
      <c r="P501" s="243"/>
      <c r="Q501" s="180" t="str">
        <f>IF(PEDIDOS[[#This Row],[Valor do item pago]]=PEDIDOS[[#This Row],[Total Item ]],"PAGO", "")</f>
        <v/>
      </c>
    </row>
    <row r="502" spans="1:17" s="216" customFormat="1" ht="39.950000000000003" customHeight="1" x14ac:dyDescent="0.25">
      <c r="A502" s="231"/>
      <c r="B502" s="240">
        <v>1274</v>
      </c>
      <c r="C502" s="241">
        <v>43894</v>
      </c>
      <c r="D502" s="242" t="s">
        <v>231</v>
      </c>
      <c r="E502" s="240" t="s">
        <v>356</v>
      </c>
      <c r="F502" s="240" t="s">
        <v>700</v>
      </c>
      <c r="G502" s="240" t="s">
        <v>1377</v>
      </c>
      <c r="H502" s="240" t="s">
        <v>1378</v>
      </c>
      <c r="I502" s="243" t="s">
        <v>702</v>
      </c>
      <c r="J502" s="243" t="s">
        <v>1527</v>
      </c>
      <c r="K502" s="243"/>
      <c r="L502" s="240" t="s">
        <v>219</v>
      </c>
      <c r="M502" s="244">
        <v>1</v>
      </c>
      <c r="N502" s="245">
        <v>40</v>
      </c>
      <c r="O502" s="243">
        <v>40</v>
      </c>
      <c r="P502" s="243">
        <v>40</v>
      </c>
      <c r="Q502" s="180" t="str">
        <f>IF(PEDIDOS[[#This Row],[Valor do item pago]]=PEDIDOS[[#This Row],[Total Item ]],"PAGO", "")</f>
        <v>PAGO</v>
      </c>
    </row>
    <row r="503" spans="1:17" s="216" customFormat="1" ht="39.950000000000003" customHeight="1" x14ac:dyDescent="0.25">
      <c r="A503" s="231"/>
      <c r="B503" s="240">
        <v>1273</v>
      </c>
      <c r="C503" s="241">
        <v>43894</v>
      </c>
      <c r="D503" s="242" t="s">
        <v>49</v>
      </c>
      <c r="E503" s="240" t="s">
        <v>1699</v>
      </c>
      <c r="F503" s="240" t="s">
        <v>1700</v>
      </c>
      <c r="G503" s="240" t="s">
        <v>1701</v>
      </c>
      <c r="H503" s="240" t="s">
        <v>581</v>
      </c>
      <c r="I503" s="243" t="s">
        <v>1702</v>
      </c>
      <c r="J503" s="243"/>
      <c r="K503" s="243" t="s">
        <v>49</v>
      </c>
      <c r="L503" s="240" t="s">
        <v>1</v>
      </c>
      <c r="M503" s="244">
        <v>1</v>
      </c>
      <c r="N503" s="245">
        <v>40</v>
      </c>
      <c r="O503" s="243">
        <v>40</v>
      </c>
      <c r="P503" s="243">
        <v>40</v>
      </c>
      <c r="Q503" s="180" t="str">
        <f>IF(PEDIDOS[[#This Row],[Valor do item pago]]=PEDIDOS[[#This Row],[Total Item ]],"PAGO", "")</f>
        <v>PAGO</v>
      </c>
    </row>
    <row r="504" spans="1:17" s="216" customFormat="1" ht="39.950000000000003" customHeight="1" x14ac:dyDescent="0.25">
      <c r="A504" s="231"/>
      <c r="B504" s="240">
        <v>1272</v>
      </c>
      <c r="C504" s="241">
        <v>43894</v>
      </c>
      <c r="D504" s="242" t="s">
        <v>49</v>
      </c>
      <c r="E504" s="240" t="s">
        <v>615</v>
      </c>
      <c r="F504" s="240" t="s">
        <v>1242</v>
      </c>
      <c r="G504" s="240" t="s">
        <v>1392</v>
      </c>
      <c r="H504" s="240" t="s">
        <v>1205</v>
      </c>
      <c r="I504" s="243" t="s">
        <v>735</v>
      </c>
      <c r="J504" s="243"/>
      <c r="K504" s="243" t="s">
        <v>49</v>
      </c>
      <c r="L504" s="240" t="s">
        <v>3</v>
      </c>
      <c r="M504" s="244">
        <v>1</v>
      </c>
      <c r="N504" s="245">
        <v>40</v>
      </c>
      <c r="O504" s="243">
        <v>40</v>
      </c>
      <c r="P504" s="243">
        <v>40</v>
      </c>
      <c r="Q504" s="180" t="str">
        <f>IF(PEDIDOS[[#This Row],[Valor do item pago]]=PEDIDOS[[#This Row],[Total Item ]],"PAGO", "")</f>
        <v>PAGO</v>
      </c>
    </row>
    <row r="505" spans="1:17" s="216" customFormat="1" ht="39.950000000000003" customHeight="1" x14ac:dyDescent="0.25">
      <c r="A505" s="231"/>
      <c r="B505" s="240">
        <v>1272</v>
      </c>
      <c r="C505" s="241">
        <v>43894</v>
      </c>
      <c r="D505" s="242" t="s">
        <v>49</v>
      </c>
      <c r="E505" s="240" t="s">
        <v>615</v>
      </c>
      <c r="F505" s="240" t="s">
        <v>1242</v>
      </c>
      <c r="G505" s="240" t="s">
        <v>1392</v>
      </c>
      <c r="H505" s="240" t="s">
        <v>1205</v>
      </c>
      <c r="I505" s="243" t="s">
        <v>735</v>
      </c>
      <c r="J505" s="243"/>
      <c r="K505" s="243" t="s">
        <v>49</v>
      </c>
      <c r="L505" s="240" t="s">
        <v>219</v>
      </c>
      <c r="M505" s="244">
        <v>1</v>
      </c>
      <c r="N505" s="245">
        <v>40</v>
      </c>
      <c r="O505" s="243">
        <v>40</v>
      </c>
      <c r="P505" s="243">
        <v>40</v>
      </c>
      <c r="Q505" s="180" t="str">
        <f>IF(PEDIDOS[[#This Row],[Valor do item pago]]=PEDIDOS[[#This Row],[Total Item ]],"PAGO", "")</f>
        <v>PAGO</v>
      </c>
    </row>
    <row r="506" spans="1:17" s="216" customFormat="1" ht="39.950000000000003" customHeight="1" x14ac:dyDescent="0.25">
      <c r="A506" s="231"/>
      <c r="B506" s="240">
        <v>1272</v>
      </c>
      <c r="C506" s="241">
        <v>43894</v>
      </c>
      <c r="D506" s="242" t="s">
        <v>49</v>
      </c>
      <c r="E506" s="240" t="s">
        <v>615</v>
      </c>
      <c r="F506" s="240" t="s">
        <v>1242</v>
      </c>
      <c r="G506" s="240" t="s">
        <v>1392</v>
      </c>
      <c r="H506" s="240" t="s">
        <v>1205</v>
      </c>
      <c r="I506" s="243" t="s">
        <v>735</v>
      </c>
      <c r="J506" s="243"/>
      <c r="K506" s="243" t="s">
        <v>49</v>
      </c>
      <c r="L506" s="240" t="s">
        <v>1</v>
      </c>
      <c r="M506" s="244">
        <v>1</v>
      </c>
      <c r="N506" s="245">
        <v>40</v>
      </c>
      <c r="O506" s="243">
        <v>40</v>
      </c>
      <c r="P506" s="243">
        <v>40</v>
      </c>
      <c r="Q506" s="180" t="str">
        <f>IF(PEDIDOS[[#This Row],[Valor do item pago]]=PEDIDOS[[#This Row],[Total Item ]],"PAGO", "")</f>
        <v>PAGO</v>
      </c>
    </row>
    <row r="507" spans="1:17" s="216" customFormat="1" ht="39.950000000000003" customHeight="1" x14ac:dyDescent="0.25">
      <c r="A507" s="231"/>
      <c r="B507" s="240">
        <v>1271</v>
      </c>
      <c r="C507" s="241">
        <v>43894</v>
      </c>
      <c r="D507" s="242" t="s">
        <v>49</v>
      </c>
      <c r="E507" s="240" t="s">
        <v>611</v>
      </c>
      <c r="F507" s="240" t="s">
        <v>1225</v>
      </c>
      <c r="G507" s="240" t="s">
        <v>1429</v>
      </c>
      <c r="H507" s="240" t="s">
        <v>390</v>
      </c>
      <c r="I507" s="243" t="s">
        <v>253</v>
      </c>
      <c r="J507" s="243"/>
      <c r="K507" s="243"/>
      <c r="L507" s="240" t="s">
        <v>3</v>
      </c>
      <c r="M507" s="244">
        <v>1</v>
      </c>
      <c r="N507" s="245">
        <v>40</v>
      </c>
      <c r="O507" s="243">
        <v>40</v>
      </c>
      <c r="P507" s="243"/>
      <c r="Q507" s="180" t="str">
        <f>IF(PEDIDOS[[#This Row],[Valor do item pago]]=PEDIDOS[[#This Row],[Total Item ]],"PAGO", "")</f>
        <v/>
      </c>
    </row>
    <row r="508" spans="1:17" s="216" customFormat="1" ht="39.950000000000003" customHeight="1" x14ac:dyDescent="0.25">
      <c r="A508" s="231"/>
      <c r="B508" s="240">
        <v>1270</v>
      </c>
      <c r="C508" s="241">
        <v>43894</v>
      </c>
      <c r="D508" s="242" t="s">
        <v>1134</v>
      </c>
      <c r="E508" s="240" t="s">
        <v>562</v>
      </c>
      <c r="F508" s="240" t="s">
        <v>1698</v>
      </c>
      <c r="G508" s="240" t="s">
        <v>1697</v>
      </c>
      <c r="H508" s="240" t="s">
        <v>566</v>
      </c>
      <c r="I508" s="243" t="s">
        <v>671</v>
      </c>
      <c r="J508" s="243"/>
      <c r="K508" s="243"/>
      <c r="L508" s="240" t="s">
        <v>219</v>
      </c>
      <c r="M508" s="244">
        <v>1</v>
      </c>
      <c r="N508" s="245">
        <v>40</v>
      </c>
      <c r="O508" s="243">
        <v>40</v>
      </c>
      <c r="P508" s="243"/>
      <c r="Q508" s="180" t="str">
        <f>IF(PEDIDOS[[#This Row],[Valor do item pago]]=PEDIDOS[[#This Row],[Total Item ]],"PAGO", "")</f>
        <v/>
      </c>
    </row>
    <row r="509" spans="1:17" s="216" customFormat="1" ht="39.950000000000003" customHeight="1" x14ac:dyDescent="0.25">
      <c r="A509" s="231"/>
      <c r="B509" s="240">
        <v>1269</v>
      </c>
      <c r="C509" s="241">
        <v>43894</v>
      </c>
      <c r="D509" s="242" t="s">
        <v>732</v>
      </c>
      <c r="E509" s="240" t="s">
        <v>732</v>
      </c>
      <c r="F509" s="240" t="s">
        <v>733</v>
      </c>
      <c r="G509" s="240">
        <v>0</v>
      </c>
      <c r="H509" s="240" t="s">
        <v>40</v>
      </c>
      <c r="I509" s="243">
        <v>0</v>
      </c>
      <c r="J509" s="243"/>
      <c r="K509" s="243" t="s">
        <v>732</v>
      </c>
      <c r="L509" s="240" t="s">
        <v>219</v>
      </c>
      <c r="M509" s="244">
        <v>1</v>
      </c>
      <c r="N509" s="245">
        <v>40</v>
      </c>
      <c r="O509" s="243">
        <v>40</v>
      </c>
      <c r="P509" s="243"/>
      <c r="Q509" s="180" t="str">
        <f>IF(PEDIDOS[[#This Row],[Valor do item pago]]=PEDIDOS[[#This Row],[Total Item ]],"PAGO", "")</f>
        <v/>
      </c>
    </row>
    <row r="510" spans="1:17" s="216" customFormat="1" ht="39.950000000000003" customHeight="1" x14ac:dyDescent="0.25">
      <c r="A510" s="231"/>
      <c r="B510" s="240">
        <v>1269</v>
      </c>
      <c r="C510" s="241">
        <v>43894</v>
      </c>
      <c r="D510" s="242" t="s">
        <v>732</v>
      </c>
      <c r="E510" s="240" t="s">
        <v>732</v>
      </c>
      <c r="F510" s="240" t="s">
        <v>733</v>
      </c>
      <c r="G510" s="240">
        <v>0</v>
      </c>
      <c r="H510" s="240" t="s">
        <v>40</v>
      </c>
      <c r="I510" s="243">
        <v>0</v>
      </c>
      <c r="J510" s="243"/>
      <c r="K510" s="243" t="s">
        <v>732</v>
      </c>
      <c r="L510" s="240" t="s">
        <v>1</v>
      </c>
      <c r="M510" s="244">
        <v>2</v>
      </c>
      <c r="N510" s="245">
        <v>40</v>
      </c>
      <c r="O510" s="243">
        <v>80</v>
      </c>
      <c r="P510" s="243"/>
      <c r="Q510" s="180" t="str">
        <f>IF(PEDIDOS[[#This Row],[Valor do item pago]]=PEDIDOS[[#This Row],[Total Item ]],"PAGO", "")</f>
        <v/>
      </c>
    </row>
    <row r="511" spans="1:17" s="216" customFormat="1" ht="39.950000000000003" customHeight="1" x14ac:dyDescent="0.25">
      <c r="A511" s="231"/>
      <c r="B511" s="240">
        <v>1269</v>
      </c>
      <c r="C511" s="241">
        <v>43894</v>
      </c>
      <c r="D511" s="242" t="s">
        <v>732</v>
      </c>
      <c r="E511" s="240" t="s">
        <v>732</v>
      </c>
      <c r="F511" s="240" t="s">
        <v>733</v>
      </c>
      <c r="G511" s="240">
        <v>0</v>
      </c>
      <c r="H511" s="240" t="s">
        <v>40</v>
      </c>
      <c r="I511" s="243">
        <v>0</v>
      </c>
      <c r="J511" s="243"/>
      <c r="K511" s="243" t="s">
        <v>732</v>
      </c>
      <c r="L511" s="240" t="s">
        <v>0</v>
      </c>
      <c r="M511" s="244">
        <v>1</v>
      </c>
      <c r="N511" s="245">
        <v>40</v>
      </c>
      <c r="O511" s="243">
        <v>40</v>
      </c>
      <c r="P511" s="243"/>
      <c r="Q511" s="180" t="str">
        <f>IF(PEDIDOS[[#This Row],[Valor do item pago]]=PEDIDOS[[#This Row],[Total Item ]],"PAGO", "")</f>
        <v/>
      </c>
    </row>
    <row r="512" spans="1:17" s="216" customFormat="1" ht="39.950000000000003" customHeight="1" x14ac:dyDescent="0.25">
      <c r="A512" s="231"/>
      <c r="B512" s="240">
        <v>1268</v>
      </c>
      <c r="C512" s="241">
        <v>43894</v>
      </c>
      <c r="D512" s="242" t="s">
        <v>1134</v>
      </c>
      <c r="E512" s="240" t="s">
        <v>1584</v>
      </c>
      <c r="F512" s="240" t="s">
        <v>1585</v>
      </c>
      <c r="G512" s="240" t="s">
        <v>1586</v>
      </c>
      <c r="H512" s="240" t="s">
        <v>651</v>
      </c>
      <c r="I512" s="243" t="s">
        <v>1587</v>
      </c>
      <c r="J512" s="243"/>
      <c r="K512" s="243"/>
      <c r="L512" s="240" t="s">
        <v>1</v>
      </c>
      <c r="M512" s="244">
        <v>1</v>
      </c>
      <c r="N512" s="245">
        <v>40</v>
      </c>
      <c r="O512" s="243">
        <v>40</v>
      </c>
      <c r="P512" s="243"/>
      <c r="Q512" s="180" t="str">
        <f>IF(PEDIDOS[[#This Row],[Valor do item pago]]=PEDIDOS[[#This Row],[Total Item ]],"PAGO", "")</f>
        <v/>
      </c>
    </row>
    <row r="513" spans="1:17" s="216" customFormat="1" ht="39.950000000000003" customHeight="1" x14ac:dyDescent="0.25">
      <c r="A513" s="231"/>
      <c r="B513" s="240">
        <v>1267</v>
      </c>
      <c r="C513" s="241">
        <v>43894</v>
      </c>
      <c r="D513" s="242" t="s">
        <v>34</v>
      </c>
      <c r="E513" s="240" t="s">
        <v>203</v>
      </c>
      <c r="F513" s="240" t="s">
        <v>1238</v>
      </c>
      <c r="G513" s="240" t="s">
        <v>41</v>
      </c>
      <c r="H513" s="240" t="s">
        <v>441</v>
      </c>
      <c r="I513" s="243" t="s">
        <v>442</v>
      </c>
      <c r="J513" s="243"/>
      <c r="K513" s="243"/>
      <c r="L513" s="240" t="s">
        <v>1</v>
      </c>
      <c r="M513" s="244">
        <v>1</v>
      </c>
      <c r="N513" s="245">
        <v>40</v>
      </c>
      <c r="O513" s="243">
        <v>40</v>
      </c>
      <c r="P513" s="243"/>
      <c r="Q513" s="180" t="str">
        <f>IF(PEDIDOS[[#This Row],[Valor do item pago]]=PEDIDOS[[#This Row],[Total Item ]],"PAGO", "")</f>
        <v/>
      </c>
    </row>
    <row r="514" spans="1:17" s="216" customFormat="1" ht="39.950000000000003" customHeight="1" x14ac:dyDescent="0.25">
      <c r="A514" s="231"/>
      <c r="B514" s="240">
        <v>1267</v>
      </c>
      <c r="C514" s="241">
        <v>43894</v>
      </c>
      <c r="D514" s="242" t="s">
        <v>34</v>
      </c>
      <c r="E514" s="240" t="s">
        <v>203</v>
      </c>
      <c r="F514" s="240" t="s">
        <v>1238</v>
      </c>
      <c r="G514" s="240" t="s">
        <v>41</v>
      </c>
      <c r="H514" s="240" t="s">
        <v>441</v>
      </c>
      <c r="I514" s="243" t="s">
        <v>442</v>
      </c>
      <c r="J514" s="243"/>
      <c r="K514" s="243"/>
      <c r="L514" s="240" t="s">
        <v>0</v>
      </c>
      <c r="M514" s="244">
        <v>1</v>
      </c>
      <c r="N514" s="245">
        <v>40</v>
      </c>
      <c r="O514" s="243">
        <v>40</v>
      </c>
      <c r="P514" s="243"/>
      <c r="Q514" s="180" t="str">
        <f>IF(PEDIDOS[[#This Row],[Valor do item pago]]=PEDIDOS[[#This Row],[Total Item ]],"PAGO", "")</f>
        <v/>
      </c>
    </row>
    <row r="515" spans="1:17" s="216" customFormat="1" ht="39.950000000000003" customHeight="1" x14ac:dyDescent="0.25">
      <c r="A515" s="231"/>
      <c r="B515" s="240">
        <v>1266</v>
      </c>
      <c r="C515" s="241">
        <v>43894</v>
      </c>
      <c r="D515" s="242" t="s">
        <v>24</v>
      </c>
      <c r="E515" s="240" t="s">
        <v>13</v>
      </c>
      <c r="F515" s="240" t="s">
        <v>1491</v>
      </c>
      <c r="G515" s="240" t="s">
        <v>1492</v>
      </c>
      <c r="H515" s="240" t="s">
        <v>1197</v>
      </c>
      <c r="I515" s="243" t="s">
        <v>1493</v>
      </c>
      <c r="J515" s="243"/>
      <c r="K515" s="243" t="s">
        <v>24</v>
      </c>
      <c r="L515" s="240" t="s">
        <v>3</v>
      </c>
      <c r="M515" s="244">
        <v>1</v>
      </c>
      <c r="N515" s="245">
        <v>40</v>
      </c>
      <c r="O515" s="243">
        <v>40</v>
      </c>
      <c r="P515" s="243"/>
      <c r="Q515" s="180" t="str">
        <f>IF(PEDIDOS[[#This Row],[Valor do item pago]]=PEDIDOS[[#This Row],[Total Item ]],"PAGO", "")</f>
        <v/>
      </c>
    </row>
    <row r="516" spans="1:17" s="216" customFormat="1" ht="39.950000000000003" customHeight="1" x14ac:dyDescent="0.25">
      <c r="A516" s="231"/>
      <c r="B516" s="240">
        <v>1266</v>
      </c>
      <c r="C516" s="241">
        <v>43894</v>
      </c>
      <c r="D516" s="242" t="s">
        <v>24</v>
      </c>
      <c r="E516" s="240" t="s">
        <v>13</v>
      </c>
      <c r="F516" s="240" t="s">
        <v>1491</v>
      </c>
      <c r="G516" s="240" t="s">
        <v>1492</v>
      </c>
      <c r="H516" s="240" t="s">
        <v>1197</v>
      </c>
      <c r="I516" s="243" t="s">
        <v>1493</v>
      </c>
      <c r="J516" s="243"/>
      <c r="K516" s="243" t="s">
        <v>24</v>
      </c>
      <c r="L516" s="240" t="s">
        <v>219</v>
      </c>
      <c r="M516" s="244">
        <v>1</v>
      </c>
      <c r="N516" s="245">
        <v>40</v>
      </c>
      <c r="O516" s="243">
        <v>40</v>
      </c>
      <c r="P516" s="243"/>
      <c r="Q516" s="180" t="str">
        <f>IF(PEDIDOS[[#This Row],[Valor do item pago]]=PEDIDOS[[#This Row],[Total Item ]],"PAGO", "")</f>
        <v/>
      </c>
    </row>
    <row r="517" spans="1:17" s="216" customFormat="1" ht="39.950000000000003" customHeight="1" x14ac:dyDescent="0.25">
      <c r="A517" s="231"/>
      <c r="B517" s="240">
        <v>1265</v>
      </c>
      <c r="C517" s="241">
        <v>43894</v>
      </c>
      <c r="D517" s="242" t="s">
        <v>24</v>
      </c>
      <c r="E517" s="240" t="s">
        <v>1255</v>
      </c>
      <c r="F517" s="240" t="s">
        <v>1210</v>
      </c>
      <c r="G517" s="240">
        <v>0</v>
      </c>
      <c r="H517" s="240">
        <v>0</v>
      </c>
      <c r="I517" s="243">
        <v>0</v>
      </c>
      <c r="J517" s="243"/>
      <c r="K517" s="243" t="s">
        <v>24</v>
      </c>
      <c r="L517" s="240" t="s">
        <v>3</v>
      </c>
      <c r="M517" s="244">
        <v>2</v>
      </c>
      <c r="N517" s="245">
        <v>40</v>
      </c>
      <c r="O517" s="243">
        <v>80</v>
      </c>
      <c r="P517" s="243"/>
      <c r="Q517" s="180" t="str">
        <f>IF(PEDIDOS[[#This Row],[Valor do item pago]]=PEDIDOS[[#This Row],[Total Item ]],"PAGO", "")</f>
        <v/>
      </c>
    </row>
    <row r="518" spans="1:17" s="216" customFormat="1" ht="39.950000000000003" customHeight="1" x14ac:dyDescent="0.25">
      <c r="A518" s="231"/>
      <c r="B518" s="240">
        <v>1264</v>
      </c>
      <c r="C518" s="241">
        <v>43894</v>
      </c>
      <c r="D518" s="242" t="s">
        <v>24</v>
      </c>
      <c r="E518" s="240" t="s">
        <v>23</v>
      </c>
      <c r="F518" s="240">
        <v>0</v>
      </c>
      <c r="G518" s="240">
        <v>0</v>
      </c>
      <c r="H518" s="240">
        <v>0</v>
      </c>
      <c r="I518" s="243">
        <v>0</v>
      </c>
      <c r="J518" s="243" t="s">
        <v>1097</v>
      </c>
      <c r="K518" s="243" t="s">
        <v>24</v>
      </c>
      <c r="L518" s="240" t="s">
        <v>219</v>
      </c>
      <c r="M518" s="244">
        <v>2</v>
      </c>
      <c r="N518" s="245">
        <v>40</v>
      </c>
      <c r="O518" s="243">
        <v>80</v>
      </c>
      <c r="P518" s="243"/>
      <c r="Q518" s="180" t="str">
        <f>IF(PEDIDOS[[#This Row],[Valor do item pago]]=PEDIDOS[[#This Row],[Total Item ]],"PAGO", "")</f>
        <v/>
      </c>
    </row>
    <row r="519" spans="1:17" s="216" customFormat="1" ht="39.950000000000003" customHeight="1" x14ac:dyDescent="0.25">
      <c r="A519" s="231"/>
      <c r="B519" s="240">
        <v>1263</v>
      </c>
      <c r="C519" s="241">
        <v>43894</v>
      </c>
      <c r="D519" s="242" t="s">
        <v>24</v>
      </c>
      <c r="E519" s="240" t="s">
        <v>25</v>
      </c>
      <c r="F519" s="240" t="s">
        <v>1222</v>
      </c>
      <c r="G519" s="240" t="s">
        <v>1411</v>
      </c>
      <c r="H519" s="240" t="s">
        <v>406</v>
      </c>
      <c r="I519" s="243" t="s">
        <v>329</v>
      </c>
      <c r="J519" s="243"/>
      <c r="K519" s="243"/>
      <c r="L519" s="240" t="s">
        <v>219</v>
      </c>
      <c r="M519" s="244">
        <v>1</v>
      </c>
      <c r="N519" s="245">
        <v>40</v>
      </c>
      <c r="O519" s="243">
        <v>40</v>
      </c>
      <c r="P519" s="243"/>
      <c r="Q519" s="180" t="str">
        <f>IF(PEDIDOS[[#This Row],[Valor do item pago]]=PEDIDOS[[#This Row],[Total Item ]],"PAGO", "")</f>
        <v/>
      </c>
    </row>
    <row r="520" spans="1:17" s="216" customFormat="1" ht="39.950000000000003" customHeight="1" x14ac:dyDescent="0.25">
      <c r="A520" s="231"/>
      <c r="B520" s="240">
        <v>1262</v>
      </c>
      <c r="C520" s="241">
        <v>43894</v>
      </c>
      <c r="D520" s="242" t="s">
        <v>1134</v>
      </c>
      <c r="E520" s="240" t="s">
        <v>1583</v>
      </c>
      <c r="F520" s="240" t="s">
        <v>1696</v>
      </c>
      <c r="G520" s="240" t="s">
        <v>437</v>
      </c>
      <c r="H520" s="240" t="s">
        <v>84</v>
      </c>
      <c r="I520" s="243" t="s">
        <v>439</v>
      </c>
      <c r="J520" s="243"/>
      <c r="K520" s="243"/>
      <c r="L520" s="240" t="s">
        <v>219</v>
      </c>
      <c r="M520" s="244">
        <v>3</v>
      </c>
      <c r="N520" s="245">
        <v>40</v>
      </c>
      <c r="O520" s="243">
        <v>120</v>
      </c>
      <c r="P520" s="243"/>
      <c r="Q520" s="180" t="str">
        <f>IF(PEDIDOS[[#This Row],[Valor do item pago]]=PEDIDOS[[#This Row],[Total Item ]],"PAGO", "")</f>
        <v/>
      </c>
    </row>
    <row r="521" spans="1:17" s="216" customFormat="1" ht="39.950000000000003" customHeight="1" x14ac:dyDescent="0.25">
      <c r="A521" s="231"/>
      <c r="B521" s="240">
        <v>1261</v>
      </c>
      <c r="C521" s="241">
        <v>43894</v>
      </c>
      <c r="D521" s="242" t="s">
        <v>1134</v>
      </c>
      <c r="E521" s="240" t="s">
        <v>1694</v>
      </c>
      <c r="F521" s="240">
        <v>0</v>
      </c>
      <c r="G521" s="240" t="s">
        <v>1695</v>
      </c>
      <c r="H521" s="240">
        <v>0</v>
      </c>
      <c r="I521" s="243">
        <v>0</v>
      </c>
      <c r="J521" s="243"/>
      <c r="K521" s="243" t="s">
        <v>40</v>
      </c>
      <c r="L521" s="240" t="s">
        <v>219</v>
      </c>
      <c r="M521" s="244">
        <v>1</v>
      </c>
      <c r="N521" s="245">
        <v>40</v>
      </c>
      <c r="O521" s="243">
        <v>40</v>
      </c>
      <c r="P521" s="243"/>
      <c r="Q521" s="180" t="str">
        <f>IF(PEDIDOS[[#This Row],[Valor do item pago]]=PEDIDOS[[#This Row],[Total Item ]],"PAGO", "")</f>
        <v/>
      </c>
    </row>
    <row r="522" spans="1:17" s="216" customFormat="1" ht="39.950000000000003" customHeight="1" x14ac:dyDescent="0.25">
      <c r="A522" s="231"/>
      <c r="B522" s="240">
        <v>1261</v>
      </c>
      <c r="C522" s="241">
        <v>43894</v>
      </c>
      <c r="D522" s="242" t="s">
        <v>1134</v>
      </c>
      <c r="E522" s="240" t="s">
        <v>1694</v>
      </c>
      <c r="F522" s="240">
        <v>0</v>
      </c>
      <c r="G522" s="240">
        <v>0</v>
      </c>
      <c r="H522" s="240">
        <v>0</v>
      </c>
      <c r="I522" s="243">
        <v>0</v>
      </c>
      <c r="J522" s="243"/>
      <c r="K522" s="243" t="s">
        <v>40</v>
      </c>
      <c r="L522" s="240" t="s">
        <v>0</v>
      </c>
      <c r="M522" s="244">
        <v>1</v>
      </c>
      <c r="N522" s="245">
        <v>40</v>
      </c>
      <c r="O522" s="243">
        <v>40</v>
      </c>
      <c r="P522" s="243"/>
      <c r="Q522" s="180" t="str">
        <f>IF(PEDIDOS[[#This Row],[Valor do item pago]]=PEDIDOS[[#This Row],[Total Item ]],"PAGO", "")</f>
        <v/>
      </c>
    </row>
    <row r="523" spans="1:17" s="216" customFormat="1" ht="39.950000000000003" customHeight="1" x14ac:dyDescent="0.25">
      <c r="A523" s="231"/>
      <c r="B523" s="240">
        <v>1260</v>
      </c>
      <c r="C523" s="241">
        <v>43894</v>
      </c>
      <c r="D523" s="242" t="s">
        <v>1134</v>
      </c>
      <c r="E523" s="240" t="s">
        <v>1692</v>
      </c>
      <c r="F523" s="240" t="s">
        <v>1693</v>
      </c>
      <c r="G523" s="240">
        <v>0</v>
      </c>
      <c r="H523" s="240">
        <v>0</v>
      </c>
      <c r="I523" s="243">
        <v>0</v>
      </c>
      <c r="J523" s="243"/>
      <c r="K523" s="243" t="s">
        <v>40</v>
      </c>
      <c r="L523" s="240" t="s">
        <v>219</v>
      </c>
      <c r="M523" s="244">
        <v>1</v>
      </c>
      <c r="N523" s="245">
        <v>40</v>
      </c>
      <c r="O523" s="243">
        <v>40</v>
      </c>
      <c r="P523" s="243"/>
      <c r="Q523" s="180" t="str">
        <f>IF(PEDIDOS[[#This Row],[Valor do item pago]]=PEDIDOS[[#This Row],[Total Item ]],"PAGO", "")</f>
        <v/>
      </c>
    </row>
    <row r="524" spans="1:17" s="216" customFormat="1" ht="39.950000000000003" customHeight="1" x14ac:dyDescent="0.25">
      <c r="A524" s="231"/>
      <c r="B524" s="240">
        <v>1259</v>
      </c>
      <c r="C524" s="241">
        <v>43894</v>
      </c>
      <c r="D524" s="242" t="s">
        <v>34</v>
      </c>
      <c r="E524" s="240" t="s">
        <v>1316</v>
      </c>
      <c r="F524" s="240" t="s">
        <v>717</v>
      </c>
      <c r="G524" s="240" t="s">
        <v>1394</v>
      </c>
      <c r="H524" s="240" t="s">
        <v>112</v>
      </c>
      <c r="I524" s="243" t="s">
        <v>720</v>
      </c>
      <c r="J524" s="243" t="s">
        <v>1690</v>
      </c>
      <c r="K524" s="243"/>
      <c r="L524" s="240" t="s">
        <v>3</v>
      </c>
      <c r="M524" s="244">
        <v>2</v>
      </c>
      <c r="N524" s="245">
        <v>40</v>
      </c>
      <c r="O524" s="243">
        <v>80</v>
      </c>
      <c r="P524" s="243"/>
      <c r="Q524" s="180" t="str">
        <f>IF(PEDIDOS[[#This Row],[Valor do item pago]]=PEDIDOS[[#This Row],[Total Item ]],"PAGO", "")</f>
        <v/>
      </c>
    </row>
    <row r="525" spans="1:17" s="216" customFormat="1" ht="39.950000000000003" customHeight="1" x14ac:dyDescent="0.25">
      <c r="A525" s="231"/>
      <c r="B525" s="240">
        <v>1259</v>
      </c>
      <c r="C525" s="241">
        <v>43894</v>
      </c>
      <c r="D525" s="242" t="s">
        <v>34</v>
      </c>
      <c r="E525" s="240" t="s">
        <v>1316</v>
      </c>
      <c r="F525" s="240" t="s">
        <v>717</v>
      </c>
      <c r="G525" s="240" t="s">
        <v>1394</v>
      </c>
      <c r="H525" s="240" t="s">
        <v>112</v>
      </c>
      <c r="I525" s="243" t="s">
        <v>720</v>
      </c>
      <c r="J525" s="243" t="s">
        <v>1690</v>
      </c>
      <c r="K525" s="243"/>
      <c r="L525" s="240" t="s">
        <v>1</v>
      </c>
      <c r="M525" s="244">
        <v>1</v>
      </c>
      <c r="N525" s="245">
        <v>40</v>
      </c>
      <c r="O525" s="243">
        <v>40</v>
      </c>
      <c r="P525" s="243"/>
      <c r="Q525" s="180" t="str">
        <f>IF(PEDIDOS[[#This Row],[Valor do item pago]]=PEDIDOS[[#This Row],[Total Item ]],"PAGO", "")</f>
        <v/>
      </c>
    </row>
    <row r="526" spans="1:17" s="216" customFormat="1" ht="39.950000000000003" customHeight="1" x14ac:dyDescent="0.25">
      <c r="A526" s="231"/>
      <c r="B526" s="240">
        <v>1258</v>
      </c>
      <c r="C526" s="241">
        <v>43894</v>
      </c>
      <c r="D526" s="242" t="s">
        <v>1192</v>
      </c>
      <c r="E526" s="240" t="s">
        <v>1192</v>
      </c>
      <c r="F526" s="240" t="s">
        <v>1247</v>
      </c>
      <c r="G526" s="240">
        <v>0</v>
      </c>
      <c r="H526" s="240">
        <v>0</v>
      </c>
      <c r="I526" s="243">
        <v>0</v>
      </c>
      <c r="J526" s="243"/>
      <c r="K526" s="243" t="s">
        <v>40</v>
      </c>
      <c r="L526" s="240" t="s">
        <v>1</v>
      </c>
      <c r="M526" s="244">
        <v>1</v>
      </c>
      <c r="N526" s="245">
        <v>40</v>
      </c>
      <c r="O526" s="243">
        <v>40</v>
      </c>
      <c r="P526" s="243"/>
      <c r="Q526" s="180" t="str">
        <f>IF(PEDIDOS[[#This Row],[Valor do item pago]]=PEDIDOS[[#This Row],[Total Item ]],"PAGO", "")</f>
        <v/>
      </c>
    </row>
    <row r="527" spans="1:17" s="216" customFormat="1" ht="39.950000000000003" customHeight="1" x14ac:dyDescent="0.25">
      <c r="A527" s="231"/>
      <c r="B527" s="240">
        <v>1257</v>
      </c>
      <c r="C527" s="241">
        <v>43894</v>
      </c>
      <c r="D527" s="242" t="s">
        <v>411</v>
      </c>
      <c r="E527" s="240" t="s">
        <v>1688</v>
      </c>
      <c r="F527" s="240" t="s">
        <v>1689</v>
      </c>
      <c r="G527" s="240">
        <v>0</v>
      </c>
      <c r="H527" s="240">
        <v>0</v>
      </c>
      <c r="I527" s="243">
        <v>0</v>
      </c>
      <c r="J527" s="243"/>
      <c r="K527" s="243" t="s">
        <v>40</v>
      </c>
      <c r="L527" s="240" t="s">
        <v>3</v>
      </c>
      <c r="M527" s="244">
        <v>1</v>
      </c>
      <c r="N527" s="245">
        <v>40</v>
      </c>
      <c r="O527" s="243">
        <v>40</v>
      </c>
      <c r="P527" s="243"/>
      <c r="Q527" s="180" t="str">
        <f>IF(PEDIDOS[[#This Row],[Valor do item pago]]=PEDIDOS[[#This Row],[Total Item ]],"PAGO", "")</f>
        <v/>
      </c>
    </row>
    <row r="528" spans="1:17" s="216" customFormat="1" ht="39.950000000000003" customHeight="1" x14ac:dyDescent="0.25">
      <c r="A528" s="231"/>
      <c r="B528" s="240">
        <v>1256</v>
      </c>
      <c r="C528" s="241">
        <v>43894</v>
      </c>
      <c r="D528" s="242" t="s">
        <v>1192</v>
      </c>
      <c r="E528" s="240" t="s">
        <v>1436</v>
      </c>
      <c r="F528" s="240" t="s">
        <v>1099</v>
      </c>
      <c r="G528" s="240">
        <v>0</v>
      </c>
      <c r="H528" s="240" t="s">
        <v>40</v>
      </c>
      <c r="I528" s="243">
        <v>0</v>
      </c>
      <c r="J528" s="243"/>
      <c r="K528" s="243" t="s">
        <v>40</v>
      </c>
      <c r="L528" s="240" t="s">
        <v>3</v>
      </c>
      <c r="M528" s="244">
        <v>1</v>
      </c>
      <c r="N528" s="245">
        <v>40</v>
      </c>
      <c r="O528" s="243">
        <v>40</v>
      </c>
      <c r="P528" s="243"/>
      <c r="Q528" s="180" t="str">
        <f>IF(PEDIDOS[[#This Row],[Valor do item pago]]=PEDIDOS[[#This Row],[Total Item ]],"PAGO", "")</f>
        <v/>
      </c>
    </row>
    <row r="529" spans="1:17" s="216" customFormat="1" ht="39.950000000000003" customHeight="1" x14ac:dyDescent="0.25">
      <c r="A529" s="231"/>
      <c r="B529" s="240">
        <v>1256</v>
      </c>
      <c r="C529" s="241">
        <v>43894</v>
      </c>
      <c r="D529" s="242" t="s">
        <v>1192</v>
      </c>
      <c r="E529" s="240" t="s">
        <v>1436</v>
      </c>
      <c r="F529" s="240" t="s">
        <v>1099</v>
      </c>
      <c r="G529" s="240">
        <v>0</v>
      </c>
      <c r="H529" s="240" t="s">
        <v>40</v>
      </c>
      <c r="I529" s="243">
        <v>0</v>
      </c>
      <c r="J529" s="243"/>
      <c r="K529" s="243" t="s">
        <v>40</v>
      </c>
      <c r="L529" s="240" t="s">
        <v>0</v>
      </c>
      <c r="M529" s="244">
        <v>1</v>
      </c>
      <c r="N529" s="245">
        <v>40</v>
      </c>
      <c r="O529" s="243">
        <v>40</v>
      </c>
      <c r="P529" s="243"/>
      <c r="Q529" s="180" t="str">
        <f>IF(PEDIDOS[[#This Row],[Valor do item pago]]=PEDIDOS[[#This Row],[Total Item ]],"PAGO", "")</f>
        <v/>
      </c>
    </row>
    <row r="530" spans="1:17" s="216" customFormat="1" ht="39.950000000000003" customHeight="1" x14ac:dyDescent="0.25">
      <c r="A530" s="231"/>
      <c r="B530" s="240">
        <v>1255</v>
      </c>
      <c r="C530" s="241">
        <v>43894</v>
      </c>
      <c r="D530" s="242" t="s">
        <v>1134</v>
      </c>
      <c r="E530" s="240" t="s">
        <v>1683</v>
      </c>
      <c r="F530" s="240" t="s">
        <v>1687</v>
      </c>
      <c r="G530" s="240" t="s">
        <v>1684</v>
      </c>
      <c r="H530" s="240" t="s">
        <v>112</v>
      </c>
      <c r="I530" s="243" t="s">
        <v>1685</v>
      </c>
      <c r="J530" s="243" t="s">
        <v>1686</v>
      </c>
      <c r="K530" s="243" t="s">
        <v>49</v>
      </c>
      <c r="L530" s="240" t="s">
        <v>219</v>
      </c>
      <c r="M530" s="244">
        <v>6</v>
      </c>
      <c r="N530" s="245">
        <v>40</v>
      </c>
      <c r="O530" s="243">
        <v>240</v>
      </c>
      <c r="P530" s="243"/>
      <c r="Q530" s="180" t="str">
        <f>IF(PEDIDOS[[#This Row],[Valor do item pago]]=PEDIDOS[[#This Row],[Total Item ]],"PAGO", "")</f>
        <v/>
      </c>
    </row>
    <row r="531" spans="1:17" s="216" customFormat="1" ht="39.950000000000003" customHeight="1" x14ac:dyDescent="0.25">
      <c r="A531" s="231"/>
      <c r="B531" s="240">
        <v>1254</v>
      </c>
      <c r="C531" s="241">
        <v>43894</v>
      </c>
      <c r="D531" s="242" t="s">
        <v>966</v>
      </c>
      <c r="E531" s="240" t="s">
        <v>966</v>
      </c>
      <c r="F531" s="240" t="s">
        <v>1073</v>
      </c>
      <c r="G531" s="240">
        <v>0</v>
      </c>
      <c r="H531" s="240" t="s">
        <v>40</v>
      </c>
      <c r="I531" s="243">
        <v>0</v>
      </c>
      <c r="J531" s="243"/>
      <c r="K531" s="243" t="s">
        <v>966</v>
      </c>
      <c r="L531" s="240" t="s">
        <v>3</v>
      </c>
      <c r="M531" s="244">
        <v>2</v>
      </c>
      <c r="N531" s="245">
        <v>40</v>
      </c>
      <c r="O531" s="243">
        <v>80</v>
      </c>
      <c r="P531" s="243"/>
      <c r="Q531" s="180" t="str">
        <f>IF(PEDIDOS[[#This Row],[Valor do item pago]]=PEDIDOS[[#This Row],[Total Item ]],"PAGO", "")</f>
        <v/>
      </c>
    </row>
    <row r="532" spans="1:17" s="216" customFormat="1" ht="39.950000000000003" customHeight="1" x14ac:dyDescent="0.25">
      <c r="A532" s="231"/>
      <c r="B532" s="240">
        <v>1254</v>
      </c>
      <c r="C532" s="241">
        <v>43894</v>
      </c>
      <c r="D532" s="242" t="s">
        <v>966</v>
      </c>
      <c r="E532" s="240" t="s">
        <v>966</v>
      </c>
      <c r="F532" s="240" t="s">
        <v>1073</v>
      </c>
      <c r="G532" s="240">
        <v>0</v>
      </c>
      <c r="H532" s="240" t="s">
        <v>40</v>
      </c>
      <c r="I532" s="243">
        <v>0</v>
      </c>
      <c r="J532" s="243"/>
      <c r="K532" s="243" t="s">
        <v>966</v>
      </c>
      <c r="L532" s="240" t="s">
        <v>219</v>
      </c>
      <c r="M532" s="244">
        <v>2</v>
      </c>
      <c r="N532" s="245">
        <v>40</v>
      </c>
      <c r="O532" s="243">
        <v>80</v>
      </c>
      <c r="P532" s="243"/>
      <c r="Q532" s="180" t="str">
        <f>IF(PEDIDOS[[#This Row],[Valor do item pago]]=PEDIDOS[[#This Row],[Total Item ]],"PAGO", "")</f>
        <v/>
      </c>
    </row>
    <row r="533" spans="1:17" s="216" customFormat="1" ht="39.950000000000003" customHeight="1" x14ac:dyDescent="0.25">
      <c r="A533" s="231"/>
      <c r="B533" s="240">
        <v>1254</v>
      </c>
      <c r="C533" s="241">
        <v>43894</v>
      </c>
      <c r="D533" s="242" t="s">
        <v>966</v>
      </c>
      <c r="E533" s="240" t="s">
        <v>966</v>
      </c>
      <c r="F533" s="240" t="s">
        <v>1073</v>
      </c>
      <c r="G533" s="240">
        <v>0</v>
      </c>
      <c r="H533" s="240" t="s">
        <v>40</v>
      </c>
      <c r="I533" s="243">
        <v>0</v>
      </c>
      <c r="J533" s="243"/>
      <c r="K533" s="243" t="s">
        <v>966</v>
      </c>
      <c r="L533" s="240" t="s">
        <v>1</v>
      </c>
      <c r="M533" s="244">
        <v>2</v>
      </c>
      <c r="N533" s="245">
        <v>40</v>
      </c>
      <c r="O533" s="243">
        <v>80</v>
      </c>
      <c r="P533" s="243"/>
      <c r="Q533" s="180" t="str">
        <f>IF(PEDIDOS[[#This Row],[Valor do item pago]]=PEDIDOS[[#This Row],[Total Item ]],"PAGO", "")</f>
        <v/>
      </c>
    </row>
    <row r="534" spans="1:17" s="216" customFormat="1" ht="39.950000000000003" customHeight="1" x14ac:dyDescent="0.25">
      <c r="A534" s="231"/>
      <c r="B534" s="240">
        <v>1254</v>
      </c>
      <c r="C534" s="241">
        <v>43894</v>
      </c>
      <c r="D534" s="242" t="s">
        <v>966</v>
      </c>
      <c r="E534" s="240" t="s">
        <v>966</v>
      </c>
      <c r="F534" s="240" t="s">
        <v>1073</v>
      </c>
      <c r="G534" s="240">
        <v>0</v>
      </c>
      <c r="H534" s="240" t="s">
        <v>40</v>
      </c>
      <c r="I534" s="243">
        <v>0</v>
      </c>
      <c r="J534" s="243"/>
      <c r="K534" s="243" t="s">
        <v>966</v>
      </c>
      <c r="L534" s="240" t="s">
        <v>0</v>
      </c>
      <c r="M534" s="244">
        <v>2</v>
      </c>
      <c r="N534" s="245">
        <v>40</v>
      </c>
      <c r="O534" s="243">
        <v>80</v>
      </c>
      <c r="P534" s="243"/>
      <c r="Q534" s="180" t="str">
        <f>IF(PEDIDOS[[#This Row],[Valor do item pago]]=PEDIDOS[[#This Row],[Total Item ]],"PAGO", "")</f>
        <v/>
      </c>
    </row>
    <row r="535" spans="1:17" s="216" customFormat="1" ht="39.950000000000003" customHeight="1" x14ac:dyDescent="0.25">
      <c r="A535" s="231"/>
      <c r="B535" s="240">
        <v>1253</v>
      </c>
      <c r="C535" s="241">
        <v>43894</v>
      </c>
      <c r="D535" s="242" t="s">
        <v>60</v>
      </c>
      <c r="E535" s="240" t="s">
        <v>60</v>
      </c>
      <c r="F535" s="240">
        <v>0</v>
      </c>
      <c r="G535" s="240" t="s">
        <v>1434</v>
      </c>
      <c r="H535" s="240">
        <v>0</v>
      </c>
      <c r="I535" s="243">
        <v>0</v>
      </c>
      <c r="J535" s="243"/>
      <c r="K535" s="243" t="s">
        <v>40</v>
      </c>
      <c r="L535" s="240" t="s">
        <v>219</v>
      </c>
      <c r="M535" s="244">
        <v>2</v>
      </c>
      <c r="N535" s="245">
        <v>40</v>
      </c>
      <c r="O535" s="243">
        <v>80</v>
      </c>
      <c r="P535" s="243"/>
      <c r="Q535" s="180" t="str">
        <f>IF(PEDIDOS[[#This Row],[Valor do item pago]]=PEDIDOS[[#This Row],[Total Item ]],"PAGO", "")</f>
        <v/>
      </c>
    </row>
    <row r="536" spans="1:17" s="216" customFormat="1" ht="39.950000000000003" customHeight="1" x14ac:dyDescent="0.25">
      <c r="A536" s="231"/>
      <c r="B536" s="240">
        <v>1252</v>
      </c>
      <c r="C536" s="241">
        <v>43868</v>
      </c>
      <c r="D536" s="242" t="s">
        <v>11</v>
      </c>
      <c r="E536" s="240" t="s">
        <v>1670</v>
      </c>
      <c r="F536" s="240" t="s">
        <v>1671</v>
      </c>
      <c r="G536" s="240" t="s">
        <v>1672</v>
      </c>
      <c r="H536" s="240" t="s">
        <v>520</v>
      </c>
      <c r="I536" s="243" t="s">
        <v>1673</v>
      </c>
      <c r="J536" s="243"/>
      <c r="K536" s="243"/>
      <c r="L536" s="240" t="s">
        <v>219</v>
      </c>
      <c r="M536" s="244">
        <v>1</v>
      </c>
      <c r="N536" s="245">
        <v>40</v>
      </c>
      <c r="O536" s="243">
        <v>40</v>
      </c>
      <c r="P536" s="243"/>
      <c r="Q536" s="180" t="str">
        <f>IF(PEDIDOS[[#This Row],[Valor do item pago]]=PEDIDOS[[#This Row],[Total Item ]],"PAGO", "")</f>
        <v/>
      </c>
    </row>
    <row r="537" spans="1:17" s="216" customFormat="1" ht="39.950000000000003" customHeight="1" x14ac:dyDescent="0.25">
      <c r="A537" s="231"/>
      <c r="B537" s="240">
        <v>1251</v>
      </c>
      <c r="C537" s="241">
        <v>43868</v>
      </c>
      <c r="D537" s="242" t="s">
        <v>11</v>
      </c>
      <c r="E537" s="240" t="s">
        <v>1674</v>
      </c>
      <c r="F537" s="240" t="s">
        <v>1675</v>
      </c>
      <c r="G537" s="240" t="s">
        <v>1676</v>
      </c>
      <c r="H537" s="240" t="s">
        <v>459</v>
      </c>
      <c r="I537" s="243" t="s">
        <v>1677</v>
      </c>
      <c r="J537" s="243"/>
      <c r="K537" s="243"/>
      <c r="L537" s="240" t="s">
        <v>219</v>
      </c>
      <c r="M537" s="244">
        <v>1</v>
      </c>
      <c r="N537" s="245">
        <v>40</v>
      </c>
      <c r="O537" s="243">
        <v>40</v>
      </c>
      <c r="P537" s="243"/>
      <c r="Q537" s="180" t="str">
        <f>IF(PEDIDOS[[#This Row],[Valor do item pago]]=PEDIDOS[[#This Row],[Total Item ]],"PAGO", "")</f>
        <v/>
      </c>
    </row>
    <row r="538" spans="1:17" s="216" customFormat="1" ht="39.950000000000003" customHeight="1" x14ac:dyDescent="0.25">
      <c r="A538" s="231"/>
      <c r="B538" s="240">
        <v>1250</v>
      </c>
      <c r="C538" s="241">
        <v>43868</v>
      </c>
      <c r="D538" s="242" t="s">
        <v>11</v>
      </c>
      <c r="E538" s="240" t="s">
        <v>1666</v>
      </c>
      <c r="F538" s="240" t="s">
        <v>1667</v>
      </c>
      <c r="G538" s="240" t="s">
        <v>1668</v>
      </c>
      <c r="H538" s="240" t="s">
        <v>581</v>
      </c>
      <c r="I538" s="243" t="s">
        <v>1669</v>
      </c>
      <c r="J538" s="243"/>
      <c r="K538" s="243"/>
      <c r="L538" s="240" t="s">
        <v>219</v>
      </c>
      <c r="M538" s="244">
        <v>1</v>
      </c>
      <c r="N538" s="245">
        <v>40</v>
      </c>
      <c r="O538" s="243">
        <v>40</v>
      </c>
      <c r="P538" s="243"/>
      <c r="Q538" s="180" t="str">
        <f>IF(PEDIDOS[[#This Row],[Valor do item pago]]=PEDIDOS[[#This Row],[Total Item ]],"PAGO", "")</f>
        <v/>
      </c>
    </row>
    <row r="539" spans="1:17" s="216" customFormat="1" ht="39.950000000000003" customHeight="1" x14ac:dyDescent="0.25">
      <c r="A539" s="231"/>
      <c r="B539" s="240">
        <v>1249</v>
      </c>
      <c r="C539" s="241">
        <v>43868</v>
      </c>
      <c r="D539" s="242" t="s">
        <v>11</v>
      </c>
      <c r="E539" s="240" t="s">
        <v>1662</v>
      </c>
      <c r="F539" s="240" t="s">
        <v>1663</v>
      </c>
      <c r="G539" s="240" t="s">
        <v>1664</v>
      </c>
      <c r="H539" s="240" t="s">
        <v>581</v>
      </c>
      <c r="I539" s="243" t="s">
        <v>1665</v>
      </c>
      <c r="J539" s="243"/>
      <c r="K539" s="243"/>
      <c r="L539" s="240" t="s">
        <v>1</v>
      </c>
      <c r="M539" s="244">
        <v>1</v>
      </c>
      <c r="N539" s="245">
        <v>40</v>
      </c>
      <c r="O539" s="243">
        <v>40</v>
      </c>
      <c r="P539" s="243"/>
      <c r="Q539" s="180" t="str">
        <f>IF(PEDIDOS[[#This Row],[Valor do item pago]]=PEDIDOS[[#This Row],[Total Item ]],"PAGO", "")</f>
        <v/>
      </c>
    </row>
    <row r="540" spans="1:17" s="216" customFormat="1" ht="39.950000000000003" customHeight="1" x14ac:dyDescent="0.25">
      <c r="A540" s="231"/>
      <c r="B540" s="240">
        <v>1248</v>
      </c>
      <c r="C540" s="241">
        <v>43868</v>
      </c>
      <c r="D540" s="242" t="s">
        <v>11</v>
      </c>
      <c r="E540" s="240" t="s">
        <v>1644</v>
      </c>
      <c r="F540" s="240" t="s">
        <v>1645</v>
      </c>
      <c r="G540" s="240">
        <v>0</v>
      </c>
      <c r="H540" s="240">
        <v>0</v>
      </c>
      <c r="I540" s="243"/>
      <c r="J540" s="243"/>
      <c r="K540" s="243" t="s">
        <v>11</v>
      </c>
      <c r="L540" s="240" t="s">
        <v>219</v>
      </c>
      <c r="M540" s="244">
        <v>1</v>
      </c>
      <c r="N540" s="245">
        <v>40</v>
      </c>
      <c r="O540" s="243">
        <v>40</v>
      </c>
      <c r="P540" s="243"/>
      <c r="Q540" s="180" t="str">
        <f>IF(PEDIDOS[[#This Row],[Valor do item pago]]=PEDIDOS[[#This Row],[Total Item ]],"PAGO", "")</f>
        <v/>
      </c>
    </row>
    <row r="541" spans="1:17" s="216" customFormat="1" ht="39.950000000000003" customHeight="1" x14ac:dyDescent="0.25">
      <c r="A541" s="231"/>
      <c r="B541" s="240">
        <v>1247</v>
      </c>
      <c r="C541" s="241">
        <v>43868</v>
      </c>
      <c r="D541" s="242" t="s">
        <v>11</v>
      </c>
      <c r="E541" s="240" t="s">
        <v>1646</v>
      </c>
      <c r="F541" s="240" t="s">
        <v>1647</v>
      </c>
      <c r="G541" s="240">
        <v>0</v>
      </c>
      <c r="H541" s="240">
        <v>0</v>
      </c>
      <c r="I541" s="243"/>
      <c r="J541" s="243"/>
      <c r="K541" s="243" t="s">
        <v>11</v>
      </c>
      <c r="L541" s="240" t="s">
        <v>219</v>
      </c>
      <c r="M541" s="244">
        <v>1</v>
      </c>
      <c r="N541" s="245">
        <v>40</v>
      </c>
      <c r="O541" s="243">
        <v>40</v>
      </c>
      <c r="P541" s="243"/>
      <c r="Q541" s="180" t="str">
        <f>IF(PEDIDOS[[#This Row],[Valor do item pago]]=PEDIDOS[[#This Row],[Total Item ]],"PAGO", "")</f>
        <v/>
      </c>
    </row>
    <row r="542" spans="1:17" s="216" customFormat="1" ht="39.950000000000003" customHeight="1" x14ac:dyDescent="0.25">
      <c r="A542" s="231"/>
      <c r="B542" s="240">
        <v>1246</v>
      </c>
      <c r="C542" s="241">
        <v>43868</v>
      </c>
      <c r="D542" s="242" t="s">
        <v>11</v>
      </c>
      <c r="E542" s="240" t="s">
        <v>1648</v>
      </c>
      <c r="F542" s="240" t="s">
        <v>1649</v>
      </c>
      <c r="G542" s="240" t="s">
        <v>1650</v>
      </c>
      <c r="H542" s="240" t="s">
        <v>84</v>
      </c>
      <c r="I542" s="243" t="s">
        <v>1652</v>
      </c>
      <c r="J542" s="243"/>
      <c r="K542" s="243"/>
      <c r="L542" s="240" t="s">
        <v>219</v>
      </c>
      <c r="M542" s="244">
        <v>1</v>
      </c>
      <c r="N542" s="245">
        <v>40</v>
      </c>
      <c r="O542" s="243">
        <v>40</v>
      </c>
      <c r="P542" s="243"/>
      <c r="Q542" s="180" t="str">
        <f>IF(PEDIDOS[[#This Row],[Valor do item pago]]=PEDIDOS[[#This Row],[Total Item ]],"PAGO", "")</f>
        <v/>
      </c>
    </row>
    <row r="543" spans="1:17" s="216" customFormat="1" ht="39.950000000000003" customHeight="1" x14ac:dyDescent="0.25">
      <c r="A543" s="231"/>
      <c r="B543" s="240">
        <v>1245</v>
      </c>
      <c r="C543" s="241">
        <v>43868</v>
      </c>
      <c r="D543" s="242" t="s">
        <v>11</v>
      </c>
      <c r="E543" s="240" t="s">
        <v>1653</v>
      </c>
      <c r="F543" s="240" t="s">
        <v>1654</v>
      </c>
      <c r="G543" s="240" t="s">
        <v>1655</v>
      </c>
      <c r="H543" s="240" t="s">
        <v>84</v>
      </c>
      <c r="I543" s="243" t="s">
        <v>1656</v>
      </c>
      <c r="J543" s="243"/>
      <c r="K543" s="243"/>
      <c r="L543" s="240" t="s">
        <v>219</v>
      </c>
      <c r="M543" s="244">
        <v>1</v>
      </c>
      <c r="N543" s="245">
        <v>40</v>
      </c>
      <c r="O543" s="243">
        <v>40</v>
      </c>
      <c r="P543" s="243"/>
      <c r="Q543" s="180" t="str">
        <f>IF(PEDIDOS[[#This Row],[Valor do item pago]]=PEDIDOS[[#This Row],[Total Item ]],"PAGO", "")</f>
        <v/>
      </c>
    </row>
    <row r="544" spans="1:17" s="216" customFormat="1" ht="39.950000000000003" customHeight="1" x14ac:dyDescent="0.25">
      <c r="A544" s="231"/>
      <c r="B544" s="240">
        <v>1244</v>
      </c>
      <c r="C544" s="241">
        <v>43868</v>
      </c>
      <c r="D544" s="242" t="s">
        <v>11</v>
      </c>
      <c r="E544" s="240" t="s">
        <v>1657</v>
      </c>
      <c r="F544" s="240" t="s">
        <v>1658</v>
      </c>
      <c r="G544" s="240" t="s">
        <v>1659</v>
      </c>
      <c r="H544" s="240" t="s">
        <v>441</v>
      </c>
      <c r="I544" s="243" t="s">
        <v>884</v>
      </c>
      <c r="J544" s="243"/>
      <c r="K544" s="243" t="s">
        <v>11</v>
      </c>
      <c r="L544" s="240" t="s">
        <v>1</v>
      </c>
      <c r="M544" s="244">
        <v>1</v>
      </c>
      <c r="N544" s="245">
        <v>40</v>
      </c>
      <c r="O544" s="243">
        <v>40</v>
      </c>
      <c r="P544" s="243"/>
      <c r="Q544" s="180" t="str">
        <f>IF(PEDIDOS[[#This Row],[Valor do item pago]]=PEDIDOS[[#This Row],[Total Item ]],"PAGO", "")</f>
        <v/>
      </c>
    </row>
    <row r="545" spans="1:17" s="216" customFormat="1" ht="39.950000000000003" customHeight="1" x14ac:dyDescent="0.25">
      <c r="A545" s="231"/>
      <c r="B545" s="240">
        <v>1243</v>
      </c>
      <c r="C545" s="241">
        <v>43868</v>
      </c>
      <c r="D545" s="242" t="s">
        <v>11</v>
      </c>
      <c r="E545" s="240" t="s">
        <v>1660</v>
      </c>
      <c r="F545" s="240" t="s">
        <v>1661</v>
      </c>
      <c r="G545" s="240">
        <v>0</v>
      </c>
      <c r="H545" s="240">
        <v>0</v>
      </c>
      <c r="I545" s="243"/>
      <c r="J545" s="243"/>
      <c r="K545" s="243" t="s">
        <v>11</v>
      </c>
      <c r="L545" s="240" t="s">
        <v>219</v>
      </c>
      <c r="M545" s="244">
        <v>1</v>
      </c>
      <c r="N545" s="245">
        <v>40</v>
      </c>
      <c r="O545" s="243">
        <v>40</v>
      </c>
      <c r="P545" s="243"/>
      <c r="Q545" s="180" t="str">
        <f>IF(PEDIDOS[[#This Row],[Valor do item pago]]=PEDIDOS[[#This Row],[Total Item ]],"PAGO", "")</f>
        <v/>
      </c>
    </row>
    <row r="546" spans="1:17" s="216" customFormat="1" ht="39.950000000000003" customHeight="1" x14ac:dyDescent="0.25">
      <c r="A546" s="231"/>
      <c r="B546" s="240">
        <v>1242</v>
      </c>
      <c r="C546" s="241">
        <v>43868</v>
      </c>
      <c r="D546" s="242" t="s">
        <v>11</v>
      </c>
      <c r="E546" s="240" t="s">
        <v>1642</v>
      </c>
      <c r="F546" s="240">
        <v>0</v>
      </c>
      <c r="G546" s="240" t="s">
        <v>1643</v>
      </c>
      <c r="H546" s="240" t="s">
        <v>1202</v>
      </c>
      <c r="I546" s="243"/>
      <c r="J546" s="243"/>
      <c r="K546" s="243"/>
      <c r="L546" s="240" t="s">
        <v>1</v>
      </c>
      <c r="M546" s="244">
        <v>1</v>
      </c>
      <c r="N546" s="245">
        <v>40</v>
      </c>
      <c r="O546" s="243">
        <v>40</v>
      </c>
      <c r="P546" s="243"/>
      <c r="Q546" s="180" t="str">
        <f>IF(PEDIDOS[[#This Row],[Valor do item pago]]=PEDIDOS[[#This Row],[Total Item ]],"PAGO", "")</f>
        <v/>
      </c>
    </row>
    <row r="547" spans="1:17" s="216" customFormat="1" ht="39.950000000000003" customHeight="1" x14ac:dyDescent="0.25">
      <c r="A547" s="231"/>
      <c r="B547" s="240">
        <v>1241</v>
      </c>
      <c r="C547" s="241">
        <v>43868</v>
      </c>
      <c r="D547" s="242" t="s">
        <v>11</v>
      </c>
      <c r="E547" s="240" t="s">
        <v>1555</v>
      </c>
      <c r="F547" s="240" t="s">
        <v>1556</v>
      </c>
      <c r="G547" s="240" t="s">
        <v>1640</v>
      </c>
      <c r="H547" s="240" t="s">
        <v>461</v>
      </c>
      <c r="I547" s="243" t="s">
        <v>1641</v>
      </c>
      <c r="J547" s="243" t="s">
        <v>1095</v>
      </c>
      <c r="K547" s="243"/>
      <c r="L547" s="240" t="s">
        <v>219</v>
      </c>
      <c r="M547" s="244">
        <v>1</v>
      </c>
      <c r="N547" s="245">
        <v>40</v>
      </c>
      <c r="O547" s="243">
        <v>40</v>
      </c>
      <c r="P547" s="243"/>
      <c r="Q547" s="180" t="str">
        <f>IF(PEDIDOS[[#This Row],[Valor do item pago]]=PEDIDOS[[#This Row],[Total Item ]],"PAGO", "")</f>
        <v/>
      </c>
    </row>
    <row r="548" spans="1:17" s="216" customFormat="1" ht="39.950000000000003" customHeight="1" x14ac:dyDescent="0.25">
      <c r="A548" s="231"/>
      <c r="B548" s="240">
        <v>1240</v>
      </c>
      <c r="C548" s="241">
        <v>43867</v>
      </c>
      <c r="D548" s="242" t="s">
        <v>11</v>
      </c>
      <c r="E548" s="240" t="s">
        <v>1470</v>
      </c>
      <c r="F548" s="240" t="s">
        <v>1475</v>
      </c>
      <c r="G548" s="240" t="s">
        <v>1480</v>
      </c>
      <c r="H548" s="240" t="s">
        <v>441</v>
      </c>
      <c r="I548" s="243" t="s">
        <v>1487</v>
      </c>
      <c r="J548" s="243"/>
      <c r="K548" s="243" t="s">
        <v>11</v>
      </c>
      <c r="L548" s="240" t="s">
        <v>1</v>
      </c>
      <c r="M548" s="244">
        <v>1</v>
      </c>
      <c r="N548" s="245">
        <v>40</v>
      </c>
      <c r="O548" s="243">
        <v>40</v>
      </c>
      <c r="P548" s="243"/>
      <c r="Q548" s="180" t="str">
        <f>IF(PEDIDOS[[#This Row],[Valor do item pago]]=PEDIDOS[[#This Row],[Total Item ]],"PAGO", "")</f>
        <v/>
      </c>
    </row>
    <row r="549" spans="1:17" s="216" customFormat="1" ht="39.950000000000003" customHeight="1" x14ac:dyDescent="0.25">
      <c r="A549" s="231"/>
      <c r="B549" s="240">
        <v>1239</v>
      </c>
      <c r="C549" s="241">
        <v>43867</v>
      </c>
      <c r="D549" s="242" t="s">
        <v>11</v>
      </c>
      <c r="E549" s="240" t="s">
        <v>547</v>
      </c>
      <c r="F549" s="240" t="s">
        <v>521</v>
      </c>
      <c r="G549" s="240" t="s">
        <v>1317</v>
      </c>
      <c r="H549" s="240" t="s">
        <v>1205</v>
      </c>
      <c r="I549" s="243" t="s">
        <v>663</v>
      </c>
      <c r="J549" s="243"/>
      <c r="K549" s="243"/>
      <c r="L549" s="240" t="s">
        <v>3</v>
      </c>
      <c r="M549" s="244">
        <v>1</v>
      </c>
      <c r="N549" s="245">
        <v>40</v>
      </c>
      <c r="O549" s="243">
        <v>40</v>
      </c>
      <c r="P549" s="243"/>
      <c r="Q549" s="180" t="str">
        <f>IF(PEDIDOS[[#This Row],[Valor do item pago]]=PEDIDOS[[#This Row],[Total Item ]],"PAGO", "")</f>
        <v/>
      </c>
    </row>
    <row r="550" spans="1:17" s="216" customFormat="1" ht="39.950000000000003" customHeight="1" x14ac:dyDescent="0.25">
      <c r="A550" s="231"/>
      <c r="B550" s="240">
        <v>1238</v>
      </c>
      <c r="C550" s="241">
        <v>43867</v>
      </c>
      <c r="D550" s="242" t="s">
        <v>11</v>
      </c>
      <c r="E550" s="240" t="s">
        <v>1423</v>
      </c>
      <c r="F550" s="240" t="s">
        <v>1638</v>
      </c>
      <c r="G550" s="240" t="s">
        <v>1447</v>
      </c>
      <c r="H550" s="240" t="s">
        <v>461</v>
      </c>
      <c r="I550" s="243" t="s">
        <v>908</v>
      </c>
      <c r="J550" s="243"/>
      <c r="K550" s="243"/>
      <c r="L550" s="240" t="s">
        <v>3</v>
      </c>
      <c r="M550" s="244">
        <v>1</v>
      </c>
      <c r="N550" s="245">
        <v>40</v>
      </c>
      <c r="O550" s="243">
        <v>40</v>
      </c>
      <c r="P550" s="243"/>
      <c r="Q550" s="180" t="str">
        <f>IF(PEDIDOS[[#This Row],[Valor do item pago]]=PEDIDOS[[#This Row],[Total Item ]],"PAGO", "")</f>
        <v/>
      </c>
    </row>
    <row r="551" spans="1:17" s="216" customFormat="1" ht="39.950000000000003" customHeight="1" x14ac:dyDescent="0.25">
      <c r="A551" s="231"/>
      <c r="B551" s="240">
        <v>1237</v>
      </c>
      <c r="C551" s="241">
        <v>43867</v>
      </c>
      <c r="D551" s="242" t="s">
        <v>11</v>
      </c>
      <c r="E551" s="240" t="s">
        <v>513</v>
      </c>
      <c r="F551" s="240" t="s">
        <v>514</v>
      </c>
      <c r="G551" s="240" t="s">
        <v>1419</v>
      </c>
      <c r="H551" s="240" t="s">
        <v>1455</v>
      </c>
      <c r="I551" s="243" t="s">
        <v>661</v>
      </c>
      <c r="J551" s="243"/>
      <c r="K551" s="243"/>
      <c r="L551" s="240" t="s">
        <v>219</v>
      </c>
      <c r="M551" s="244">
        <v>1</v>
      </c>
      <c r="N551" s="245">
        <v>40</v>
      </c>
      <c r="O551" s="243">
        <v>40</v>
      </c>
      <c r="P551" s="243"/>
      <c r="Q551" s="180" t="str">
        <f>IF(PEDIDOS[[#This Row],[Valor do item pago]]=PEDIDOS[[#This Row],[Total Item ]],"PAGO", "")</f>
        <v/>
      </c>
    </row>
    <row r="552" spans="1:17" s="216" customFormat="1" ht="39.950000000000003" customHeight="1" x14ac:dyDescent="0.25">
      <c r="A552" s="231"/>
      <c r="B552" s="240">
        <v>1237</v>
      </c>
      <c r="C552" s="241">
        <v>43867</v>
      </c>
      <c r="D552" s="242" t="s">
        <v>11</v>
      </c>
      <c r="E552" s="240" t="s">
        <v>513</v>
      </c>
      <c r="F552" s="240" t="s">
        <v>514</v>
      </c>
      <c r="G552" s="240" t="s">
        <v>1419</v>
      </c>
      <c r="H552" s="240" t="s">
        <v>1455</v>
      </c>
      <c r="I552" s="243" t="s">
        <v>661</v>
      </c>
      <c r="J552" s="243"/>
      <c r="K552" s="243"/>
      <c r="L552" s="240" t="s">
        <v>1</v>
      </c>
      <c r="M552" s="244">
        <v>1</v>
      </c>
      <c r="N552" s="245">
        <v>40</v>
      </c>
      <c r="O552" s="243">
        <v>40</v>
      </c>
      <c r="P552" s="243"/>
      <c r="Q552" s="180" t="str">
        <f>IF(PEDIDOS[[#This Row],[Valor do item pago]]=PEDIDOS[[#This Row],[Total Item ]],"PAGO", "")</f>
        <v/>
      </c>
    </row>
    <row r="553" spans="1:17" s="216" customFormat="1" ht="39.950000000000003" customHeight="1" x14ac:dyDescent="0.25">
      <c r="A553" s="231"/>
      <c r="B553" s="240">
        <v>1236</v>
      </c>
      <c r="C553" s="241">
        <v>43867</v>
      </c>
      <c r="D553" s="242" t="s">
        <v>11</v>
      </c>
      <c r="E553" s="240" t="s">
        <v>367</v>
      </c>
      <c r="F553" s="240" t="s">
        <v>1237</v>
      </c>
      <c r="G553" s="240" t="s">
        <v>1418</v>
      </c>
      <c r="H553" s="240" t="s">
        <v>392</v>
      </c>
      <c r="I553" s="243" t="s">
        <v>656</v>
      </c>
      <c r="J553" s="243"/>
      <c r="K553" s="243"/>
      <c r="L553" s="240" t="s">
        <v>0</v>
      </c>
      <c r="M553" s="244">
        <v>1</v>
      </c>
      <c r="N553" s="245">
        <v>40</v>
      </c>
      <c r="O553" s="243">
        <v>40</v>
      </c>
      <c r="P553" s="243"/>
      <c r="Q553" s="180" t="str">
        <f>IF(PEDIDOS[[#This Row],[Valor do item pago]]=PEDIDOS[[#This Row],[Total Item ]],"PAGO", "")</f>
        <v/>
      </c>
    </row>
    <row r="554" spans="1:17" s="216" customFormat="1" ht="39.950000000000003" customHeight="1" x14ac:dyDescent="0.25">
      <c r="A554" s="231"/>
      <c r="B554" s="240">
        <v>1235</v>
      </c>
      <c r="C554" s="241">
        <v>43867</v>
      </c>
      <c r="D554" s="242" t="s">
        <v>11</v>
      </c>
      <c r="E554" s="240" t="s">
        <v>11</v>
      </c>
      <c r="F554" s="240" t="s">
        <v>882</v>
      </c>
      <c r="G554" s="240" t="s">
        <v>1382</v>
      </c>
      <c r="H554" s="240" t="s">
        <v>441</v>
      </c>
      <c r="I554" s="243" t="s">
        <v>884</v>
      </c>
      <c r="J554" s="243" t="s">
        <v>1637</v>
      </c>
      <c r="K554" s="243" t="s">
        <v>11</v>
      </c>
      <c r="L554" s="240" t="s">
        <v>235</v>
      </c>
      <c r="M554" s="244">
        <v>1</v>
      </c>
      <c r="N554" s="245">
        <v>40</v>
      </c>
      <c r="O554" s="243">
        <v>40</v>
      </c>
      <c r="P554" s="243"/>
      <c r="Q554" s="180" t="str">
        <f>IF(PEDIDOS[[#This Row],[Valor do item pago]]=PEDIDOS[[#This Row],[Total Item ]],"PAGO", "")</f>
        <v/>
      </c>
    </row>
    <row r="555" spans="1:17" s="216" customFormat="1" ht="39.950000000000003" customHeight="1" x14ac:dyDescent="0.25">
      <c r="A555" s="231"/>
      <c r="B555" s="240">
        <v>1235</v>
      </c>
      <c r="C555" s="241">
        <v>43867</v>
      </c>
      <c r="D555" s="242" t="s">
        <v>11</v>
      </c>
      <c r="E555" s="240" t="s">
        <v>11</v>
      </c>
      <c r="F555" s="240" t="s">
        <v>882</v>
      </c>
      <c r="G555" s="240" t="s">
        <v>1382</v>
      </c>
      <c r="H555" s="240" t="s">
        <v>441</v>
      </c>
      <c r="I555" s="243" t="s">
        <v>884</v>
      </c>
      <c r="J555" s="243" t="s">
        <v>1637</v>
      </c>
      <c r="K555" s="243" t="s">
        <v>11</v>
      </c>
      <c r="L555" s="240" t="s">
        <v>3</v>
      </c>
      <c r="M555" s="244">
        <v>1</v>
      </c>
      <c r="N555" s="245">
        <v>40</v>
      </c>
      <c r="O555" s="243">
        <v>40</v>
      </c>
      <c r="P555" s="243"/>
      <c r="Q555" s="180" t="str">
        <f>IF(PEDIDOS[[#This Row],[Valor do item pago]]=PEDIDOS[[#This Row],[Total Item ]],"PAGO", "")</f>
        <v/>
      </c>
    </row>
    <row r="556" spans="1:17" s="216" customFormat="1" ht="39.950000000000003" customHeight="1" x14ac:dyDescent="0.25">
      <c r="A556" s="231"/>
      <c r="B556" s="240">
        <v>1234</v>
      </c>
      <c r="C556" s="241">
        <v>43867</v>
      </c>
      <c r="D556" s="242" t="s">
        <v>11</v>
      </c>
      <c r="E556" s="240" t="s">
        <v>1278</v>
      </c>
      <c r="F556" s="240" t="s">
        <v>882</v>
      </c>
      <c r="G556" s="240" t="s">
        <v>1382</v>
      </c>
      <c r="H556" s="240" t="s">
        <v>441</v>
      </c>
      <c r="I556" s="243" t="s">
        <v>884</v>
      </c>
      <c r="J556" s="243"/>
      <c r="K556" s="243" t="s">
        <v>11</v>
      </c>
      <c r="L556" s="240" t="s">
        <v>0</v>
      </c>
      <c r="M556" s="244">
        <v>1</v>
      </c>
      <c r="N556" s="245">
        <v>40</v>
      </c>
      <c r="O556" s="243">
        <v>40</v>
      </c>
      <c r="P556" s="243"/>
      <c r="Q556" s="180" t="str">
        <f>IF(PEDIDOS[[#This Row],[Valor do item pago]]=PEDIDOS[[#This Row],[Total Item ]],"PAGO", "")</f>
        <v/>
      </c>
    </row>
    <row r="557" spans="1:17" s="216" customFormat="1" ht="39.950000000000003" customHeight="1" x14ac:dyDescent="0.25">
      <c r="A557" s="231"/>
      <c r="B557" s="240">
        <v>1233</v>
      </c>
      <c r="C557" s="241">
        <v>43867</v>
      </c>
      <c r="D557" s="242" t="s">
        <v>11</v>
      </c>
      <c r="E557" s="240" t="s">
        <v>1262</v>
      </c>
      <c r="F557" s="240">
        <v>0</v>
      </c>
      <c r="G557" s="240">
        <v>0</v>
      </c>
      <c r="H557" s="240">
        <v>0</v>
      </c>
      <c r="I557" s="243"/>
      <c r="J557" s="243"/>
      <c r="K557" s="243" t="s">
        <v>40</v>
      </c>
      <c r="L557" s="240" t="s">
        <v>1</v>
      </c>
      <c r="M557" s="244">
        <v>1</v>
      </c>
      <c r="N557" s="245">
        <v>40</v>
      </c>
      <c r="O557" s="243">
        <v>40</v>
      </c>
      <c r="P557" s="243">
        <v>40</v>
      </c>
      <c r="Q557" s="180" t="str">
        <f>IF(PEDIDOS[[#This Row],[Valor do item pago]]=PEDIDOS[[#This Row],[Total Item ]],"PAGO", "")</f>
        <v>PAGO</v>
      </c>
    </row>
    <row r="558" spans="1:17" s="216" customFormat="1" ht="39.950000000000003" customHeight="1" x14ac:dyDescent="0.25">
      <c r="A558" s="231"/>
      <c r="B558" s="240">
        <v>1232</v>
      </c>
      <c r="C558" s="241">
        <v>43867</v>
      </c>
      <c r="D558" s="242" t="s">
        <v>11</v>
      </c>
      <c r="E558" s="240" t="s">
        <v>1272</v>
      </c>
      <c r="F558" s="240" t="s">
        <v>1227</v>
      </c>
      <c r="G558" s="240" t="s">
        <v>1273</v>
      </c>
      <c r="H558" s="240" t="s">
        <v>1196</v>
      </c>
      <c r="I558" s="243" t="s">
        <v>652</v>
      </c>
      <c r="J558" s="243"/>
      <c r="K558" s="243"/>
      <c r="L558" s="240" t="s">
        <v>1</v>
      </c>
      <c r="M558" s="244">
        <v>1</v>
      </c>
      <c r="N558" s="245">
        <v>40</v>
      </c>
      <c r="O558" s="243">
        <v>40</v>
      </c>
      <c r="P558" s="243">
        <v>40</v>
      </c>
      <c r="Q558" s="180" t="str">
        <f>IF(PEDIDOS[[#This Row],[Valor do item pago]]=PEDIDOS[[#This Row],[Total Item ]],"PAGO", "")</f>
        <v>PAGO</v>
      </c>
    </row>
    <row r="559" spans="1:17" s="216" customFormat="1" ht="39.950000000000003" customHeight="1" x14ac:dyDescent="0.25">
      <c r="A559" s="231"/>
      <c r="B559" s="240">
        <v>1231</v>
      </c>
      <c r="C559" s="241">
        <v>43867</v>
      </c>
      <c r="D559" s="242" t="s">
        <v>11</v>
      </c>
      <c r="E559" s="240" t="s">
        <v>1339</v>
      </c>
      <c r="F559" s="240" t="s">
        <v>828</v>
      </c>
      <c r="G559" s="240" t="s">
        <v>1406</v>
      </c>
      <c r="H559" s="240" t="s">
        <v>651</v>
      </c>
      <c r="I559" s="243" t="s">
        <v>831</v>
      </c>
      <c r="J559" s="243"/>
      <c r="K559" s="243"/>
      <c r="L559" s="240" t="s">
        <v>219</v>
      </c>
      <c r="M559" s="244">
        <v>1</v>
      </c>
      <c r="N559" s="245">
        <v>40</v>
      </c>
      <c r="O559" s="243">
        <v>40</v>
      </c>
      <c r="P559" s="243"/>
      <c r="Q559" s="180" t="str">
        <f>IF(PEDIDOS[[#This Row],[Valor do item pago]]=PEDIDOS[[#This Row],[Total Item ]],"PAGO", "")</f>
        <v/>
      </c>
    </row>
    <row r="560" spans="1:17" s="216" customFormat="1" ht="39.950000000000003" customHeight="1" x14ac:dyDescent="0.25">
      <c r="A560" s="231"/>
      <c r="B560" s="240">
        <v>1230</v>
      </c>
      <c r="C560" s="241">
        <v>43867</v>
      </c>
      <c r="D560" s="242" t="s">
        <v>11</v>
      </c>
      <c r="E560" s="240" t="s">
        <v>987</v>
      </c>
      <c r="F560" s="240" t="s">
        <v>1636</v>
      </c>
      <c r="G560" s="240" t="s">
        <v>1405</v>
      </c>
      <c r="H560" s="240" t="s">
        <v>398</v>
      </c>
      <c r="I560" s="243" t="s">
        <v>990</v>
      </c>
      <c r="J560" s="243" t="s">
        <v>1635</v>
      </c>
      <c r="K560" s="243"/>
      <c r="L560" s="240" t="s">
        <v>219</v>
      </c>
      <c r="M560" s="244">
        <v>1</v>
      </c>
      <c r="N560" s="245">
        <v>40</v>
      </c>
      <c r="O560" s="243">
        <v>40</v>
      </c>
      <c r="P560" s="243"/>
      <c r="Q560" s="180" t="str">
        <f>IF(PEDIDOS[[#This Row],[Valor do item pago]]=PEDIDOS[[#This Row],[Total Item ]],"PAGO", "")</f>
        <v/>
      </c>
    </row>
    <row r="561" spans="1:17" s="216" customFormat="1" ht="39.950000000000003" customHeight="1" x14ac:dyDescent="0.25">
      <c r="A561" s="231"/>
      <c r="B561" s="240">
        <v>1230</v>
      </c>
      <c r="C561" s="241">
        <v>43867</v>
      </c>
      <c r="D561" s="242" t="s">
        <v>11</v>
      </c>
      <c r="E561" s="240" t="s">
        <v>987</v>
      </c>
      <c r="F561" s="240" t="s">
        <v>1636</v>
      </c>
      <c r="G561" s="240" t="s">
        <v>1405</v>
      </c>
      <c r="H561" s="240" t="s">
        <v>398</v>
      </c>
      <c r="I561" s="243" t="s">
        <v>990</v>
      </c>
      <c r="J561" s="243" t="s">
        <v>1635</v>
      </c>
      <c r="K561" s="243"/>
      <c r="L561" s="240" t="s">
        <v>1</v>
      </c>
      <c r="M561" s="244">
        <v>1</v>
      </c>
      <c r="N561" s="245">
        <v>40</v>
      </c>
      <c r="O561" s="243">
        <v>40</v>
      </c>
      <c r="P561" s="243"/>
      <c r="Q561" s="180" t="str">
        <f>IF(PEDIDOS[[#This Row],[Valor do item pago]]=PEDIDOS[[#This Row],[Total Item ]],"PAGO", "")</f>
        <v/>
      </c>
    </row>
    <row r="562" spans="1:17" s="216" customFormat="1" ht="39.950000000000003" customHeight="1" x14ac:dyDescent="0.25">
      <c r="A562" s="231"/>
      <c r="B562" s="240">
        <v>1229</v>
      </c>
      <c r="C562" s="241">
        <v>43867</v>
      </c>
      <c r="D562" s="242" t="s">
        <v>11</v>
      </c>
      <c r="E562" s="240" t="s">
        <v>343</v>
      </c>
      <c r="F562" s="240" t="s">
        <v>826</v>
      </c>
      <c r="G562" s="240" t="s">
        <v>1404</v>
      </c>
      <c r="H562" s="240" t="s">
        <v>441</v>
      </c>
      <c r="I562" s="243" t="s">
        <v>874</v>
      </c>
      <c r="J562" s="243"/>
      <c r="K562" s="243" t="s">
        <v>11</v>
      </c>
      <c r="L562" s="240" t="s">
        <v>3</v>
      </c>
      <c r="M562" s="244">
        <v>1</v>
      </c>
      <c r="N562" s="245">
        <v>40</v>
      </c>
      <c r="O562" s="243">
        <v>40</v>
      </c>
      <c r="P562" s="243"/>
      <c r="Q562" s="180" t="str">
        <f>IF(PEDIDOS[[#This Row],[Valor do item pago]]=PEDIDOS[[#This Row],[Total Item ]],"PAGO", "")</f>
        <v/>
      </c>
    </row>
    <row r="563" spans="1:17" s="216" customFormat="1" ht="39.950000000000003" customHeight="1" x14ac:dyDescent="0.25">
      <c r="A563" s="231"/>
      <c r="B563" s="240">
        <v>1228</v>
      </c>
      <c r="C563" s="241">
        <v>43867</v>
      </c>
      <c r="D563" s="242" t="s">
        <v>11</v>
      </c>
      <c r="E563" s="240" t="s">
        <v>1199</v>
      </c>
      <c r="F563" s="240" t="s">
        <v>969</v>
      </c>
      <c r="G563" s="240" t="s">
        <v>1361</v>
      </c>
      <c r="H563" s="240" t="s">
        <v>52</v>
      </c>
      <c r="I563" s="243" t="s">
        <v>971</v>
      </c>
      <c r="J563" s="243" t="s">
        <v>1634</v>
      </c>
      <c r="K563" s="243"/>
      <c r="L563" s="240" t="s">
        <v>219</v>
      </c>
      <c r="M563" s="244">
        <v>1</v>
      </c>
      <c r="N563" s="245">
        <v>40</v>
      </c>
      <c r="O563" s="243">
        <v>40</v>
      </c>
      <c r="P563" s="243">
        <v>40</v>
      </c>
      <c r="Q563" s="180" t="str">
        <f>IF(PEDIDOS[[#This Row],[Valor do item pago]]=PEDIDOS[[#This Row],[Total Item ]],"PAGO", "")</f>
        <v>PAGO</v>
      </c>
    </row>
    <row r="564" spans="1:17" s="216" customFormat="1" ht="39.950000000000003" customHeight="1" x14ac:dyDescent="0.25">
      <c r="A564" s="231"/>
      <c r="B564" s="240">
        <v>1227</v>
      </c>
      <c r="C564" s="241">
        <v>43867</v>
      </c>
      <c r="D564" s="242" t="s">
        <v>11</v>
      </c>
      <c r="E564" s="240" t="s">
        <v>338</v>
      </c>
      <c r="F564" s="240" t="s">
        <v>1208</v>
      </c>
      <c r="G564" s="240" t="s">
        <v>1400</v>
      </c>
      <c r="H564" s="240" t="s">
        <v>1254</v>
      </c>
      <c r="I564" s="243" t="s">
        <v>654</v>
      </c>
      <c r="J564" s="243"/>
      <c r="K564" s="243"/>
      <c r="L564" s="240" t="s">
        <v>1</v>
      </c>
      <c r="M564" s="244">
        <v>1</v>
      </c>
      <c r="N564" s="245">
        <v>40</v>
      </c>
      <c r="O564" s="243">
        <v>40</v>
      </c>
      <c r="P564" s="243"/>
      <c r="Q564" s="180" t="str">
        <f>IF(PEDIDOS[[#This Row],[Valor do item pago]]=PEDIDOS[[#This Row],[Total Item ]],"PAGO", "")</f>
        <v/>
      </c>
    </row>
    <row r="565" spans="1:17" s="216" customFormat="1" ht="39.950000000000003" customHeight="1" x14ac:dyDescent="0.25">
      <c r="A565" s="231"/>
      <c r="B565" s="240">
        <v>1226</v>
      </c>
      <c r="C565" s="241">
        <v>43867</v>
      </c>
      <c r="D565" s="242" t="s">
        <v>1025</v>
      </c>
      <c r="E565" s="240" t="s">
        <v>1623</v>
      </c>
      <c r="F565" s="240" t="s">
        <v>1597</v>
      </c>
      <c r="G565" s="240" t="s">
        <v>1631</v>
      </c>
      <c r="H565" s="240" t="s">
        <v>581</v>
      </c>
      <c r="I565" s="243" t="s">
        <v>1599</v>
      </c>
      <c r="J565" s="243"/>
      <c r="K565" s="243"/>
      <c r="L565" s="240" t="s">
        <v>1</v>
      </c>
      <c r="M565" s="244">
        <v>1</v>
      </c>
      <c r="N565" s="245">
        <v>40</v>
      </c>
      <c r="O565" s="243">
        <v>40</v>
      </c>
      <c r="P565" s="243"/>
      <c r="Q565" s="180" t="str">
        <f>IF(PEDIDOS[[#This Row],[Valor do item pago]]=PEDIDOS[[#This Row],[Total Item ]],"PAGO", "")</f>
        <v/>
      </c>
    </row>
    <row r="566" spans="1:17" s="216" customFormat="1" ht="39.950000000000003" customHeight="1" x14ac:dyDescent="0.25">
      <c r="A566" s="231"/>
      <c r="B566" s="240">
        <v>1225</v>
      </c>
      <c r="C566" s="241">
        <v>43867</v>
      </c>
      <c r="D566" s="242" t="s">
        <v>1025</v>
      </c>
      <c r="E566" s="240" t="s">
        <v>1622</v>
      </c>
      <c r="F566" s="240" t="s">
        <v>1617</v>
      </c>
      <c r="G566" s="240" t="s">
        <v>1632</v>
      </c>
      <c r="H566" s="240" t="s">
        <v>115</v>
      </c>
      <c r="I566" s="243" t="s">
        <v>445</v>
      </c>
      <c r="J566" s="243" t="s">
        <v>1633</v>
      </c>
      <c r="K566" s="243"/>
      <c r="L566" s="240" t="s">
        <v>1</v>
      </c>
      <c r="M566" s="244">
        <v>1</v>
      </c>
      <c r="N566" s="245">
        <v>40</v>
      </c>
      <c r="O566" s="243">
        <v>40</v>
      </c>
      <c r="P566" s="243"/>
      <c r="Q566" s="180" t="str">
        <f>IF(PEDIDOS[[#This Row],[Valor do item pago]]=PEDIDOS[[#This Row],[Total Item ]],"PAGO", "")</f>
        <v/>
      </c>
    </row>
    <row r="567" spans="1:17" s="216" customFormat="1" ht="39.950000000000003" customHeight="1" x14ac:dyDescent="0.25">
      <c r="A567" s="231"/>
      <c r="B567" s="240">
        <v>1224</v>
      </c>
      <c r="C567" s="241">
        <v>43867</v>
      </c>
      <c r="D567" s="242" t="s">
        <v>1025</v>
      </c>
      <c r="E567" s="240" t="s">
        <v>1621</v>
      </c>
      <c r="F567" s="240" t="s">
        <v>1616</v>
      </c>
      <c r="G567" s="240" t="s">
        <v>1630</v>
      </c>
      <c r="H567" s="240" t="s">
        <v>570</v>
      </c>
      <c r="I567" s="243" t="s">
        <v>1629</v>
      </c>
      <c r="J567" s="243"/>
      <c r="K567" s="243"/>
      <c r="L567" s="240" t="s">
        <v>0</v>
      </c>
      <c r="M567" s="244">
        <v>1</v>
      </c>
      <c r="N567" s="245">
        <v>40</v>
      </c>
      <c r="O567" s="243">
        <v>40</v>
      </c>
      <c r="P567" s="243"/>
      <c r="Q567" s="180" t="str">
        <f>IF(PEDIDOS[[#This Row],[Valor do item pago]]=PEDIDOS[[#This Row],[Total Item ]],"PAGO", "")</f>
        <v/>
      </c>
    </row>
    <row r="568" spans="1:17" s="216" customFormat="1" ht="39.950000000000003" customHeight="1" x14ac:dyDescent="0.25">
      <c r="A568" s="231"/>
      <c r="B568" s="240">
        <v>1223</v>
      </c>
      <c r="C568" s="241">
        <v>43867</v>
      </c>
      <c r="D568" s="242" t="s">
        <v>1025</v>
      </c>
      <c r="E568" s="240" t="s">
        <v>1620</v>
      </c>
      <c r="F568" s="240" t="s">
        <v>1615</v>
      </c>
      <c r="G568" s="240" t="s">
        <v>1628</v>
      </c>
      <c r="H568" s="240" t="s">
        <v>1378</v>
      </c>
      <c r="I568" s="243" t="s">
        <v>1627</v>
      </c>
      <c r="J568" s="243"/>
      <c r="K568" s="243"/>
      <c r="L568" s="240" t="s">
        <v>1</v>
      </c>
      <c r="M568" s="244">
        <v>1</v>
      </c>
      <c r="N568" s="245">
        <v>40</v>
      </c>
      <c r="O568" s="243">
        <v>40</v>
      </c>
      <c r="P568" s="243"/>
      <c r="Q568" s="180" t="str">
        <f>IF(PEDIDOS[[#This Row],[Valor do item pago]]=PEDIDOS[[#This Row],[Total Item ]],"PAGO", "")</f>
        <v/>
      </c>
    </row>
    <row r="569" spans="1:17" s="216" customFormat="1" ht="39.950000000000003" customHeight="1" x14ac:dyDescent="0.25">
      <c r="A569" s="231"/>
      <c r="B569" s="240">
        <v>1222</v>
      </c>
      <c r="C569" s="241">
        <v>43867</v>
      </c>
      <c r="D569" s="242" t="s">
        <v>1025</v>
      </c>
      <c r="E569" s="240" t="s">
        <v>1619</v>
      </c>
      <c r="F569" s="240" t="s">
        <v>1613</v>
      </c>
      <c r="G569" s="240" t="s">
        <v>1626</v>
      </c>
      <c r="H569" s="240" t="s">
        <v>1202</v>
      </c>
      <c r="I569" s="243" t="s">
        <v>1625</v>
      </c>
      <c r="J569" s="243"/>
      <c r="K569" s="243" t="s">
        <v>1025</v>
      </c>
      <c r="L569" s="240" t="s">
        <v>219</v>
      </c>
      <c r="M569" s="244">
        <v>1</v>
      </c>
      <c r="N569" s="245">
        <v>40</v>
      </c>
      <c r="O569" s="243">
        <v>40</v>
      </c>
      <c r="P569" s="243"/>
      <c r="Q569" s="180" t="str">
        <f>IF(PEDIDOS[[#This Row],[Valor do item pago]]=PEDIDOS[[#This Row],[Total Item ]],"PAGO", "")</f>
        <v/>
      </c>
    </row>
    <row r="570" spans="1:17" s="216" customFormat="1" ht="39.950000000000003" customHeight="1" x14ac:dyDescent="0.25">
      <c r="A570" s="231"/>
      <c r="B570" s="240">
        <v>1221</v>
      </c>
      <c r="C570" s="241">
        <v>43867</v>
      </c>
      <c r="D570" s="242" t="s">
        <v>1025</v>
      </c>
      <c r="E570" s="240" t="s">
        <v>1618</v>
      </c>
      <c r="F570" s="240" t="s">
        <v>1614</v>
      </c>
      <c r="G570" s="240" t="s">
        <v>1624</v>
      </c>
      <c r="H570" s="240" t="s">
        <v>125</v>
      </c>
      <c r="I570" s="243" t="s">
        <v>1458</v>
      </c>
      <c r="J570" s="243"/>
      <c r="K570" s="243"/>
      <c r="L570" s="240" t="s">
        <v>219</v>
      </c>
      <c r="M570" s="244">
        <v>2</v>
      </c>
      <c r="N570" s="245">
        <v>40</v>
      </c>
      <c r="O570" s="243">
        <v>80</v>
      </c>
      <c r="P570" s="243"/>
      <c r="Q570" s="180" t="str">
        <f>IF(PEDIDOS[[#This Row],[Valor do item pago]]=PEDIDOS[[#This Row],[Total Item ]],"PAGO", "")</f>
        <v/>
      </c>
    </row>
    <row r="571" spans="1:17" s="216" customFormat="1" ht="39.950000000000003" customHeight="1" x14ac:dyDescent="0.25">
      <c r="A571" s="231"/>
      <c r="B571" s="240">
        <v>1221</v>
      </c>
      <c r="C571" s="241">
        <v>43867</v>
      </c>
      <c r="D571" s="242" t="s">
        <v>1025</v>
      </c>
      <c r="E571" s="240" t="s">
        <v>1618</v>
      </c>
      <c r="F571" s="240" t="s">
        <v>1614</v>
      </c>
      <c r="G571" s="240" t="s">
        <v>1624</v>
      </c>
      <c r="H571" s="240" t="s">
        <v>125</v>
      </c>
      <c r="I571" s="243" t="s">
        <v>1458</v>
      </c>
      <c r="J571" s="243"/>
      <c r="K571" s="243"/>
      <c r="L571" s="240" t="s">
        <v>1</v>
      </c>
      <c r="M571" s="244">
        <v>1</v>
      </c>
      <c r="N571" s="245">
        <v>40</v>
      </c>
      <c r="O571" s="243">
        <v>40</v>
      </c>
      <c r="P571" s="243"/>
      <c r="Q571" s="180" t="str">
        <f>IF(PEDIDOS[[#This Row],[Valor do item pago]]=PEDIDOS[[#This Row],[Total Item ]],"PAGO", "")</f>
        <v/>
      </c>
    </row>
    <row r="572" spans="1:17" s="216" customFormat="1" ht="39.950000000000003" customHeight="1" x14ac:dyDescent="0.25">
      <c r="A572" s="231"/>
      <c r="B572" s="240">
        <v>1221</v>
      </c>
      <c r="C572" s="241">
        <v>43867</v>
      </c>
      <c r="D572" s="242" t="s">
        <v>1025</v>
      </c>
      <c r="E572" s="240" t="s">
        <v>1618</v>
      </c>
      <c r="F572" s="240" t="s">
        <v>1614</v>
      </c>
      <c r="G572" s="240" t="s">
        <v>1624</v>
      </c>
      <c r="H572" s="240" t="s">
        <v>125</v>
      </c>
      <c r="I572" s="243" t="s">
        <v>1458</v>
      </c>
      <c r="J572" s="243"/>
      <c r="K572" s="243"/>
      <c r="L572" s="240" t="s">
        <v>0</v>
      </c>
      <c r="M572" s="244">
        <v>1</v>
      </c>
      <c r="N572" s="245">
        <v>40</v>
      </c>
      <c r="O572" s="243">
        <v>40</v>
      </c>
      <c r="P572" s="243"/>
      <c r="Q572" s="180" t="str">
        <f>IF(PEDIDOS[[#This Row],[Valor do item pago]]=PEDIDOS[[#This Row],[Total Item ]],"PAGO", "")</f>
        <v/>
      </c>
    </row>
    <row r="573" spans="1:17" s="216" customFormat="1" ht="39.950000000000003" customHeight="1" x14ac:dyDescent="0.25">
      <c r="A573" s="231"/>
      <c r="B573" s="240">
        <v>1220</v>
      </c>
      <c r="C573" s="241">
        <v>43867</v>
      </c>
      <c r="D573" s="242" t="s">
        <v>1025</v>
      </c>
      <c r="E573" s="240" t="s">
        <v>1294</v>
      </c>
      <c r="F573" s="240">
        <v>0</v>
      </c>
      <c r="G573" s="240">
        <v>0</v>
      </c>
      <c r="H573" s="240" t="s">
        <v>1266</v>
      </c>
      <c r="I573" s="243"/>
      <c r="J573" s="243"/>
      <c r="K573" s="243" t="s">
        <v>1025</v>
      </c>
      <c r="L573" s="240" t="s">
        <v>219</v>
      </c>
      <c r="M573" s="244">
        <v>1</v>
      </c>
      <c r="N573" s="245">
        <v>40</v>
      </c>
      <c r="O573" s="243">
        <v>40</v>
      </c>
      <c r="P573" s="243"/>
      <c r="Q573" s="180" t="str">
        <f>IF(PEDIDOS[[#This Row],[Valor do item pago]]=PEDIDOS[[#This Row],[Total Item ]],"PAGO", "")</f>
        <v/>
      </c>
    </row>
    <row r="574" spans="1:17" s="216" customFormat="1" ht="39.950000000000003" customHeight="1" x14ac:dyDescent="0.25">
      <c r="A574" s="231"/>
      <c r="B574" s="240">
        <v>1219</v>
      </c>
      <c r="C574" s="241">
        <v>43867</v>
      </c>
      <c r="D574" s="242" t="s">
        <v>1025</v>
      </c>
      <c r="E574" s="240" t="s">
        <v>374</v>
      </c>
      <c r="F574" s="240" t="s">
        <v>1246</v>
      </c>
      <c r="G574" s="240" t="s">
        <v>1422</v>
      </c>
      <c r="H574" s="240" t="s">
        <v>402</v>
      </c>
      <c r="I574" s="243" t="s">
        <v>658</v>
      </c>
      <c r="J574" s="243"/>
      <c r="K574" s="243"/>
      <c r="L574" s="240" t="s">
        <v>1</v>
      </c>
      <c r="M574" s="244">
        <v>1</v>
      </c>
      <c r="N574" s="245">
        <v>40</v>
      </c>
      <c r="O574" s="243">
        <v>40</v>
      </c>
      <c r="P574" s="243"/>
      <c r="Q574" s="180" t="str">
        <f>IF(PEDIDOS[[#This Row],[Valor do item pago]]=PEDIDOS[[#This Row],[Total Item ]],"PAGO", "")</f>
        <v/>
      </c>
    </row>
    <row r="575" spans="1:17" s="216" customFormat="1" ht="39.950000000000003" customHeight="1" x14ac:dyDescent="0.25">
      <c r="A575" s="231"/>
      <c r="B575" s="240">
        <v>1219</v>
      </c>
      <c r="C575" s="241">
        <v>43867</v>
      </c>
      <c r="D575" s="242" t="s">
        <v>1025</v>
      </c>
      <c r="E575" s="240" t="s">
        <v>374</v>
      </c>
      <c r="F575" s="240" t="s">
        <v>1246</v>
      </c>
      <c r="G575" s="240" t="s">
        <v>1422</v>
      </c>
      <c r="H575" s="240" t="s">
        <v>402</v>
      </c>
      <c r="I575" s="243" t="s">
        <v>658</v>
      </c>
      <c r="J575" s="243"/>
      <c r="K575" s="243"/>
      <c r="L575" s="240" t="s">
        <v>0</v>
      </c>
      <c r="M575" s="244">
        <v>1</v>
      </c>
      <c r="N575" s="245">
        <v>40</v>
      </c>
      <c r="O575" s="243">
        <v>40</v>
      </c>
      <c r="P575" s="243"/>
      <c r="Q575" s="180" t="str">
        <f>IF(PEDIDOS[[#This Row],[Valor do item pago]]=PEDIDOS[[#This Row],[Total Item ]],"PAGO", "")</f>
        <v/>
      </c>
    </row>
    <row r="576" spans="1:17" s="216" customFormat="1" ht="39.950000000000003" customHeight="1" x14ac:dyDescent="0.25">
      <c r="A576" s="231"/>
      <c r="B576" s="240">
        <v>1218</v>
      </c>
      <c r="C576" s="241">
        <v>43867</v>
      </c>
      <c r="D576" s="242" t="s">
        <v>1025</v>
      </c>
      <c r="E576" s="240" t="s">
        <v>25</v>
      </c>
      <c r="F576" s="240" t="s">
        <v>1222</v>
      </c>
      <c r="G576" s="240" t="s">
        <v>1411</v>
      </c>
      <c r="H576" s="240" t="s">
        <v>406</v>
      </c>
      <c r="I576" s="243" t="s">
        <v>329</v>
      </c>
      <c r="J576" s="243" t="s">
        <v>741</v>
      </c>
      <c r="K576" s="243"/>
      <c r="L576" s="240" t="s">
        <v>219</v>
      </c>
      <c r="M576" s="244">
        <v>1</v>
      </c>
      <c r="N576" s="245">
        <v>40</v>
      </c>
      <c r="O576" s="243">
        <v>40</v>
      </c>
      <c r="P576" s="243"/>
      <c r="Q576" s="180" t="str">
        <f>IF(PEDIDOS[[#This Row],[Valor do item pago]]=PEDIDOS[[#This Row],[Total Item ]],"PAGO", "")</f>
        <v/>
      </c>
    </row>
    <row r="577" spans="1:17" s="216" customFormat="1" ht="39.950000000000003" customHeight="1" x14ac:dyDescent="0.25">
      <c r="A577" s="231"/>
      <c r="B577" s="240">
        <v>1217</v>
      </c>
      <c r="C577" s="241">
        <v>43867</v>
      </c>
      <c r="D577" s="242" t="s">
        <v>732</v>
      </c>
      <c r="E577" s="240" t="s">
        <v>732</v>
      </c>
      <c r="F577" s="240" t="s">
        <v>733</v>
      </c>
      <c r="G577" s="240">
        <v>0</v>
      </c>
      <c r="H577" s="240" t="s">
        <v>40</v>
      </c>
      <c r="I577" s="243"/>
      <c r="J577" s="243"/>
      <c r="K577" s="243"/>
      <c r="L577" s="240" t="s">
        <v>219</v>
      </c>
      <c r="M577" s="244">
        <v>1</v>
      </c>
      <c r="N577" s="245">
        <v>40</v>
      </c>
      <c r="O577" s="243">
        <v>40</v>
      </c>
      <c r="P577" s="243"/>
      <c r="Q577" s="180" t="str">
        <f>IF(PEDIDOS[[#This Row],[Valor do item pago]]=PEDIDOS[[#This Row],[Total Item ]],"PAGO", "")</f>
        <v/>
      </c>
    </row>
    <row r="578" spans="1:17" s="216" customFormat="1" ht="39.950000000000003" customHeight="1" x14ac:dyDescent="0.25">
      <c r="A578" s="231"/>
      <c r="B578" s="240">
        <v>1217</v>
      </c>
      <c r="C578" s="241">
        <v>43867</v>
      </c>
      <c r="D578" s="242" t="s">
        <v>732</v>
      </c>
      <c r="E578" s="240" t="s">
        <v>732</v>
      </c>
      <c r="F578" s="240" t="s">
        <v>733</v>
      </c>
      <c r="G578" s="240">
        <v>0</v>
      </c>
      <c r="H578" s="240" t="s">
        <v>40</v>
      </c>
      <c r="I578" s="243"/>
      <c r="J578" s="243"/>
      <c r="K578" s="243"/>
      <c r="L578" s="240" t="s">
        <v>1</v>
      </c>
      <c r="M578" s="244">
        <v>1</v>
      </c>
      <c r="N578" s="245">
        <v>40</v>
      </c>
      <c r="O578" s="243">
        <v>40</v>
      </c>
      <c r="P578" s="243"/>
      <c r="Q578" s="180" t="str">
        <f>IF(PEDIDOS[[#This Row],[Valor do item pago]]=PEDIDOS[[#This Row],[Total Item ]],"PAGO", "")</f>
        <v/>
      </c>
    </row>
    <row r="579" spans="1:17" s="216" customFormat="1" ht="39.950000000000003" customHeight="1" x14ac:dyDescent="0.25">
      <c r="A579" s="231"/>
      <c r="B579" s="240">
        <v>1217</v>
      </c>
      <c r="C579" s="241">
        <v>43867</v>
      </c>
      <c r="D579" s="242" t="s">
        <v>732</v>
      </c>
      <c r="E579" s="240" t="s">
        <v>732</v>
      </c>
      <c r="F579" s="240" t="s">
        <v>733</v>
      </c>
      <c r="G579" s="240">
        <v>0</v>
      </c>
      <c r="H579" s="240" t="s">
        <v>40</v>
      </c>
      <c r="I579" s="243"/>
      <c r="J579" s="243"/>
      <c r="K579" s="243"/>
      <c r="L579" s="240" t="s">
        <v>0</v>
      </c>
      <c r="M579" s="244">
        <v>1</v>
      </c>
      <c r="N579" s="245">
        <v>40</v>
      </c>
      <c r="O579" s="243">
        <v>40</v>
      </c>
      <c r="P579" s="243"/>
      <c r="Q579" s="180" t="str">
        <f>IF(PEDIDOS[[#This Row],[Valor do item pago]]=PEDIDOS[[#This Row],[Total Item ]],"PAGO", "")</f>
        <v/>
      </c>
    </row>
    <row r="580" spans="1:17" s="216" customFormat="1" ht="39.950000000000003" customHeight="1" x14ac:dyDescent="0.25">
      <c r="A580" s="231"/>
      <c r="B580" s="240">
        <v>1216</v>
      </c>
      <c r="C580" s="241">
        <v>43867</v>
      </c>
      <c r="D580" s="242" t="s">
        <v>45</v>
      </c>
      <c r="E580" s="240" t="s">
        <v>948</v>
      </c>
      <c r="F580" s="240" t="s">
        <v>951</v>
      </c>
      <c r="G580" s="240" t="s">
        <v>1444</v>
      </c>
      <c r="H580" s="240" t="s">
        <v>520</v>
      </c>
      <c r="I580" s="243" t="s">
        <v>950</v>
      </c>
      <c r="J580" s="243"/>
      <c r="K580" s="243"/>
      <c r="L580" s="240" t="s">
        <v>1</v>
      </c>
      <c r="M580" s="244">
        <v>1</v>
      </c>
      <c r="N580" s="245">
        <v>40</v>
      </c>
      <c r="O580" s="243">
        <v>40</v>
      </c>
      <c r="P580" s="243"/>
      <c r="Q580" s="180" t="str">
        <f>IF(PEDIDOS[[#This Row],[Valor do item pago]]=PEDIDOS[[#This Row],[Total Item ]],"PAGO", "")</f>
        <v/>
      </c>
    </row>
    <row r="581" spans="1:17" s="216" customFormat="1" ht="39.950000000000003" customHeight="1" x14ac:dyDescent="0.25">
      <c r="A581" s="231"/>
      <c r="B581" s="240">
        <v>1215</v>
      </c>
      <c r="C581" s="241">
        <v>43867</v>
      </c>
      <c r="D581" s="242" t="s">
        <v>45</v>
      </c>
      <c r="E581" s="240" t="s">
        <v>350</v>
      </c>
      <c r="F581" s="240" t="s">
        <v>1221</v>
      </c>
      <c r="G581" s="240" t="s">
        <v>1366</v>
      </c>
      <c r="H581" s="240" t="s">
        <v>394</v>
      </c>
      <c r="I581" s="243" t="s">
        <v>424</v>
      </c>
      <c r="J581" s="243"/>
      <c r="K581" s="243"/>
      <c r="L581" s="240" t="s">
        <v>0</v>
      </c>
      <c r="M581" s="244">
        <v>1</v>
      </c>
      <c r="N581" s="245">
        <v>40</v>
      </c>
      <c r="O581" s="243">
        <v>40</v>
      </c>
      <c r="P581" s="243"/>
      <c r="Q581" s="180" t="str">
        <f>IF(PEDIDOS[[#This Row],[Valor do item pago]]=PEDIDOS[[#This Row],[Total Item ]],"PAGO", "")</f>
        <v/>
      </c>
    </row>
    <row r="582" spans="1:17" s="216" customFormat="1" ht="39.950000000000003" customHeight="1" x14ac:dyDescent="0.25">
      <c r="A582" s="231"/>
      <c r="B582" s="240">
        <v>1214</v>
      </c>
      <c r="C582" s="241">
        <v>43867</v>
      </c>
      <c r="D582" s="242" t="s">
        <v>231</v>
      </c>
      <c r="E582" s="240" t="s">
        <v>1607</v>
      </c>
      <c r="F582" s="240">
        <v>0</v>
      </c>
      <c r="G582" s="240">
        <v>0</v>
      </c>
      <c r="H582" s="240">
        <v>0</v>
      </c>
      <c r="I582" s="243"/>
      <c r="J582" s="243"/>
      <c r="K582" s="243" t="s">
        <v>231</v>
      </c>
      <c r="L582" s="240" t="s">
        <v>219</v>
      </c>
      <c r="M582" s="244">
        <v>1</v>
      </c>
      <c r="N582" s="245">
        <v>40</v>
      </c>
      <c r="O582" s="243">
        <v>40</v>
      </c>
      <c r="P582" s="243"/>
      <c r="Q582" s="180" t="str">
        <f>IF(PEDIDOS[[#This Row],[Valor do item pago]]=PEDIDOS[[#This Row],[Total Item ]],"PAGO", "")</f>
        <v/>
      </c>
    </row>
    <row r="583" spans="1:17" s="216" customFormat="1" ht="39.950000000000003" customHeight="1" x14ac:dyDescent="0.25">
      <c r="A583" s="231"/>
      <c r="B583" s="240">
        <v>1213</v>
      </c>
      <c r="C583" s="241">
        <v>43867</v>
      </c>
      <c r="D583" s="242" t="s">
        <v>231</v>
      </c>
      <c r="E583" s="240" t="s">
        <v>1606</v>
      </c>
      <c r="F583" s="240">
        <v>0</v>
      </c>
      <c r="G583" s="240">
        <v>0</v>
      </c>
      <c r="H583" s="240">
        <v>0</v>
      </c>
      <c r="I583" s="243"/>
      <c r="J583" s="243" t="s">
        <v>1608</v>
      </c>
      <c r="K583" s="243" t="s">
        <v>40</v>
      </c>
      <c r="L583" s="240" t="s">
        <v>219</v>
      </c>
      <c r="M583" s="244">
        <v>1</v>
      </c>
      <c r="N583" s="245">
        <v>40</v>
      </c>
      <c r="O583" s="243">
        <v>40</v>
      </c>
      <c r="P583" s="243"/>
      <c r="Q583" s="180" t="str">
        <f>IF(PEDIDOS[[#This Row],[Valor do item pago]]=PEDIDOS[[#This Row],[Total Item ]],"PAGO", "")</f>
        <v/>
      </c>
    </row>
    <row r="584" spans="1:17" s="216" customFormat="1" ht="39.950000000000003" customHeight="1" x14ac:dyDescent="0.25">
      <c r="A584" s="231"/>
      <c r="B584" s="240">
        <v>1212</v>
      </c>
      <c r="C584" s="241">
        <v>43867</v>
      </c>
      <c r="D584" s="242" t="s">
        <v>231</v>
      </c>
      <c r="E584" s="240" t="s">
        <v>381</v>
      </c>
      <c r="F584" s="240">
        <v>0</v>
      </c>
      <c r="G584" s="240">
        <v>0</v>
      </c>
      <c r="H584" s="240">
        <v>0</v>
      </c>
      <c r="I584" s="243"/>
      <c r="J584" s="243"/>
      <c r="K584" s="243"/>
      <c r="L584" s="240" t="s">
        <v>1</v>
      </c>
      <c r="M584" s="244">
        <v>3</v>
      </c>
      <c r="N584" s="245">
        <v>40</v>
      </c>
      <c r="O584" s="243">
        <v>120</v>
      </c>
      <c r="P584" s="243"/>
      <c r="Q584" s="180" t="str">
        <f>IF(PEDIDOS[[#This Row],[Valor do item pago]]=PEDIDOS[[#This Row],[Total Item ]],"PAGO", "")</f>
        <v/>
      </c>
    </row>
    <row r="585" spans="1:17" s="216" customFormat="1" ht="39.950000000000003" customHeight="1" x14ac:dyDescent="0.25">
      <c r="A585" s="231"/>
      <c r="B585" s="240">
        <v>1211</v>
      </c>
      <c r="C585" s="241">
        <v>43867</v>
      </c>
      <c r="D585" s="242" t="s">
        <v>231</v>
      </c>
      <c r="E585" s="240" t="s">
        <v>597</v>
      </c>
      <c r="F585" s="240" t="s">
        <v>703</v>
      </c>
      <c r="G585" s="240" t="s">
        <v>1456</v>
      </c>
      <c r="H585" s="240" t="s">
        <v>84</v>
      </c>
      <c r="I585" s="243" t="s">
        <v>679</v>
      </c>
      <c r="J585" s="243"/>
      <c r="K585" s="243" t="s">
        <v>231</v>
      </c>
      <c r="L585" s="240" t="s">
        <v>219</v>
      </c>
      <c r="M585" s="244">
        <v>1</v>
      </c>
      <c r="N585" s="245">
        <v>40</v>
      </c>
      <c r="O585" s="243">
        <v>40</v>
      </c>
      <c r="P585" s="243"/>
      <c r="Q585" s="180" t="str">
        <f>IF(PEDIDOS[[#This Row],[Valor do item pago]]=PEDIDOS[[#This Row],[Total Item ]],"PAGO", "")</f>
        <v/>
      </c>
    </row>
    <row r="586" spans="1:17" s="216" customFormat="1" ht="39.950000000000003" customHeight="1" x14ac:dyDescent="0.25">
      <c r="A586" s="231"/>
      <c r="B586" s="240">
        <v>1210</v>
      </c>
      <c r="C586" s="241">
        <v>43867</v>
      </c>
      <c r="D586" s="242" t="s">
        <v>231</v>
      </c>
      <c r="E586" s="240" t="s">
        <v>345</v>
      </c>
      <c r="F586" s="240" t="s">
        <v>1216</v>
      </c>
      <c r="G586" s="240">
        <v>0</v>
      </c>
      <c r="H586" s="240">
        <v>0</v>
      </c>
      <c r="I586" s="243"/>
      <c r="J586" s="243"/>
      <c r="K586" s="243"/>
      <c r="L586" s="240" t="s">
        <v>219</v>
      </c>
      <c r="M586" s="244">
        <v>1</v>
      </c>
      <c r="N586" s="245">
        <v>40</v>
      </c>
      <c r="O586" s="243">
        <v>40</v>
      </c>
      <c r="P586" s="243"/>
      <c r="Q586" s="180" t="str">
        <f>IF(PEDIDOS[[#This Row],[Valor do item pago]]=PEDIDOS[[#This Row],[Total Item ]],"PAGO", "")</f>
        <v/>
      </c>
    </row>
    <row r="587" spans="1:17" s="216" customFormat="1" ht="39.950000000000003" customHeight="1" x14ac:dyDescent="0.25">
      <c r="A587" s="231"/>
      <c r="B587" s="240">
        <v>1210</v>
      </c>
      <c r="C587" s="241">
        <v>43867</v>
      </c>
      <c r="D587" s="242" t="s">
        <v>231</v>
      </c>
      <c r="E587" s="240" t="s">
        <v>345</v>
      </c>
      <c r="F587" s="240" t="s">
        <v>1216</v>
      </c>
      <c r="G587" s="240">
        <v>0</v>
      </c>
      <c r="H587" s="240">
        <v>0</v>
      </c>
      <c r="I587" s="243"/>
      <c r="J587" s="243"/>
      <c r="K587" s="243"/>
      <c r="L587" s="240" t="s">
        <v>0</v>
      </c>
      <c r="M587" s="244">
        <v>1</v>
      </c>
      <c r="N587" s="245">
        <v>40</v>
      </c>
      <c r="O587" s="243">
        <v>40</v>
      </c>
      <c r="P587" s="243"/>
      <c r="Q587" s="180" t="str">
        <f>IF(PEDIDOS[[#This Row],[Valor do item pago]]=PEDIDOS[[#This Row],[Total Item ]],"PAGO", "")</f>
        <v/>
      </c>
    </row>
    <row r="588" spans="1:17" s="216" customFormat="1" ht="39.950000000000003" customHeight="1" x14ac:dyDescent="0.25">
      <c r="A588" s="231"/>
      <c r="B588" s="240">
        <v>1209</v>
      </c>
      <c r="C588" s="241">
        <v>43867</v>
      </c>
      <c r="D588" s="242" t="s">
        <v>231</v>
      </c>
      <c r="E588" s="240" t="s">
        <v>90</v>
      </c>
      <c r="F588" s="240" t="s">
        <v>806</v>
      </c>
      <c r="G588" s="240">
        <v>0</v>
      </c>
      <c r="H588" s="240" t="s">
        <v>40</v>
      </c>
      <c r="I588" s="243"/>
      <c r="J588" s="243"/>
      <c r="K588" s="243" t="s">
        <v>40</v>
      </c>
      <c r="L588" s="240" t="s">
        <v>219</v>
      </c>
      <c r="M588" s="244">
        <v>2</v>
      </c>
      <c r="N588" s="245">
        <v>40</v>
      </c>
      <c r="O588" s="243">
        <v>80</v>
      </c>
      <c r="P588" s="243"/>
      <c r="Q588" s="180" t="str">
        <f>IF(PEDIDOS[[#This Row],[Valor do item pago]]=PEDIDOS[[#This Row],[Total Item ]],"PAGO", "")</f>
        <v/>
      </c>
    </row>
    <row r="589" spans="1:17" s="216" customFormat="1" ht="39.950000000000003" customHeight="1" x14ac:dyDescent="0.25">
      <c r="A589" s="231"/>
      <c r="B589" s="240">
        <v>1208</v>
      </c>
      <c r="C589" s="241">
        <v>43867</v>
      </c>
      <c r="D589" s="242" t="s">
        <v>231</v>
      </c>
      <c r="E589" s="240" t="s">
        <v>356</v>
      </c>
      <c r="F589" s="240" t="s">
        <v>700</v>
      </c>
      <c r="G589" s="240" t="s">
        <v>1377</v>
      </c>
      <c r="H589" s="240" t="s">
        <v>1378</v>
      </c>
      <c r="I589" s="243" t="s">
        <v>702</v>
      </c>
      <c r="J589" s="243" t="s">
        <v>1527</v>
      </c>
      <c r="K589" s="243"/>
      <c r="L589" s="240" t="s">
        <v>219</v>
      </c>
      <c r="M589" s="244">
        <v>1</v>
      </c>
      <c r="N589" s="245">
        <v>40</v>
      </c>
      <c r="O589" s="243">
        <v>40</v>
      </c>
      <c r="P589" s="243">
        <v>40</v>
      </c>
      <c r="Q589" s="180" t="str">
        <f>IF(PEDIDOS[[#This Row],[Valor do item pago]]=PEDIDOS[[#This Row],[Total Item ]],"PAGO", "")</f>
        <v>PAGO</v>
      </c>
    </row>
    <row r="590" spans="1:17" s="216" customFormat="1" ht="39.950000000000003" customHeight="1" x14ac:dyDescent="0.25">
      <c r="A590" s="231"/>
      <c r="B590" s="240">
        <v>1207</v>
      </c>
      <c r="C590" s="241">
        <v>43867</v>
      </c>
      <c r="D590" s="242" t="s">
        <v>49</v>
      </c>
      <c r="E590" s="240" t="s">
        <v>611</v>
      </c>
      <c r="F590" s="240" t="s">
        <v>1225</v>
      </c>
      <c r="G590" s="240" t="s">
        <v>1429</v>
      </c>
      <c r="H590" s="240" t="s">
        <v>390</v>
      </c>
      <c r="I590" s="243" t="s">
        <v>253</v>
      </c>
      <c r="J590" s="243"/>
      <c r="K590" s="243" t="s">
        <v>49</v>
      </c>
      <c r="L590" s="240" t="s">
        <v>3</v>
      </c>
      <c r="M590" s="244">
        <v>1</v>
      </c>
      <c r="N590" s="245">
        <v>40</v>
      </c>
      <c r="O590" s="243">
        <v>40</v>
      </c>
      <c r="P590" s="243">
        <v>40</v>
      </c>
      <c r="Q590" s="180" t="str">
        <f>IF(PEDIDOS[[#This Row],[Valor do item pago]]=PEDIDOS[[#This Row],[Total Item ]],"PAGO", "")</f>
        <v>PAGO</v>
      </c>
    </row>
    <row r="591" spans="1:17" s="216" customFormat="1" ht="39.950000000000003" customHeight="1" x14ac:dyDescent="0.25">
      <c r="A591" s="231"/>
      <c r="B591" s="240">
        <v>1206</v>
      </c>
      <c r="C591" s="241">
        <v>43867</v>
      </c>
      <c r="D591" s="242" t="s">
        <v>49</v>
      </c>
      <c r="E591" s="240" t="s">
        <v>615</v>
      </c>
      <c r="F591" s="240" t="s">
        <v>1242</v>
      </c>
      <c r="G591" s="240" t="s">
        <v>1392</v>
      </c>
      <c r="H591" s="240" t="s">
        <v>1205</v>
      </c>
      <c r="I591" s="243" t="s">
        <v>735</v>
      </c>
      <c r="J591" s="243"/>
      <c r="K591" s="243" t="s">
        <v>49</v>
      </c>
      <c r="L591" s="240" t="s">
        <v>3</v>
      </c>
      <c r="M591" s="244">
        <v>1</v>
      </c>
      <c r="N591" s="245">
        <v>40</v>
      </c>
      <c r="O591" s="243">
        <v>40</v>
      </c>
      <c r="P591" s="243">
        <v>40</v>
      </c>
      <c r="Q591" s="180" t="str">
        <f>IF(PEDIDOS[[#This Row],[Valor do item pago]]=PEDIDOS[[#This Row],[Total Item ]],"PAGO", "")</f>
        <v>PAGO</v>
      </c>
    </row>
    <row r="592" spans="1:17" s="216" customFormat="1" ht="39.950000000000003" customHeight="1" x14ac:dyDescent="0.25">
      <c r="A592" s="231"/>
      <c r="B592" s="240">
        <v>1206</v>
      </c>
      <c r="C592" s="241">
        <v>43867</v>
      </c>
      <c r="D592" s="242" t="s">
        <v>49</v>
      </c>
      <c r="E592" s="240" t="s">
        <v>615</v>
      </c>
      <c r="F592" s="240" t="s">
        <v>1242</v>
      </c>
      <c r="G592" s="240" t="s">
        <v>1392</v>
      </c>
      <c r="H592" s="240" t="s">
        <v>1205</v>
      </c>
      <c r="I592" s="243" t="s">
        <v>735</v>
      </c>
      <c r="J592" s="243"/>
      <c r="K592" s="243" t="s">
        <v>49</v>
      </c>
      <c r="L592" s="240" t="s">
        <v>219</v>
      </c>
      <c r="M592" s="244">
        <v>1</v>
      </c>
      <c r="N592" s="245">
        <v>40</v>
      </c>
      <c r="O592" s="243">
        <v>40</v>
      </c>
      <c r="P592" s="243">
        <v>40</v>
      </c>
      <c r="Q592" s="180" t="str">
        <f>IF(PEDIDOS[[#This Row],[Valor do item pago]]=PEDIDOS[[#This Row],[Total Item ]],"PAGO", "")</f>
        <v>PAGO</v>
      </c>
    </row>
    <row r="593" spans="1:17" s="216" customFormat="1" ht="39.950000000000003" customHeight="1" x14ac:dyDescent="0.25">
      <c r="A593" s="231"/>
      <c r="B593" s="240">
        <v>1206</v>
      </c>
      <c r="C593" s="241">
        <v>43867</v>
      </c>
      <c r="D593" s="242" t="s">
        <v>49</v>
      </c>
      <c r="E593" s="240" t="s">
        <v>615</v>
      </c>
      <c r="F593" s="240" t="s">
        <v>1242</v>
      </c>
      <c r="G593" s="240" t="s">
        <v>1392</v>
      </c>
      <c r="H593" s="240" t="s">
        <v>1205</v>
      </c>
      <c r="I593" s="243" t="s">
        <v>735</v>
      </c>
      <c r="J593" s="243"/>
      <c r="K593" s="243" t="s">
        <v>49</v>
      </c>
      <c r="L593" s="240" t="s">
        <v>1</v>
      </c>
      <c r="M593" s="244">
        <v>1</v>
      </c>
      <c r="N593" s="245">
        <v>40</v>
      </c>
      <c r="O593" s="243">
        <v>40</v>
      </c>
      <c r="P593" s="243">
        <v>40</v>
      </c>
      <c r="Q593" s="180" t="str">
        <f>IF(PEDIDOS[[#This Row],[Valor do item pago]]=PEDIDOS[[#This Row],[Total Item ]],"PAGO", "")</f>
        <v>PAGO</v>
      </c>
    </row>
    <row r="594" spans="1:17" s="216" customFormat="1" ht="39.950000000000003" customHeight="1" x14ac:dyDescent="0.25">
      <c r="A594" s="231"/>
      <c r="B594" s="240">
        <v>1206</v>
      </c>
      <c r="C594" s="241">
        <v>43867</v>
      </c>
      <c r="D594" s="242" t="s">
        <v>49</v>
      </c>
      <c r="E594" s="240" t="s">
        <v>615</v>
      </c>
      <c r="F594" s="240" t="s">
        <v>1242</v>
      </c>
      <c r="G594" s="240" t="s">
        <v>1392</v>
      </c>
      <c r="H594" s="240" t="s">
        <v>1205</v>
      </c>
      <c r="I594" s="243" t="s">
        <v>735</v>
      </c>
      <c r="J594" s="243"/>
      <c r="K594" s="243" t="s">
        <v>49</v>
      </c>
      <c r="L594" s="240" t="s">
        <v>0</v>
      </c>
      <c r="M594" s="244">
        <v>1</v>
      </c>
      <c r="N594" s="245">
        <v>40</v>
      </c>
      <c r="O594" s="243">
        <v>40</v>
      </c>
      <c r="P594" s="243">
        <v>40</v>
      </c>
      <c r="Q594" s="180" t="str">
        <f>IF(PEDIDOS[[#This Row],[Valor do item pago]]=PEDIDOS[[#This Row],[Total Item ]],"PAGO", "")</f>
        <v>PAGO</v>
      </c>
    </row>
    <row r="595" spans="1:17" s="216" customFormat="1" ht="39.950000000000003" customHeight="1" x14ac:dyDescent="0.25">
      <c r="A595" s="231"/>
      <c r="B595" s="240">
        <v>1205</v>
      </c>
      <c r="C595" s="241">
        <v>43867</v>
      </c>
      <c r="D595" s="242" t="s">
        <v>40</v>
      </c>
      <c r="E595" s="240" t="s">
        <v>1603</v>
      </c>
      <c r="F595" s="240">
        <v>0</v>
      </c>
      <c r="G595" s="240" t="s">
        <v>1604</v>
      </c>
      <c r="H595" s="240">
        <v>0</v>
      </c>
      <c r="I595" s="243"/>
      <c r="J595" s="243"/>
      <c r="K595" s="243" t="s">
        <v>1134</v>
      </c>
      <c r="L595" s="240" t="s">
        <v>1</v>
      </c>
      <c r="M595" s="244">
        <v>1</v>
      </c>
      <c r="N595" s="245">
        <v>40</v>
      </c>
      <c r="O595" s="243">
        <v>40</v>
      </c>
      <c r="P595" s="243"/>
      <c r="Q595" s="180" t="str">
        <f>IF(PEDIDOS[[#This Row],[Valor do item pago]]=PEDIDOS[[#This Row],[Total Item ]],"PAGO", "")</f>
        <v/>
      </c>
    </row>
    <row r="596" spans="1:17" s="216" customFormat="1" ht="39.950000000000003" customHeight="1" x14ac:dyDescent="0.25">
      <c r="A596" s="231"/>
      <c r="B596" s="240">
        <v>1205</v>
      </c>
      <c r="C596" s="241">
        <v>43867</v>
      </c>
      <c r="D596" s="242" t="s">
        <v>40</v>
      </c>
      <c r="E596" s="240" t="s">
        <v>1603</v>
      </c>
      <c r="F596" s="240">
        <v>0</v>
      </c>
      <c r="G596" s="240" t="s">
        <v>1604</v>
      </c>
      <c r="H596" s="240">
        <v>0</v>
      </c>
      <c r="I596" s="243"/>
      <c r="J596" s="243"/>
      <c r="K596" s="243" t="s">
        <v>1134</v>
      </c>
      <c r="L596" s="240" t="s">
        <v>0</v>
      </c>
      <c r="M596" s="244">
        <v>1</v>
      </c>
      <c r="N596" s="245">
        <v>40</v>
      </c>
      <c r="O596" s="243">
        <v>40</v>
      </c>
      <c r="P596" s="243"/>
      <c r="Q596" s="180" t="str">
        <f>IF(PEDIDOS[[#This Row],[Valor do item pago]]=PEDIDOS[[#This Row],[Total Item ]],"PAGO", "")</f>
        <v/>
      </c>
    </row>
    <row r="597" spans="1:17" s="216" customFormat="1" ht="39.950000000000003" customHeight="1" x14ac:dyDescent="0.25">
      <c r="A597" s="231"/>
      <c r="B597" s="240">
        <v>1204</v>
      </c>
      <c r="C597" s="241">
        <v>43867</v>
      </c>
      <c r="D597" s="242" t="s">
        <v>40</v>
      </c>
      <c r="E597" s="240" t="s">
        <v>1583</v>
      </c>
      <c r="F597" s="240">
        <v>0</v>
      </c>
      <c r="G597" s="240" t="s">
        <v>61</v>
      </c>
      <c r="H597" s="240" t="s">
        <v>40</v>
      </c>
      <c r="I597" s="243"/>
      <c r="J597" s="243"/>
      <c r="K597" s="243" t="s">
        <v>40</v>
      </c>
      <c r="L597" s="240" t="s">
        <v>219</v>
      </c>
      <c r="M597" s="244">
        <v>3</v>
      </c>
      <c r="N597" s="245">
        <v>40</v>
      </c>
      <c r="O597" s="243">
        <v>120</v>
      </c>
      <c r="P597" s="243"/>
      <c r="Q597" s="180" t="str">
        <f>IF(PEDIDOS[[#This Row],[Valor do item pago]]=PEDIDOS[[#This Row],[Total Item ]],"PAGO", "")</f>
        <v/>
      </c>
    </row>
    <row r="598" spans="1:17" s="216" customFormat="1" ht="39.950000000000003" customHeight="1" x14ac:dyDescent="0.25">
      <c r="A598" s="231"/>
      <c r="B598" s="240">
        <v>1203</v>
      </c>
      <c r="C598" s="241">
        <v>43867</v>
      </c>
      <c r="D598" s="242" t="s">
        <v>40</v>
      </c>
      <c r="E598" s="240" t="s">
        <v>1584</v>
      </c>
      <c r="F598" s="240" t="s">
        <v>1585</v>
      </c>
      <c r="G598" s="240" t="s">
        <v>1586</v>
      </c>
      <c r="H598" s="240" t="s">
        <v>651</v>
      </c>
      <c r="I598" s="243" t="s">
        <v>1587</v>
      </c>
      <c r="J598" s="243"/>
      <c r="K598" s="243"/>
      <c r="L598" s="240" t="s">
        <v>1</v>
      </c>
      <c r="M598" s="244">
        <v>1</v>
      </c>
      <c r="N598" s="245">
        <v>40</v>
      </c>
      <c r="O598" s="243">
        <v>40</v>
      </c>
      <c r="P598" s="243"/>
      <c r="Q598" s="180" t="str">
        <f>IF(PEDIDOS[[#This Row],[Valor do item pago]]=PEDIDOS[[#This Row],[Total Item ]],"PAGO", "")</f>
        <v/>
      </c>
    </row>
    <row r="599" spans="1:17" s="216" customFormat="1" ht="39.950000000000003" customHeight="1" x14ac:dyDescent="0.25">
      <c r="A599" s="231"/>
      <c r="B599" s="240">
        <v>1202</v>
      </c>
      <c r="C599" s="241">
        <v>43867</v>
      </c>
      <c r="D599" s="242" t="s">
        <v>40</v>
      </c>
      <c r="E599" s="240" t="s">
        <v>203</v>
      </c>
      <c r="F599" s="240" t="s">
        <v>1238</v>
      </c>
      <c r="G599" s="240" t="s">
        <v>41</v>
      </c>
      <c r="H599" s="240" t="s">
        <v>441</v>
      </c>
      <c r="I599" s="243" t="s">
        <v>442</v>
      </c>
      <c r="J599" s="243"/>
      <c r="K599" s="243" t="s">
        <v>648</v>
      </c>
      <c r="L599" s="240" t="s">
        <v>1</v>
      </c>
      <c r="M599" s="244">
        <v>1</v>
      </c>
      <c r="N599" s="245">
        <v>40</v>
      </c>
      <c r="O599" s="243">
        <v>40</v>
      </c>
      <c r="P599" s="243"/>
      <c r="Q599" s="180" t="str">
        <f>IF(PEDIDOS[[#This Row],[Valor do item pago]]=PEDIDOS[[#This Row],[Total Item ]],"PAGO", "")</f>
        <v/>
      </c>
    </row>
    <row r="600" spans="1:17" s="216" customFormat="1" ht="39.950000000000003" customHeight="1" x14ac:dyDescent="0.25">
      <c r="A600" s="231"/>
      <c r="B600" s="240">
        <v>1202</v>
      </c>
      <c r="C600" s="241">
        <v>43867</v>
      </c>
      <c r="D600" s="242" t="s">
        <v>40</v>
      </c>
      <c r="E600" s="240" t="s">
        <v>203</v>
      </c>
      <c r="F600" s="240" t="s">
        <v>1238</v>
      </c>
      <c r="G600" s="240" t="s">
        <v>41</v>
      </c>
      <c r="H600" s="240" t="s">
        <v>441</v>
      </c>
      <c r="I600" s="243" t="s">
        <v>442</v>
      </c>
      <c r="J600" s="243"/>
      <c r="K600" s="243" t="s">
        <v>648</v>
      </c>
      <c r="L600" s="240" t="s">
        <v>0</v>
      </c>
      <c r="M600" s="244">
        <v>1</v>
      </c>
      <c r="N600" s="245">
        <v>40</v>
      </c>
      <c r="O600" s="243">
        <v>40</v>
      </c>
      <c r="P600" s="243"/>
      <c r="Q600" s="180" t="str">
        <f>IF(PEDIDOS[[#This Row],[Valor do item pago]]=PEDIDOS[[#This Row],[Total Item ]],"PAGO", "")</f>
        <v/>
      </c>
    </row>
    <row r="601" spans="1:17" s="216" customFormat="1" ht="39.950000000000003" customHeight="1" x14ac:dyDescent="0.25">
      <c r="A601" s="231"/>
      <c r="B601" s="240">
        <v>1200</v>
      </c>
      <c r="C601" s="241">
        <v>43867</v>
      </c>
      <c r="D601" s="242" t="s">
        <v>40</v>
      </c>
      <c r="E601" s="240" t="s">
        <v>1255</v>
      </c>
      <c r="F601" s="240" t="s">
        <v>1210</v>
      </c>
      <c r="G601" s="240">
        <v>0</v>
      </c>
      <c r="H601" s="240">
        <v>0</v>
      </c>
      <c r="I601" s="243"/>
      <c r="J601" s="243"/>
      <c r="K601" s="243" t="s">
        <v>24</v>
      </c>
      <c r="L601" s="240" t="s">
        <v>3</v>
      </c>
      <c r="M601" s="244">
        <v>2</v>
      </c>
      <c r="N601" s="245">
        <v>40</v>
      </c>
      <c r="O601" s="243">
        <v>80</v>
      </c>
      <c r="P601" s="243"/>
      <c r="Q601" s="180" t="str">
        <f>IF(PEDIDOS[[#This Row],[Valor do item pago]]=PEDIDOS[[#This Row],[Total Item ]],"PAGO", "")</f>
        <v/>
      </c>
    </row>
    <row r="602" spans="1:17" s="216" customFormat="1" ht="39.950000000000003" customHeight="1" x14ac:dyDescent="0.25">
      <c r="A602" s="231"/>
      <c r="B602" s="240">
        <v>1199</v>
      </c>
      <c r="C602" s="241">
        <v>43867</v>
      </c>
      <c r="D602" s="242" t="s">
        <v>40</v>
      </c>
      <c r="E602" s="240" t="s">
        <v>13</v>
      </c>
      <c r="F602" s="240" t="s">
        <v>1491</v>
      </c>
      <c r="G602" s="240" t="s">
        <v>1492</v>
      </c>
      <c r="H602" s="240" t="s">
        <v>1197</v>
      </c>
      <c r="I602" s="243" t="s">
        <v>1493</v>
      </c>
      <c r="J602" s="243"/>
      <c r="K602" s="243" t="s">
        <v>24</v>
      </c>
      <c r="L602" s="240" t="s">
        <v>3</v>
      </c>
      <c r="M602" s="244">
        <v>1</v>
      </c>
      <c r="N602" s="245">
        <v>40</v>
      </c>
      <c r="O602" s="243">
        <v>40</v>
      </c>
      <c r="P602" s="243"/>
      <c r="Q602" s="180" t="str">
        <f>IF(PEDIDOS[[#This Row],[Valor do item pago]]=PEDIDOS[[#This Row],[Total Item ]],"PAGO", "")</f>
        <v/>
      </c>
    </row>
    <row r="603" spans="1:17" s="216" customFormat="1" ht="39.950000000000003" customHeight="1" x14ac:dyDescent="0.25">
      <c r="A603" s="231"/>
      <c r="B603" s="240">
        <v>1199</v>
      </c>
      <c r="C603" s="241">
        <v>43867</v>
      </c>
      <c r="D603" s="242" t="s">
        <v>40</v>
      </c>
      <c r="E603" s="240" t="s">
        <v>13</v>
      </c>
      <c r="F603" s="240" t="s">
        <v>1491</v>
      </c>
      <c r="G603" s="240" t="s">
        <v>1492</v>
      </c>
      <c r="H603" s="240" t="s">
        <v>1197</v>
      </c>
      <c r="I603" s="243" t="s">
        <v>1493</v>
      </c>
      <c r="J603" s="243"/>
      <c r="K603" s="243" t="s">
        <v>24</v>
      </c>
      <c r="L603" s="240" t="s">
        <v>219</v>
      </c>
      <c r="M603" s="244">
        <v>1</v>
      </c>
      <c r="N603" s="245">
        <v>40</v>
      </c>
      <c r="O603" s="243">
        <v>40</v>
      </c>
      <c r="P603" s="243"/>
      <c r="Q603" s="180" t="str">
        <f>IF(PEDIDOS[[#This Row],[Valor do item pago]]=PEDIDOS[[#This Row],[Total Item ]],"PAGO", "")</f>
        <v/>
      </c>
    </row>
    <row r="604" spans="1:17" s="216" customFormat="1" ht="39.950000000000003" customHeight="1" x14ac:dyDescent="0.25">
      <c r="A604" s="231"/>
      <c r="B604" s="240">
        <v>1198</v>
      </c>
      <c r="C604" s="241">
        <v>43867</v>
      </c>
      <c r="D604" s="242" t="s">
        <v>229</v>
      </c>
      <c r="E604" s="240" t="s">
        <v>229</v>
      </c>
      <c r="F604" s="240">
        <v>0</v>
      </c>
      <c r="G604" s="240">
        <v>0</v>
      </c>
      <c r="H604" s="240">
        <v>0</v>
      </c>
      <c r="I604" s="243"/>
      <c r="J604" s="243"/>
      <c r="K604" s="243"/>
      <c r="L604" s="240" t="s">
        <v>3</v>
      </c>
      <c r="M604" s="244">
        <v>3</v>
      </c>
      <c r="N604" s="245">
        <v>40</v>
      </c>
      <c r="O604" s="243">
        <v>120</v>
      </c>
      <c r="P604" s="243"/>
      <c r="Q604" s="180" t="str">
        <f>IF(PEDIDOS[[#This Row],[Valor do item pago]]=PEDIDOS[[#This Row],[Total Item ]],"PAGO", "")</f>
        <v/>
      </c>
    </row>
    <row r="605" spans="1:17" s="216" customFormat="1" ht="39.950000000000003" customHeight="1" x14ac:dyDescent="0.25">
      <c r="A605" s="231"/>
      <c r="B605" s="240">
        <v>1198</v>
      </c>
      <c r="C605" s="241">
        <v>43867</v>
      </c>
      <c r="D605" s="242" t="s">
        <v>229</v>
      </c>
      <c r="E605" s="240" t="s">
        <v>229</v>
      </c>
      <c r="F605" s="240">
        <v>0</v>
      </c>
      <c r="G605" s="240">
        <v>0</v>
      </c>
      <c r="H605" s="240">
        <v>0</v>
      </c>
      <c r="I605" s="243"/>
      <c r="J605" s="243"/>
      <c r="K605" s="243"/>
      <c r="L605" s="240" t="s">
        <v>219</v>
      </c>
      <c r="M605" s="244">
        <v>4</v>
      </c>
      <c r="N605" s="245">
        <v>40</v>
      </c>
      <c r="O605" s="243">
        <v>160</v>
      </c>
      <c r="P605" s="243"/>
      <c r="Q605" s="180" t="str">
        <f>IF(PEDIDOS[[#This Row],[Valor do item pago]]=PEDIDOS[[#This Row],[Total Item ]],"PAGO", "")</f>
        <v/>
      </c>
    </row>
    <row r="606" spans="1:17" s="216" customFormat="1" ht="39.950000000000003" customHeight="1" x14ac:dyDescent="0.25">
      <c r="A606" s="231"/>
      <c r="B606" s="240">
        <v>1198</v>
      </c>
      <c r="C606" s="241">
        <v>43867</v>
      </c>
      <c r="D606" s="242" t="s">
        <v>229</v>
      </c>
      <c r="E606" s="240" t="s">
        <v>229</v>
      </c>
      <c r="F606" s="240">
        <v>0</v>
      </c>
      <c r="G606" s="240">
        <v>0</v>
      </c>
      <c r="H606" s="240">
        <v>0</v>
      </c>
      <c r="I606" s="243"/>
      <c r="J606" s="243"/>
      <c r="K606" s="243"/>
      <c r="L606" s="240" t="s">
        <v>1</v>
      </c>
      <c r="M606" s="244">
        <v>5</v>
      </c>
      <c r="N606" s="245">
        <v>40</v>
      </c>
      <c r="O606" s="243">
        <v>200</v>
      </c>
      <c r="P606" s="243"/>
      <c r="Q606" s="180" t="str">
        <f>IF(PEDIDOS[[#This Row],[Valor do item pago]]=PEDIDOS[[#This Row],[Total Item ]],"PAGO", "")</f>
        <v/>
      </c>
    </row>
    <row r="607" spans="1:17" s="216" customFormat="1" ht="39.950000000000003" customHeight="1" x14ac:dyDescent="0.25">
      <c r="A607" s="231"/>
      <c r="B607" s="240">
        <v>1198</v>
      </c>
      <c r="C607" s="241">
        <v>43867</v>
      </c>
      <c r="D607" s="242" t="s">
        <v>229</v>
      </c>
      <c r="E607" s="240" t="s">
        <v>229</v>
      </c>
      <c r="F607" s="240">
        <v>0</v>
      </c>
      <c r="G607" s="240">
        <v>0</v>
      </c>
      <c r="H607" s="240">
        <v>0</v>
      </c>
      <c r="I607" s="243"/>
      <c r="J607" s="243"/>
      <c r="K607" s="243"/>
      <c r="L607" s="240" t="s">
        <v>0</v>
      </c>
      <c r="M607" s="244">
        <v>2</v>
      </c>
      <c r="N607" s="245">
        <v>40</v>
      </c>
      <c r="O607" s="243">
        <v>80</v>
      </c>
      <c r="P607" s="243"/>
      <c r="Q607" s="180" t="str">
        <f>IF(PEDIDOS[[#This Row],[Valor do item pago]]=PEDIDOS[[#This Row],[Total Item ]],"PAGO", "")</f>
        <v/>
      </c>
    </row>
    <row r="608" spans="1:17" s="216" customFormat="1" ht="39.950000000000003" customHeight="1" x14ac:dyDescent="0.25">
      <c r="A608" s="231"/>
      <c r="B608" s="240">
        <v>1197</v>
      </c>
      <c r="C608" s="241">
        <v>43867</v>
      </c>
      <c r="D608" s="242" t="s">
        <v>34</v>
      </c>
      <c r="E608" s="240" t="s">
        <v>1316</v>
      </c>
      <c r="F608" s="240" t="s">
        <v>717</v>
      </c>
      <c r="G608" s="240" t="s">
        <v>1394</v>
      </c>
      <c r="H608" s="240" t="s">
        <v>112</v>
      </c>
      <c r="I608" s="243" t="s">
        <v>720</v>
      </c>
      <c r="J608" s="243" t="s">
        <v>1602</v>
      </c>
      <c r="K608" s="243"/>
      <c r="L608" s="240" t="s">
        <v>3</v>
      </c>
      <c r="M608" s="244">
        <v>2</v>
      </c>
      <c r="N608" s="245">
        <v>40</v>
      </c>
      <c r="O608" s="243">
        <v>80</v>
      </c>
      <c r="P608" s="243"/>
      <c r="Q608" s="180" t="str">
        <f>IF(PEDIDOS[[#This Row],[Valor do item pago]]=PEDIDOS[[#This Row],[Total Item ]],"PAGO", "")</f>
        <v/>
      </c>
    </row>
    <row r="609" spans="1:17" s="216" customFormat="1" ht="39.950000000000003" customHeight="1" x14ac:dyDescent="0.25">
      <c r="A609" s="231"/>
      <c r="B609" s="240">
        <v>1196</v>
      </c>
      <c r="C609" s="241">
        <v>43867</v>
      </c>
      <c r="D609" s="242" t="s">
        <v>24</v>
      </c>
      <c r="E609" s="240" t="s">
        <v>23</v>
      </c>
      <c r="F609" s="240">
        <v>0</v>
      </c>
      <c r="G609" s="240">
        <v>0</v>
      </c>
      <c r="H609" s="240">
        <v>0</v>
      </c>
      <c r="I609" s="243"/>
      <c r="J609" s="243" t="s">
        <v>1601</v>
      </c>
      <c r="K609" s="243" t="s">
        <v>24</v>
      </c>
      <c r="L609" s="240" t="s">
        <v>219</v>
      </c>
      <c r="M609" s="244">
        <v>2</v>
      </c>
      <c r="N609" s="245">
        <v>40</v>
      </c>
      <c r="O609" s="243">
        <v>80</v>
      </c>
      <c r="P609" s="243"/>
      <c r="Q609" s="180" t="str">
        <f>IF(PEDIDOS[[#This Row],[Valor do item pago]]=PEDIDOS[[#This Row],[Total Item ]],"PAGO", "")</f>
        <v/>
      </c>
    </row>
    <row r="610" spans="1:17" s="216" customFormat="1" ht="39.950000000000003" customHeight="1" x14ac:dyDescent="0.25">
      <c r="A610" s="231"/>
      <c r="B610" s="240">
        <v>1195</v>
      </c>
      <c r="C610" s="241">
        <v>43867</v>
      </c>
      <c r="D610" s="242" t="s">
        <v>24</v>
      </c>
      <c r="E610" s="240" t="s">
        <v>25</v>
      </c>
      <c r="F610" s="240" t="s">
        <v>1222</v>
      </c>
      <c r="G610" s="240" t="s">
        <v>1411</v>
      </c>
      <c r="H610" s="240" t="s">
        <v>406</v>
      </c>
      <c r="I610" s="243" t="s">
        <v>329</v>
      </c>
      <c r="J610" s="243"/>
      <c r="K610" s="243"/>
      <c r="L610" s="240" t="s">
        <v>219</v>
      </c>
      <c r="M610" s="244">
        <v>1</v>
      </c>
      <c r="N610" s="245">
        <v>40</v>
      </c>
      <c r="O610" s="243">
        <v>40</v>
      </c>
      <c r="P610" s="243"/>
      <c r="Q610" s="180" t="str">
        <f>IF(PEDIDOS[[#This Row],[Valor do item pago]]=PEDIDOS[[#This Row],[Total Item ]],"PAGO", "")</f>
        <v/>
      </c>
    </row>
    <row r="611" spans="1:17" s="216" customFormat="1" ht="39.950000000000003" customHeight="1" x14ac:dyDescent="0.25">
      <c r="A611" s="231"/>
      <c r="B611" s="240">
        <v>1194</v>
      </c>
      <c r="C611" s="241">
        <v>43867</v>
      </c>
      <c r="D611" s="242" t="s">
        <v>823</v>
      </c>
      <c r="E611" s="240" t="s">
        <v>1496</v>
      </c>
      <c r="F611" s="240" t="s">
        <v>1497</v>
      </c>
      <c r="G611" s="240" t="s">
        <v>1505</v>
      </c>
      <c r="H611" s="240" t="s">
        <v>1450</v>
      </c>
      <c r="I611" s="243" t="s">
        <v>1504</v>
      </c>
      <c r="J611" s="243"/>
      <c r="K611" s="243"/>
      <c r="L611" s="240" t="s">
        <v>219</v>
      </c>
      <c r="M611" s="244">
        <v>1</v>
      </c>
      <c r="N611" s="245">
        <v>40</v>
      </c>
      <c r="O611" s="243">
        <v>40</v>
      </c>
      <c r="P611" s="243"/>
      <c r="Q611" s="180" t="str">
        <f>IF(PEDIDOS[[#This Row],[Valor do item pago]]=PEDIDOS[[#This Row],[Total Item ]],"PAGO", "")</f>
        <v/>
      </c>
    </row>
    <row r="612" spans="1:17" s="216" customFormat="1" ht="39.950000000000003" customHeight="1" x14ac:dyDescent="0.25">
      <c r="A612" s="231"/>
      <c r="B612" s="240">
        <v>1193</v>
      </c>
      <c r="C612" s="241">
        <v>43867</v>
      </c>
      <c r="D612" s="242" t="s">
        <v>823</v>
      </c>
      <c r="E612" s="240" t="s">
        <v>1547</v>
      </c>
      <c r="F612" s="240" t="s">
        <v>1548</v>
      </c>
      <c r="G612" s="240" t="s">
        <v>1549</v>
      </c>
      <c r="H612" s="240" t="s">
        <v>1191</v>
      </c>
      <c r="I612" s="243" t="s">
        <v>1550</v>
      </c>
      <c r="J612" s="243"/>
      <c r="K612" s="243"/>
      <c r="L612" s="240" t="s">
        <v>219</v>
      </c>
      <c r="M612" s="244">
        <v>1</v>
      </c>
      <c r="N612" s="245">
        <v>40</v>
      </c>
      <c r="O612" s="243">
        <v>40</v>
      </c>
      <c r="P612" s="243"/>
      <c r="Q612" s="180" t="str">
        <f>IF(PEDIDOS[[#This Row],[Valor do item pago]]=PEDIDOS[[#This Row],[Total Item ]],"PAGO", "")</f>
        <v/>
      </c>
    </row>
    <row r="613" spans="1:17" s="216" customFormat="1" ht="39.950000000000003" customHeight="1" x14ac:dyDescent="0.25">
      <c r="A613" s="231"/>
      <c r="B613" s="240">
        <v>1192</v>
      </c>
      <c r="C613" s="241">
        <v>43867</v>
      </c>
      <c r="D613" s="242" t="s">
        <v>823</v>
      </c>
      <c r="E613" s="240" t="s">
        <v>1268</v>
      </c>
      <c r="F613" s="240" t="s">
        <v>1212</v>
      </c>
      <c r="G613" s="240" t="s">
        <v>1569</v>
      </c>
      <c r="H613" s="240" t="s">
        <v>1197</v>
      </c>
      <c r="I613" s="243" t="s">
        <v>1028</v>
      </c>
      <c r="J613" s="243"/>
      <c r="K613" s="243"/>
      <c r="L613" s="240" t="s">
        <v>219</v>
      </c>
      <c r="M613" s="244">
        <v>4</v>
      </c>
      <c r="N613" s="245">
        <v>40</v>
      </c>
      <c r="O613" s="243">
        <v>160</v>
      </c>
      <c r="P613" s="243"/>
      <c r="Q613" s="180" t="str">
        <f>IF(PEDIDOS[[#This Row],[Valor do item pago]]=PEDIDOS[[#This Row],[Total Item ]],"PAGO", "")</f>
        <v/>
      </c>
    </row>
    <row r="614" spans="1:17" s="216" customFormat="1" ht="39.950000000000003" customHeight="1" x14ac:dyDescent="0.25">
      <c r="A614" s="231"/>
      <c r="B614" s="240">
        <v>1191</v>
      </c>
      <c r="C614" s="241">
        <v>43867</v>
      </c>
      <c r="D614" s="242" t="s">
        <v>823</v>
      </c>
      <c r="E614" s="240" t="s">
        <v>35</v>
      </c>
      <c r="F614" s="240">
        <v>0</v>
      </c>
      <c r="G614" s="240" t="s">
        <v>1386</v>
      </c>
      <c r="H614" s="240">
        <v>0</v>
      </c>
      <c r="I614" s="243"/>
      <c r="J614" s="243"/>
      <c r="K614" s="243" t="s">
        <v>823</v>
      </c>
      <c r="L614" s="240" t="s">
        <v>1</v>
      </c>
      <c r="M614" s="244">
        <v>1</v>
      </c>
      <c r="N614" s="245">
        <v>40</v>
      </c>
      <c r="O614" s="243">
        <v>40</v>
      </c>
      <c r="P614" s="243"/>
      <c r="Q614" s="180" t="str">
        <f>IF(PEDIDOS[[#This Row],[Valor do item pago]]=PEDIDOS[[#This Row],[Total Item ]],"PAGO", "")</f>
        <v/>
      </c>
    </row>
    <row r="615" spans="1:17" s="216" customFormat="1" ht="39.950000000000003" customHeight="1" x14ac:dyDescent="0.25">
      <c r="A615" s="231"/>
      <c r="B615" s="240">
        <v>1190</v>
      </c>
      <c r="C615" s="241">
        <v>43867</v>
      </c>
      <c r="D615" s="242" t="s">
        <v>823</v>
      </c>
      <c r="E615" s="240" t="s">
        <v>1461</v>
      </c>
      <c r="F615" s="240" t="s">
        <v>1180</v>
      </c>
      <c r="G615" s="240" t="s">
        <v>1276</v>
      </c>
      <c r="H615" s="240" t="s">
        <v>398</v>
      </c>
      <c r="I615" s="243" t="s">
        <v>1181</v>
      </c>
      <c r="J615" s="243"/>
      <c r="K615" s="243"/>
      <c r="L615" s="240" t="s">
        <v>3</v>
      </c>
      <c r="M615" s="244">
        <v>1</v>
      </c>
      <c r="N615" s="245">
        <v>40</v>
      </c>
      <c r="O615" s="243">
        <v>40</v>
      </c>
      <c r="P615" s="243"/>
      <c r="Q615" s="180" t="str">
        <f>IF(PEDIDOS[[#This Row],[Valor do item pago]]=PEDIDOS[[#This Row],[Total Item ]],"PAGO", "")</f>
        <v/>
      </c>
    </row>
    <row r="616" spans="1:17" s="216" customFormat="1" ht="39.950000000000003" customHeight="1" x14ac:dyDescent="0.25">
      <c r="A616" s="231"/>
      <c r="B616" s="240">
        <v>1189</v>
      </c>
      <c r="C616" s="241">
        <v>43867</v>
      </c>
      <c r="D616" s="242" t="s">
        <v>823</v>
      </c>
      <c r="E616" s="240" t="s">
        <v>25</v>
      </c>
      <c r="F616" s="240" t="s">
        <v>1222</v>
      </c>
      <c r="G616" s="240" t="s">
        <v>1411</v>
      </c>
      <c r="H616" s="240" t="s">
        <v>406</v>
      </c>
      <c r="I616" s="243" t="s">
        <v>329</v>
      </c>
      <c r="J616" s="243" t="s">
        <v>1460</v>
      </c>
      <c r="K616" s="243"/>
      <c r="L616" s="240" t="s">
        <v>219</v>
      </c>
      <c r="M616" s="244">
        <v>5</v>
      </c>
      <c r="N616" s="245">
        <v>40</v>
      </c>
      <c r="O616" s="243">
        <v>200</v>
      </c>
      <c r="P616" s="243"/>
      <c r="Q616" s="180" t="str">
        <f>IF(PEDIDOS[[#This Row],[Valor do item pago]]=PEDIDOS[[#This Row],[Total Item ]],"PAGO", "")</f>
        <v/>
      </c>
    </row>
    <row r="617" spans="1:17" s="216" customFormat="1" ht="39.950000000000003" customHeight="1" x14ac:dyDescent="0.25">
      <c r="A617" s="231"/>
      <c r="B617" s="240">
        <v>1188</v>
      </c>
      <c r="C617" s="241">
        <v>43742</v>
      </c>
      <c r="D617" s="242" t="s">
        <v>823</v>
      </c>
      <c r="E617" s="240" t="s">
        <v>1547</v>
      </c>
      <c r="F617" s="240" t="s">
        <v>1548</v>
      </c>
      <c r="G617" s="240" t="s">
        <v>1549</v>
      </c>
      <c r="H617" s="240" t="s">
        <v>1191</v>
      </c>
      <c r="I617" s="243" t="s">
        <v>1550</v>
      </c>
      <c r="J617" s="243" t="s">
        <v>887</v>
      </c>
      <c r="K617" s="243"/>
      <c r="L617" s="240" t="s">
        <v>0</v>
      </c>
      <c r="M617" s="244">
        <v>1</v>
      </c>
      <c r="N617" s="245">
        <v>40</v>
      </c>
      <c r="O617" s="243">
        <v>40</v>
      </c>
      <c r="P617" s="243"/>
      <c r="Q617" s="180" t="str">
        <f>IF(PEDIDOS[[#This Row],[Valor do item pago]]=PEDIDOS[[#This Row],[Total Item ]],"PAGO", "")</f>
        <v/>
      </c>
    </row>
    <row r="618" spans="1:17" s="216" customFormat="1" ht="39.950000000000003" customHeight="1" x14ac:dyDescent="0.25">
      <c r="A618" s="231"/>
      <c r="B618" s="240">
        <v>1187</v>
      </c>
      <c r="C618" s="241">
        <v>43742</v>
      </c>
      <c r="D618" s="242" t="s">
        <v>823</v>
      </c>
      <c r="E618" s="240" t="s">
        <v>1574</v>
      </c>
      <c r="F618" s="240" t="s">
        <v>1575</v>
      </c>
      <c r="G618" s="240" t="s">
        <v>1576</v>
      </c>
      <c r="H618" s="240" t="s">
        <v>84</v>
      </c>
      <c r="I618" s="243" t="s">
        <v>1577</v>
      </c>
      <c r="J618" s="243"/>
      <c r="K618" s="243"/>
      <c r="L618" s="240" t="s">
        <v>219</v>
      </c>
      <c r="M618" s="244">
        <v>1</v>
      </c>
      <c r="N618" s="245">
        <v>40</v>
      </c>
      <c r="O618" s="243">
        <v>40</v>
      </c>
      <c r="P618" s="243"/>
      <c r="Q618" s="180" t="str">
        <f>IF(PEDIDOS[[#This Row],[Valor do item pago]]=PEDIDOS[[#This Row],[Total Item ]],"PAGO", "")</f>
        <v/>
      </c>
    </row>
    <row r="619" spans="1:17" s="216" customFormat="1" ht="39.950000000000003" customHeight="1" x14ac:dyDescent="0.25">
      <c r="A619" s="231"/>
      <c r="B619" s="240">
        <v>1186</v>
      </c>
      <c r="C619" s="241">
        <v>43742</v>
      </c>
      <c r="D619" s="242" t="s">
        <v>823</v>
      </c>
      <c r="E619" s="240" t="s">
        <v>35</v>
      </c>
      <c r="F619" s="240">
        <v>0</v>
      </c>
      <c r="G619" s="240" t="s">
        <v>1386</v>
      </c>
      <c r="H619" s="240">
        <v>0</v>
      </c>
      <c r="I619" s="243"/>
      <c r="J619" s="243" t="s">
        <v>1600</v>
      </c>
      <c r="K619" s="243" t="s">
        <v>823</v>
      </c>
      <c r="L619" s="240" t="s">
        <v>219</v>
      </c>
      <c r="M619" s="244">
        <v>1</v>
      </c>
      <c r="N619" s="245">
        <v>40</v>
      </c>
      <c r="O619" s="243">
        <v>40</v>
      </c>
      <c r="P619" s="243"/>
      <c r="Q619" s="180" t="str">
        <f>IF(PEDIDOS[[#This Row],[Valor do item pago]]=PEDIDOS[[#This Row],[Total Item ]],"PAGO", "")</f>
        <v/>
      </c>
    </row>
    <row r="620" spans="1:17" s="216" customFormat="1" ht="39.950000000000003" customHeight="1" x14ac:dyDescent="0.25">
      <c r="A620" s="231"/>
      <c r="B620" s="240">
        <v>1185</v>
      </c>
      <c r="C620" s="241">
        <v>43742</v>
      </c>
      <c r="D620" s="242" t="s">
        <v>823</v>
      </c>
      <c r="E620" s="240" t="s">
        <v>35</v>
      </c>
      <c r="F620" s="240">
        <v>0</v>
      </c>
      <c r="G620" s="240" t="s">
        <v>1386</v>
      </c>
      <c r="H620" s="240">
        <v>0</v>
      </c>
      <c r="I620" s="243"/>
      <c r="J620" s="243"/>
      <c r="K620" s="243" t="s">
        <v>823</v>
      </c>
      <c r="L620" s="240" t="s">
        <v>1</v>
      </c>
      <c r="M620" s="244">
        <v>1</v>
      </c>
      <c r="N620" s="245">
        <v>40</v>
      </c>
      <c r="O620" s="243">
        <v>40</v>
      </c>
      <c r="P620" s="243"/>
      <c r="Q620" s="180" t="str">
        <f>IF(PEDIDOS[[#This Row],[Valor do item pago]]=PEDIDOS[[#This Row],[Total Item ]],"PAGO", "")</f>
        <v/>
      </c>
    </row>
    <row r="621" spans="1:17" s="216" customFormat="1" ht="39.950000000000003" customHeight="1" x14ac:dyDescent="0.25">
      <c r="A621" s="231"/>
      <c r="B621" s="240">
        <v>1184</v>
      </c>
      <c r="C621" s="241">
        <v>43742</v>
      </c>
      <c r="D621" s="242" t="s">
        <v>823</v>
      </c>
      <c r="E621" s="240" t="s">
        <v>1496</v>
      </c>
      <c r="F621" s="240" t="s">
        <v>1497</v>
      </c>
      <c r="G621" s="240" t="s">
        <v>1505</v>
      </c>
      <c r="H621" s="240" t="s">
        <v>1450</v>
      </c>
      <c r="I621" s="243" t="s">
        <v>1504</v>
      </c>
      <c r="J621" s="243"/>
      <c r="K621" s="243"/>
      <c r="L621" s="240" t="s">
        <v>219</v>
      </c>
      <c r="M621" s="244">
        <v>1</v>
      </c>
      <c r="N621" s="245">
        <v>40</v>
      </c>
      <c r="O621" s="243">
        <v>40</v>
      </c>
      <c r="P621" s="243"/>
      <c r="Q621" s="180" t="str">
        <f>IF(PEDIDOS[[#This Row],[Valor do item pago]]=PEDIDOS[[#This Row],[Total Item ]],"PAGO", "")</f>
        <v/>
      </c>
    </row>
    <row r="622" spans="1:17" s="216" customFormat="1" ht="39.950000000000003" customHeight="1" x14ac:dyDescent="0.25">
      <c r="A622" s="231"/>
      <c r="B622" s="240">
        <v>1183</v>
      </c>
      <c r="C622" s="241">
        <v>43742</v>
      </c>
      <c r="D622" s="242" t="s">
        <v>823</v>
      </c>
      <c r="E622" s="240" t="s">
        <v>1461</v>
      </c>
      <c r="F622" s="240" t="s">
        <v>1180</v>
      </c>
      <c r="G622" s="240" t="s">
        <v>1276</v>
      </c>
      <c r="H622" s="240" t="s">
        <v>398</v>
      </c>
      <c r="I622" s="243" t="s">
        <v>1181</v>
      </c>
      <c r="J622" s="243"/>
      <c r="K622" s="243"/>
      <c r="L622" s="240" t="s">
        <v>3</v>
      </c>
      <c r="M622" s="244">
        <v>1</v>
      </c>
      <c r="N622" s="245">
        <v>40</v>
      </c>
      <c r="O622" s="243">
        <v>40</v>
      </c>
      <c r="P622" s="243"/>
      <c r="Q622" s="180" t="str">
        <f>IF(PEDIDOS[[#This Row],[Valor do item pago]]=PEDIDOS[[#This Row],[Total Item ]],"PAGO", "")</f>
        <v/>
      </c>
    </row>
    <row r="623" spans="1:17" s="216" customFormat="1" ht="39.950000000000003" customHeight="1" x14ac:dyDescent="0.25">
      <c r="A623" s="231"/>
      <c r="B623" s="240">
        <v>1182</v>
      </c>
      <c r="C623" s="241">
        <v>43742</v>
      </c>
      <c r="D623" s="242" t="s">
        <v>823</v>
      </c>
      <c r="E623" s="240" t="s">
        <v>25</v>
      </c>
      <c r="F623" s="240" t="s">
        <v>1222</v>
      </c>
      <c r="G623" s="240" t="s">
        <v>1411</v>
      </c>
      <c r="H623" s="240" t="s">
        <v>406</v>
      </c>
      <c r="I623" s="243" t="s">
        <v>329</v>
      </c>
      <c r="J623" s="243" t="s">
        <v>1460</v>
      </c>
      <c r="K623" s="243"/>
      <c r="L623" s="240" t="s">
        <v>219</v>
      </c>
      <c r="M623" s="244">
        <v>5</v>
      </c>
      <c r="N623" s="245">
        <v>40</v>
      </c>
      <c r="O623" s="243">
        <v>200</v>
      </c>
      <c r="P623" s="243"/>
      <c r="Q623" s="180" t="str">
        <f>IF(PEDIDOS[[#This Row],[Valor do item pago]]=PEDIDOS[[#This Row],[Total Item ]],"PAGO", "")</f>
        <v/>
      </c>
    </row>
    <row r="624" spans="1:17" s="216" customFormat="1" ht="39.950000000000003" customHeight="1" x14ac:dyDescent="0.25">
      <c r="A624" s="231"/>
      <c r="B624" s="240">
        <v>1181</v>
      </c>
      <c r="C624" s="241">
        <v>43742</v>
      </c>
      <c r="D624" s="242" t="s">
        <v>231</v>
      </c>
      <c r="E624" s="240" t="s">
        <v>381</v>
      </c>
      <c r="F624" s="240">
        <v>0</v>
      </c>
      <c r="G624" s="240">
        <v>0</v>
      </c>
      <c r="H624" s="240">
        <v>0</v>
      </c>
      <c r="I624" s="243"/>
      <c r="J624" s="243"/>
      <c r="K624" s="243" t="s">
        <v>231</v>
      </c>
      <c r="L624" s="240" t="s">
        <v>1</v>
      </c>
      <c r="M624" s="244">
        <v>2</v>
      </c>
      <c r="N624" s="245">
        <v>40</v>
      </c>
      <c r="O624" s="243">
        <v>80</v>
      </c>
      <c r="P624" s="243">
        <v>80</v>
      </c>
      <c r="Q624" s="180" t="str">
        <f>IF(PEDIDOS[[#This Row],[Valor do item pago]]=PEDIDOS[[#This Row],[Total Item ]],"PAGO", "")</f>
        <v>PAGO</v>
      </c>
    </row>
    <row r="625" spans="1:17" s="216" customFormat="1" ht="39.950000000000003" customHeight="1" x14ac:dyDescent="0.25">
      <c r="A625" s="231"/>
      <c r="B625" s="240">
        <v>1181</v>
      </c>
      <c r="C625" s="241">
        <v>43742</v>
      </c>
      <c r="D625" s="242" t="s">
        <v>231</v>
      </c>
      <c r="E625" s="240" t="s">
        <v>381</v>
      </c>
      <c r="F625" s="240">
        <v>0</v>
      </c>
      <c r="G625" s="240">
        <v>0</v>
      </c>
      <c r="H625" s="240">
        <v>0</v>
      </c>
      <c r="I625" s="243"/>
      <c r="J625" s="243"/>
      <c r="K625" s="243" t="s">
        <v>231</v>
      </c>
      <c r="L625" s="240" t="s">
        <v>0</v>
      </c>
      <c r="M625" s="244">
        <v>1</v>
      </c>
      <c r="N625" s="245">
        <v>40</v>
      </c>
      <c r="O625" s="243">
        <v>40</v>
      </c>
      <c r="P625" s="243">
        <v>40</v>
      </c>
      <c r="Q625" s="180" t="str">
        <f>IF(PEDIDOS[[#This Row],[Valor do item pago]]=PEDIDOS[[#This Row],[Total Item ]],"PAGO", "")</f>
        <v>PAGO</v>
      </c>
    </row>
    <row r="626" spans="1:17" s="216" customFormat="1" ht="39.950000000000003" customHeight="1" x14ac:dyDescent="0.25">
      <c r="A626" s="231"/>
      <c r="B626" s="240">
        <v>1180</v>
      </c>
      <c r="C626" s="241">
        <v>43742</v>
      </c>
      <c r="D626" s="242" t="s">
        <v>231</v>
      </c>
      <c r="E626" s="240" t="s">
        <v>375</v>
      </c>
      <c r="F626" s="240" t="s">
        <v>1065</v>
      </c>
      <c r="G626" s="240">
        <v>0</v>
      </c>
      <c r="H626" s="240" t="s">
        <v>40</v>
      </c>
      <c r="I626" s="243"/>
      <c r="J626" s="243"/>
      <c r="K626" s="243" t="s">
        <v>231</v>
      </c>
      <c r="L626" s="240" t="s">
        <v>1</v>
      </c>
      <c r="M626" s="244">
        <v>1</v>
      </c>
      <c r="N626" s="245">
        <v>40</v>
      </c>
      <c r="O626" s="243">
        <v>40</v>
      </c>
      <c r="P626" s="243">
        <v>40</v>
      </c>
      <c r="Q626" s="180" t="str">
        <f>IF(PEDIDOS[[#This Row],[Valor do item pago]]=PEDIDOS[[#This Row],[Total Item ]],"PAGO", "")</f>
        <v>PAGO</v>
      </c>
    </row>
    <row r="627" spans="1:17" s="216" customFormat="1" ht="39.950000000000003" customHeight="1" x14ac:dyDescent="0.25">
      <c r="A627" s="231"/>
      <c r="B627" s="240">
        <v>1179</v>
      </c>
      <c r="C627" s="241">
        <v>43742</v>
      </c>
      <c r="D627" s="242" t="s">
        <v>231</v>
      </c>
      <c r="E627" s="240" t="s">
        <v>345</v>
      </c>
      <c r="F627" s="240" t="s">
        <v>1216</v>
      </c>
      <c r="G627" s="240">
        <v>0</v>
      </c>
      <c r="H627" s="240">
        <v>0</v>
      </c>
      <c r="I627" s="243"/>
      <c r="J627" s="243"/>
      <c r="K627" s="243" t="s">
        <v>231</v>
      </c>
      <c r="L627" s="240" t="s">
        <v>219</v>
      </c>
      <c r="M627" s="244">
        <v>1</v>
      </c>
      <c r="N627" s="245">
        <v>40</v>
      </c>
      <c r="O627" s="243">
        <v>40</v>
      </c>
      <c r="P627" s="243"/>
      <c r="Q627" s="180" t="str">
        <f>IF(PEDIDOS[[#This Row],[Valor do item pago]]=PEDIDOS[[#This Row],[Total Item ]],"PAGO", "")</f>
        <v/>
      </c>
    </row>
    <row r="628" spans="1:17" s="216" customFormat="1" ht="39.950000000000003" customHeight="1" x14ac:dyDescent="0.25">
      <c r="A628" s="231"/>
      <c r="B628" s="240">
        <v>1179</v>
      </c>
      <c r="C628" s="241">
        <v>43742</v>
      </c>
      <c r="D628" s="242" t="s">
        <v>231</v>
      </c>
      <c r="E628" s="240" t="s">
        <v>345</v>
      </c>
      <c r="F628" s="240" t="s">
        <v>1216</v>
      </c>
      <c r="G628" s="240">
        <v>0</v>
      </c>
      <c r="H628" s="240">
        <v>0</v>
      </c>
      <c r="I628" s="243"/>
      <c r="J628" s="243"/>
      <c r="K628" s="243" t="s">
        <v>231</v>
      </c>
      <c r="L628" s="240" t="s">
        <v>0</v>
      </c>
      <c r="M628" s="244">
        <v>1</v>
      </c>
      <c r="N628" s="245">
        <v>40</v>
      </c>
      <c r="O628" s="243">
        <v>40</v>
      </c>
      <c r="P628" s="243"/>
      <c r="Q628" s="180" t="str">
        <f>IF(PEDIDOS[[#This Row],[Valor do item pago]]=PEDIDOS[[#This Row],[Total Item ]],"PAGO", "")</f>
        <v/>
      </c>
    </row>
    <row r="629" spans="1:17" s="216" customFormat="1" ht="39.950000000000003" customHeight="1" x14ac:dyDescent="0.25">
      <c r="A629" s="231"/>
      <c r="B629" s="240">
        <v>1178</v>
      </c>
      <c r="C629" s="241">
        <v>43742</v>
      </c>
      <c r="D629" s="242" t="s">
        <v>231</v>
      </c>
      <c r="E629" s="240" t="s">
        <v>90</v>
      </c>
      <c r="F629" s="240" t="s">
        <v>806</v>
      </c>
      <c r="G629" s="240">
        <v>0</v>
      </c>
      <c r="H629" s="240" t="s">
        <v>40</v>
      </c>
      <c r="I629" s="243"/>
      <c r="J629" s="243"/>
      <c r="K629" s="243" t="s">
        <v>90</v>
      </c>
      <c r="L629" s="240" t="s">
        <v>219</v>
      </c>
      <c r="M629" s="244">
        <v>2</v>
      </c>
      <c r="N629" s="245">
        <v>40</v>
      </c>
      <c r="O629" s="243">
        <v>80</v>
      </c>
      <c r="P629" s="243"/>
      <c r="Q629" s="180" t="str">
        <f>IF(PEDIDOS[[#This Row],[Valor do item pago]]=PEDIDOS[[#This Row],[Total Item ]],"PAGO", "")</f>
        <v/>
      </c>
    </row>
    <row r="630" spans="1:17" s="216" customFormat="1" ht="39.950000000000003" customHeight="1" x14ac:dyDescent="0.25">
      <c r="A630" s="231"/>
      <c r="B630" s="240">
        <v>1177</v>
      </c>
      <c r="C630" s="241">
        <v>43742</v>
      </c>
      <c r="D630" s="242" t="s">
        <v>231</v>
      </c>
      <c r="E630" s="240" t="s">
        <v>356</v>
      </c>
      <c r="F630" s="240" t="s">
        <v>700</v>
      </c>
      <c r="G630" s="240" t="s">
        <v>1377</v>
      </c>
      <c r="H630" s="240" t="s">
        <v>1378</v>
      </c>
      <c r="I630" s="243" t="s">
        <v>702</v>
      </c>
      <c r="J630" s="243" t="s">
        <v>1527</v>
      </c>
      <c r="K630" s="243"/>
      <c r="L630" s="240" t="s">
        <v>219</v>
      </c>
      <c r="M630" s="244">
        <v>1</v>
      </c>
      <c r="N630" s="245">
        <v>40</v>
      </c>
      <c r="O630" s="243">
        <v>40</v>
      </c>
      <c r="P630" s="243">
        <v>40</v>
      </c>
      <c r="Q630" s="180" t="str">
        <f>IF(PEDIDOS[[#This Row],[Valor do item pago]]=PEDIDOS[[#This Row],[Total Item ]],"PAGO", "")</f>
        <v>PAGO</v>
      </c>
    </row>
    <row r="631" spans="1:17" s="216" customFormat="1" ht="39.950000000000003" customHeight="1" x14ac:dyDescent="0.25">
      <c r="A631" s="231"/>
      <c r="B631" s="240">
        <v>1176</v>
      </c>
      <c r="C631" s="241">
        <v>43742</v>
      </c>
      <c r="D631" s="242" t="s">
        <v>44</v>
      </c>
      <c r="E631" s="240" t="s">
        <v>1596</v>
      </c>
      <c r="F631" s="240" t="s">
        <v>1597</v>
      </c>
      <c r="G631" s="240" t="s">
        <v>1598</v>
      </c>
      <c r="H631" s="240" t="s">
        <v>581</v>
      </c>
      <c r="I631" s="243" t="s">
        <v>1599</v>
      </c>
      <c r="J631" s="243" t="s">
        <v>887</v>
      </c>
      <c r="K631" s="243"/>
      <c r="L631" s="240" t="s">
        <v>1</v>
      </c>
      <c r="M631" s="244">
        <v>1</v>
      </c>
      <c r="N631" s="245">
        <v>40</v>
      </c>
      <c r="O631" s="243">
        <v>40</v>
      </c>
      <c r="P631" s="243"/>
      <c r="Q631" s="180" t="str">
        <f>IF(PEDIDOS[[#This Row],[Valor do item pago]]=PEDIDOS[[#This Row],[Total Item ]],"PAGO", "")</f>
        <v/>
      </c>
    </row>
    <row r="632" spans="1:17" s="216" customFormat="1" ht="39.950000000000003" customHeight="1" x14ac:dyDescent="0.25">
      <c r="A632" s="231"/>
      <c r="B632" s="240">
        <v>1175</v>
      </c>
      <c r="C632" s="241">
        <v>43742</v>
      </c>
      <c r="D632" s="242" t="s">
        <v>44</v>
      </c>
      <c r="E632" s="240" t="s">
        <v>1592</v>
      </c>
      <c r="F632" s="240" t="s">
        <v>1593</v>
      </c>
      <c r="G632" s="240" t="s">
        <v>1594</v>
      </c>
      <c r="H632" s="240" t="s">
        <v>112</v>
      </c>
      <c r="I632" s="243" t="s">
        <v>1595</v>
      </c>
      <c r="J632" s="243"/>
      <c r="K632" s="243"/>
      <c r="L632" s="240" t="s">
        <v>219</v>
      </c>
      <c r="M632" s="244">
        <v>1</v>
      </c>
      <c r="N632" s="245">
        <v>40</v>
      </c>
      <c r="O632" s="243">
        <v>40</v>
      </c>
      <c r="P632" s="243"/>
      <c r="Q632" s="180" t="str">
        <f>IF(PEDIDOS[[#This Row],[Valor do item pago]]=PEDIDOS[[#This Row],[Total Item ]],"PAGO", "")</f>
        <v/>
      </c>
    </row>
    <row r="633" spans="1:17" s="216" customFormat="1" ht="39.950000000000003" customHeight="1" x14ac:dyDescent="0.25">
      <c r="A633" s="231"/>
      <c r="B633" s="240">
        <v>1175</v>
      </c>
      <c r="C633" s="241">
        <v>43742</v>
      </c>
      <c r="D633" s="242" t="s">
        <v>44</v>
      </c>
      <c r="E633" s="240" t="s">
        <v>1592</v>
      </c>
      <c r="F633" s="240" t="s">
        <v>1593</v>
      </c>
      <c r="G633" s="240" t="s">
        <v>1594</v>
      </c>
      <c r="H633" s="240" t="s">
        <v>112</v>
      </c>
      <c r="I633" s="243" t="s">
        <v>1595</v>
      </c>
      <c r="J633" s="243"/>
      <c r="K633" s="243"/>
      <c r="L633" s="240" t="s">
        <v>1</v>
      </c>
      <c r="M633" s="244">
        <v>1</v>
      </c>
      <c r="N633" s="245">
        <v>40</v>
      </c>
      <c r="O633" s="243">
        <v>40</v>
      </c>
      <c r="P633" s="243"/>
      <c r="Q633" s="180" t="str">
        <f>IF(PEDIDOS[[#This Row],[Valor do item pago]]=PEDIDOS[[#This Row],[Total Item ]],"PAGO", "")</f>
        <v/>
      </c>
    </row>
    <row r="634" spans="1:17" s="216" customFormat="1" ht="39.950000000000003" customHeight="1" x14ac:dyDescent="0.25">
      <c r="A634" s="231"/>
      <c r="B634" s="240">
        <v>1174</v>
      </c>
      <c r="C634" s="241">
        <v>43742</v>
      </c>
      <c r="D634" s="242" t="s">
        <v>44</v>
      </c>
      <c r="E634" s="240" t="s">
        <v>374</v>
      </c>
      <c r="F634" s="240" t="s">
        <v>1246</v>
      </c>
      <c r="G634" s="240" t="s">
        <v>1422</v>
      </c>
      <c r="H634" s="240" t="s">
        <v>402</v>
      </c>
      <c r="I634" s="243" t="s">
        <v>658</v>
      </c>
      <c r="J634" s="243"/>
      <c r="K634" s="243"/>
      <c r="L634" s="240" t="s">
        <v>1</v>
      </c>
      <c r="M634" s="244">
        <v>1</v>
      </c>
      <c r="N634" s="245">
        <v>40</v>
      </c>
      <c r="O634" s="243">
        <v>40</v>
      </c>
      <c r="P634" s="243"/>
      <c r="Q634" s="180" t="str">
        <f>IF(PEDIDOS[[#This Row],[Valor do item pago]]=PEDIDOS[[#This Row],[Total Item ]],"PAGO", "")</f>
        <v/>
      </c>
    </row>
    <row r="635" spans="1:17" s="216" customFormat="1" ht="39.950000000000003" customHeight="1" x14ac:dyDescent="0.25">
      <c r="A635" s="231"/>
      <c r="B635" s="240">
        <v>1174</v>
      </c>
      <c r="C635" s="241">
        <v>43742</v>
      </c>
      <c r="D635" s="242" t="s">
        <v>44</v>
      </c>
      <c r="E635" s="240" t="s">
        <v>374</v>
      </c>
      <c r="F635" s="240" t="s">
        <v>1246</v>
      </c>
      <c r="G635" s="240" t="s">
        <v>1422</v>
      </c>
      <c r="H635" s="240" t="s">
        <v>402</v>
      </c>
      <c r="I635" s="243" t="s">
        <v>658</v>
      </c>
      <c r="J635" s="243"/>
      <c r="K635" s="243"/>
      <c r="L635" s="240" t="s">
        <v>0</v>
      </c>
      <c r="M635" s="244">
        <v>1</v>
      </c>
      <c r="N635" s="245">
        <v>40</v>
      </c>
      <c r="O635" s="243">
        <v>40</v>
      </c>
      <c r="P635" s="243"/>
      <c r="Q635" s="180" t="str">
        <f>IF(PEDIDOS[[#This Row],[Valor do item pago]]=PEDIDOS[[#This Row],[Total Item ]],"PAGO", "")</f>
        <v/>
      </c>
    </row>
    <row r="636" spans="1:17" s="216" customFormat="1" ht="39.950000000000003" customHeight="1" x14ac:dyDescent="0.25">
      <c r="A636" s="231"/>
      <c r="B636" s="240">
        <v>1173</v>
      </c>
      <c r="C636" s="241">
        <v>43742</v>
      </c>
      <c r="D636" s="242" t="s">
        <v>44</v>
      </c>
      <c r="E636" s="240" t="s">
        <v>25</v>
      </c>
      <c r="F636" s="240" t="s">
        <v>1222</v>
      </c>
      <c r="G636" s="240" t="s">
        <v>1411</v>
      </c>
      <c r="H636" s="240" t="s">
        <v>406</v>
      </c>
      <c r="I636" s="243" t="s">
        <v>329</v>
      </c>
      <c r="J636" s="243" t="s">
        <v>1591</v>
      </c>
      <c r="K636" s="243"/>
      <c r="L636" s="240" t="s">
        <v>219</v>
      </c>
      <c r="M636" s="244">
        <v>2</v>
      </c>
      <c r="N636" s="245">
        <v>40</v>
      </c>
      <c r="O636" s="243">
        <v>80</v>
      </c>
      <c r="P636" s="243"/>
      <c r="Q636" s="180" t="str">
        <f>IF(PEDIDOS[[#This Row],[Valor do item pago]]=PEDIDOS[[#This Row],[Total Item ]],"PAGO", "")</f>
        <v/>
      </c>
    </row>
    <row r="637" spans="1:17" s="216" customFormat="1" ht="39.950000000000003" customHeight="1" x14ac:dyDescent="0.25">
      <c r="A637" s="231"/>
      <c r="B637" s="240">
        <v>1172</v>
      </c>
      <c r="C637" s="241">
        <v>43742</v>
      </c>
      <c r="D637" s="242" t="s">
        <v>49</v>
      </c>
      <c r="E637" s="240" t="s">
        <v>615</v>
      </c>
      <c r="F637" s="240" t="s">
        <v>1242</v>
      </c>
      <c r="G637" s="240" t="s">
        <v>1392</v>
      </c>
      <c r="H637" s="240" t="s">
        <v>1205</v>
      </c>
      <c r="I637" s="243" t="s">
        <v>735</v>
      </c>
      <c r="J637" s="243"/>
      <c r="K637" s="243" t="s">
        <v>49</v>
      </c>
      <c r="L637" s="240" t="s">
        <v>3</v>
      </c>
      <c r="M637" s="244">
        <v>1</v>
      </c>
      <c r="N637" s="245">
        <v>40</v>
      </c>
      <c r="O637" s="243">
        <v>40</v>
      </c>
      <c r="P637" s="243">
        <v>40</v>
      </c>
      <c r="Q637" s="180" t="str">
        <f>IF(PEDIDOS[[#This Row],[Valor do item pago]]=PEDIDOS[[#This Row],[Total Item ]],"PAGO", "")</f>
        <v>PAGO</v>
      </c>
    </row>
    <row r="638" spans="1:17" s="216" customFormat="1" ht="39.950000000000003" customHeight="1" x14ac:dyDescent="0.25">
      <c r="A638" s="231"/>
      <c r="B638" s="240">
        <v>1172</v>
      </c>
      <c r="C638" s="241">
        <v>43742</v>
      </c>
      <c r="D638" s="242" t="s">
        <v>49</v>
      </c>
      <c r="E638" s="240" t="s">
        <v>615</v>
      </c>
      <c r="F638" s="240" t="s">
        <v>1242</v>
      </c>
      <c r="G638" s="240" t="s">
        <v>1392</v>
      </c>
      <c r="H638" s="240" t="s">
        <v>1205</v>
      </c>
      <c r="I638" s="243" t="s">
        <v>735</v>
      </c>
      <c r="J638" s="243"/>
      <c r="K638" s="243" t="s">
        <v>49</v>
      </c>
      <c r="L638" s="240" t="s">
        <v>1</v>
      </c>
      <c r="M638" s="244">
        <v>1</v>
      </c>
      <c r="N638" s="245">
        <v>40</v>
      </c>
      <c r="O638" s="243">
        <v>40</v>
      </c>
      <c r="P638" s="243">
        <v>40</v>
      </c>
      <c r="Q638" s="180" t="str">
        <f>IF(PEDIDOS[[#This Row],[Valor do item pago]]=PEDIDOS[[#This Row],[Total Item ]],"PAGO", "")</f>
        <v>PAGO</v>
      </c>
    </row>
    <row r="639" spans="1:17" s="216" customFormat="1" ht="39.950000000000003" customHeight="1" x14ac:dyDescent="0.25">
      <c r="A639" s="231"/>
      <c r="B639" s="240">
        <v>1172</v>
      </c>
      <c r="C639" s="241">
        <v>43742</v>
      </c>
      <c r="D639" s="242" t="s">
        <v>49</v>
      </c>
      <c r="E639" s="240" t="s">
        <v>615</v>
      </c>
      <c r="F639" s="240" t="s">
        <v>1242</v>
      </c>
      <c r="G639" s="240" t="s">
        <v>1392</v>
      </c>
      <c r="H639" s="240" t="s">
        <v>1205</v>
      </c>
      <c r="I639" s="243" t="s">
        <v>735</v>
      </c>
      <c r="J639" s="243"/>
      <c r="K639" s="243" t="s">
        <v>49</v>
      </c>
      <c r="L639" s="240" t="s">
        <v>0</v>
      </c>
      <c r="M639" s="244">
        <v>1</v>
      </c>
      <c r="N639" s="245">
        <v>40</v>
      </c>
      <c r="O639" s="243">
        <v>40</v>
      </c>
      <c r="P639" s="243">
        <v>40</v>
      </c>
      <c r="Q639" s="180" t="str">
        <f>IF(PEDIDOS[[#This Row],[Valor do item pago]]=PEDIDOS[[#This Row],[Total Item ]],"PAGO", "")</f>
        <v>PAGO</v>
      </c>
    </row>
    <row r="640" spans="1:17" s="216" customFormat="1" ht="39.950000000000003" customHeight="1" x14ac:dyDescent="0.25">
      <c r="A640" s="231"/>
      <c r="B640" s="240">
        <v>1171</v>
      </c>
      <c r="C640" s="241">
        <v>43742</v>
      </c>
      <c r="D640" s="242" t="s">
        <v>49</v>
      </c>
      <c r="E640" s="240" t="s">
        <v>614</v>
      </c>
      <c r="F640" s="240" t="s">
        <v>1220</v>
      </c>
      <c r="G640" s="240" t="s">
        <v>1363</v>
      </c>
      <c r="H640" s="240" t="s">
        <v>393</v>
      </c>
      <c r="I640" s="243" t="s">
        <v>423</v>
      </c>
      <c r="J640" s="243"/>
      <c r="K640" s="243"/>
      <c r="L640" s="240" t="s">
        <v>219</v>
      </c>
      <c r="M640" s="244">
        <v>1</v>
      </c>
      <c r="N640" s="245">
        <v>40</v>
      </c>
      <c r="O640" s="243">
        <v>40</v>
      </c>
      <c r="P640" s="243">
        <v>40</v>
      </c>
      <c r="Q640" s="180" t="str">
        <f>IF(PEDIDOS[[#This Row],[Valor do item pago]]=PEDIDOS[[#This Row],[Total Item ]],"PAGO", "")</f>
        <v>PAGO</v>
      </c>
    </row>
    <row r="641" spans="1:17" s="216" customFormat="1" ht="39.950000000000003" customHeight="1" x14ac:dyDescent="0.25">
      <c r="A641" s="231"/>
      <c r="B641" s="240">
        <v>1170</v>
      </c>
      <c r="C641" s="241">
        <v>43742</v>
      </c>
      <c r="D641" s="242" t="s">
        <v>49</v>
      </c>
      <c r="E641" s="240" t="s">
        <v>611</v>
      </c>
      <c r="F641" s="240" t="s">
        <v>1225</v>
      </c>
      <c r="G641" s="240" t="s">
        <v>1429</v>
      </c>
      <c r="H641" s="240" t="s">
        <v>390</v>
      </c>
      <c r="I641" s="243" t="s">
        <v>253</v>
      </c>
      <c r="J641" s="243"/>
      <c r="K641" s="243"/>
      <c r="L641" s="240" t="s">
        <v>3</v>
      </c>
      <c r="M641" s="244">
        <v>1</v>
      </c>
      <c r="N641" s="245">
        <v>40</v>
      </c>
      <c r="O641" s="243">
        <v>40</v>
      </c>
      <c r="P641" s="243">
        <v>40</v>
      </c>
      <c r="Q641" s="180" t="str">
        <f>IF(PEDIDOS[[#This Row],[Valor do item pago]]=PEDIDOS[[#This Row],[Total Item ]],"PAGO", "")</f>
        <v>PAGO</v>
      </c>
    </row>
    <row r="642" spans="1:17" s="216" customFormat="1" ht="39.950000000000003" customHeight="1" x14ac:dyDescent="0.25">
      <c r="A642" s="231"/>
      <c r="B642" s="240">
        <v>1169</v>
      </c>
      <c r="C642" s="241">
        <v>43742</v>
      </c>
      <c r="D642" s="242" t="s">
        <v>966</v>
      </c>
      <c r="E642" s="240" t="s">
        <v>966</v>
      </c>
      <c r="F642" s="240" t="s">
        <v>1073</v>
      </c>
      <c r="G642" s="240">
        <v>0</v>
      </c>
      <c r="H642" s="240" t="s">
        <v>40</v>
      </c>
      <c r="I642" s="243"/>
      <c r="J642" s="243"/>
      <c r="K642" s="243"/>
      <c r="L642" s="240" t="s">
        <v>3</v>
      </c>
      <c r="M642" s="244">
        <v>1</v>
      </c>
      <c r="N642" s="245">
        <v>40</v>
      </c>
      <c r="O642" s="243">
        <v>40</v>
      </c>
      <c r="P642" s="243"/>
      <c r="Q642" s="180" t="str">
        <f>IF(PEDIDOS[[#This Row],[Valor do item pago]]=PEDIDOS[[#This Row],[Total Item ]],"PAGO", "")</f>
        <v/>
      </c>
    </row>
    <row r="643" spans="1:17" s="216" customFormat="1" ht="39.950000000000003" customHeight="1" x14ac:dyDescent="0.25">
      <c r="A643" s="231"/>
      <c r="B643" s="240">
        <v>1169</v>
      </c>
      <c r="C643" s="241">
        <v>43742</v>
      </c>
      <c r="D643" s="242" t="s">
        <v>966</v>
      </c>
      <c r="E643" s="240" t="s">
        <v>966</v>
      </c>
      <c r="F643" s="240" t="s">
        <v>1073</v>
      </c>
      <c r="G643" s="240">
        <v>0</v>
      </c>
      <c r="H643" s="240" t="s">
        <v>40</v>
      </c>
      <c r="I643" s="243"/>
      <c r="J643" s="243"/>
      <c r="K643" s="243"/>
      <c r="L643" s="240" t="s">
        <v>219</v>
      </c>
      <c r="M643" s="244">
        <v>1</v>
      </c>
      <c r="N643" s="245">
        <v>40</v>
      </c>
      <c r="O643" s="243">
        <v>40</v>
      </c>
      <c r="P643" s="243"/>
      <c r="Q643" s="180" t="str">
        <f>IF(PEDIDOS[[#This Row],[Valor do item pago]]=PEDIDOS[[#This Row],[Total Item ]],"PAGO", "")</f>
        <v/>
      </c>
    </row>
    <row r="644" spans="1:17" s="216" customFormat="1" ht="39.950000000000003" customHeight="1" x14ac:dyDescent="0.25">
      <c r="A644" s="231"/>
      <c r="B644" s="240">
        <v>1169</v>
      </c>
      <c r="C644" s="241">
        <v>43742</v>
      </c>
      <c r="D644" s="242" t="s">
        <v>966</v>
      </c>
      <c r="E644" s="240" t="s">
        <v>966</v>
      </c>
      <c r="F644" s="240" t="s">
        <v>1073</v>
      </c>
      <c r="G644" s="240">
        <v>0</v>
      </c>
      <c r="H644" s="240" t="s">
        <v>40</v>
      </c>
      <c r="I644" s="243"/>
      <c r="J644" s="243"/>
      <c r="K644" s="243"/>
      <c r="L644" s="240" t="s">
        <v>1</v>
      </c>
      <c r="M644" s="244">
        <v>1</v>
      </c>
      <c r="N644" s="245">
        <v>40</v>
      </c>
      <c r="O644" s="243">
        <v>40</v>
      </c>
      <c r="P644" s="243"/>
      <c r="Q644" s="180" t="str">
        <f>IF(PEDIDOS[[#This Row],[Valor do item pago]]=PEDIDOS[[#This Row],[Total Item ]],"PAGO", "")</f>
        <v/>
      </c>
    </row>
    <row r="645" spans="1:17" s="216" customFormat="1" ht="39.950000000000003" customHeight="1" x14ac:dyDescent="0.25">
      <c r="A645" s="231"/>
      <c r="B645" s="240">
        <v>1169</v>
      </c>
      <c r="C645" s="241">
        <v>43742</v>
      </c>
      <c r="D645" s="242" t="s">
        <v>966</v>
      </c>
      <c r="E645" s="240" t="s">
        <v>966</v>
      </c>
      <c r="F645" s="240" t="s">
        <v>1073</v>
      </c>
      <c r="G645" s="240">
        <v>0</v>
      </c>
      <c r="H645" s="240" t="s">
        <v>40</v>
      </c>
      <c r="I645" s="243"/>
      <c r="J645" s="243"/>
      <c r="K645" s="243"/>
      <c r="L645" s="240" t="s">
        <v>0</v>
      </c>
      <c r="M645" s="244">
        <v>1</v>
      </c>
      <c r="N645" s="245">
        <v>40</v>
      </c>
      <c r="O645" s="243">
        <v>40</v>
      </c>
      <c r="P645" s="243"/>
      <c r="Q645" s="180" t="str">
        <f>IF(PEDIDOS[[#This Row],[Valor do item pago]]=PEDIDOS[[#This Row],[Total Item ]],"PAGO", "")</f>
        <v/>
      </c>
    </row>
    <row r="646" spans="1:17" s="216" customFormat="1" ht="39.950000000000003" customHeight="1" x14ac:dyDescent="0.25">
      <c r="A646" s="231"/>
      <c r="B646" s="240">
        <v>1168</v>
      </c>
      <c r="C646" s="241">
        <v>43742</v>
      </c>
      <c r="D646" s="242" t="s">
        <v>24</v>
      </c>
      <c r="E646" s="240" t="s">
        <v>25</v>
      </c>
      <c r="F646" s="240" t="s">
        <v>1222</v>
      </c>
      <c r="G646" s="240" t="s">
        <v>1411</v>
      </c>
      <c r="H646" s="240" t="s">
        <v>406</v>
      </c>
      <c r="I646" s="243" t="s">
        <v>329</v>
      </c>
      <c r="J646" s="243" t="s">
        <v>24</v>
      </c>
      <c r="K646" s="243"/>
      <c r="L646" s="240" t="s">
        <v>219</v>
      </c>
      <c r="M646" s="244">
        <v>1</v>
      </c>
      <c r="N646" s="245">
        <v>40</v>
      </c>
      <c r="O646" s="243">
        <v>40</v>
      </c>
      <c r="P646" s="243"/>
      <c r="Q646" s="180" t="str">
        <f>IF(PEDIDOS[[#This Row],[Valor do item pago]]=PEDIDOS[[#This Row],[Total Item ]],"PAGO", "")</f>
        <v/>
      </c>
    </row>
    <row r="647" spans="1:17" s="216" customFormat="1" ht="39.950000000000003" customHeight="1" x14ac:dyDescent="0.25">
      <c r="A647" s="231"/>
      <c r="B647" s="240">
        <v>1167</v>
      </c>
      <c r="C647" s="241">
        <v>43742</v>
      </c>
      <c r="D647" s="242" t="s">
        <v>24</v>
      </c>
      <c r="E647" s="240" t="s">
        <v>23</v>
      </c>
      <c r="F647" s="240">
        <v>0</v>
      </c>
      <c r="G647" s="240">
        <v>0</v>
      </c>
      <c r="H647" s="240">
        <v>0</v>
      </c>
      <c r="I647" s="243"/>
      <c r="J647" s="243"/>
      <c r="K647" s="243" t="s">
        <v>40</v>
      </c>
      <c r="L647" s="240" t="s">
        <v>219</v>
      </c>
      <c r="M647" s="244">
        <v>2</v>
      </c>
      <c r="N647" s="245">
        <v>40</v>
      </c>
      <c r="O647" s="243">
        <v>80</v>
      </c>
      <c r="P647" s="243"/>
      <c r="Q647" s="180" t="str">
        <f>IF(PEDIDOS[[#This Row],[Valor do item pago]]=PEDIDOS[[#This Row],[Total Item ]],"PAGO", "")</f>
        <v/>
      </c>
    </row>
    <row r="648" spans="1:17" s="216" customFormat="1" ht="39.950000000000003" customHeight="1" x14ac:dyDescent="0.25">
      <c r="A648" s="231"/>
      <c r="B648" s="240">
        <v>1166</v>
      </c>
      <c r="C648" s="241">
        <v>43742</v>
      </c>
      <c r="D648" s="242" t="s">
        <v>229</v>
      </c>
      <c r="E648" s="240"/>
      <c r="F648" s="240" t="e">
        <v>#N/A</v>
      </c>
      <c r="G648" s="240" t="e">
        <v>#N/A</v>
      </c>
      <c r="H648" s="240" t="e">
        <v>#N/A</v>
      </c>
      <c r="I648" s="243"/>
      <c r="J648" s="243"/>
      <c r="K648" s="243"/>
      <c r="L648" s="240" t="s">
        <v>3</v>
      </c>
      <c r="M648" s="244">
        <v>2</v>
      </c>
      <c r="N648" s="245">
        <v>40</v>
      </c>
      <c r="O648" s="243">
        <v>80</v>
      </c>
      <c r="P648" s="243"/>
      <c r="Q648" s="180" t="str">
        <f>IF(PEDIDOS[[#This Row],[Valor do item pago]]=PEDIDOS[[#This Row],[Total Item ]],"PAGO", "")</f>
        <v/>
      </c>
    </row>
    <row r="649" spans="1:17" s="216" customFormat="1" ht="39.950000000000003" customHeight="1" x14ac:dyDescent="0.25">
      <c r="A649" s="231"/>
      <c r="B649" s="240">
        <v>1165</v>
      </c>
      <c r="C649" s="241">
        <v>43742</v>
      </c>
      <c r="D649" s="242" t="s">
        <v>916</v>
      </c>
      <c r="E649" s="240" t="s">
        <v>732</v>
      </c>
      <c r="F649" s="240" t="s">
        <v>733</v>
      </c>
      <c r="G649" s="240">
        <v>0</v>
      </c>
      <c r="H649" s="240" t="s">
        <v>40</v>
      </c>
      <c r="I649" s="243"/>
      <c r="J649" s="243"/>
      <c r="K649" s="243"/>
      <c r="L649" s="240" t="s">
        <v>219</v>
      </c>
      <c r="M649" s="244">
        <v>1</v>
      </c>
      <c r="N649" s="245">
        <v>40</v>
      </c>
      <c r="O649" s="243">
        <v>40</v>
      </c>
      <c r="P649" s="243"/>
      <c r="Q649" s="180" t="str">
        <f>IF(PEDIDOS[[#This Row],[Valor do item pago]]=PEDIDOS[[#This Row],[Total Item ]],"PAGO", "")</f>
        <v/>
      </c>
    </row>
    <row r="650" spans="1:17" s="216" customFormat="1" ht="39.950000000000003" customHeight="1" x14ac:dyDescent="0.25">
      <c r="A650" s="231"/>
      <c r="B650" s="240">
        <v>1165</v>
      </c>
      <c r="C650" s="241">
        <v>43742</v>
      </c>
      <c r="D650" s="242" t="s">
        <v>916</v>
      </c>
      <c r="E650" s="240" t="s">
        <v>732</v>
      </c>
      <c r="F650" s="240" t="s">
        <v>733</v>
      </c>
      <c r="G650" s="240">
        <v>0</v>
      </c>
      <c r="H650" s="240" t="s">
        <v>40</v>
      </c>
      <c r="I650" s="243"/>
      <c r="J650" s="243"/>
      <c r="K650" s="243"/>
      <c r="L650" s="240" t="s">
        <v>1</v>
      </c>
      <c r="M650" s="244">
        <v>1</v>
      </c>
      <c r="N650" s="245">
        <v>40</v>
      </c>
      <c r="O650" s="243">
        <v>40</v>
      </c>
      <c r="P650" s="243"/>
      <c r="Q650" s="180" t="str">
        <f>IF(PEDIDOS[[#This Row],[Valor do item pago]]=PEDIDOS[[#This Row],[Total Item ]],"PAGO", "")</f>
        <v/>
      </c>
    </row>
    <row r="651" spans="1:17" s="216" customFormat="1" ht="39.950000000000003" customHeight="1" x14ac:dyDescent="0.25">
      <c r="A651" s="231"/>
      <c r="B651" s="240">
        <v>1165</v>
      </c>
      <c r="C651" s="241">
        <v>43742</v>
      </c>
      <c r="D651" s="242" t="s">
        <v>916</v>
      </c>
      <c r="E651" s="240" t="s">
        <v>732</v>
      </c>
      <c r="F651" s="240" t="s">
        <v>733</v>
      </c>
      <c r="G651" s="240">
        <v>0</v>
      </c>
      <c r="H651" s="240" t="s">
        <v>40</v>
      </c>
      <c r="I651" s="243"/>
      <c r="J651" s="243"/>
      <c r="K651" s="243"/>
      <c r="L651" s="240" t="s">
        <v>0</v>
      </c>
      <c r="M651" s="244">
        <v>1</v>
      </c>
      <c r="N651" s="245">
        <v>40</v>
      </c>
      <c r="O651" s="243">
        <v>40</v>
      </c>
      <c r="P651" s="243"/>
      <c r="Q651" s="180" t="str">
        <f>IF(PEDIDOS[[#This Row],[Valor do item pago]]=PEDIDOS[[#This Row],[Total Item ]],"PAGO", "")</f>
        <v/>
      </c>
    </row>
    <row r="652" spans="1:17" s="216" customFormat="1" ht="39.950000000000003" customHeight="1" x14ac:dyDescent="0.25">
      <c r="A652" s="231"/>
      <c r="B652" s="240">
        <v>1164</v>
      </c>
      <c r="C652" s="241">
        <v>43742</v>
      </c>
      <c r="D652" s="242" t="s">
        <v>40</v>
      </c>
      <c r="E652" s="240" t="s">
        <v>1588</v>
      </c>
      <c r="F652" s="240" t="s">
        <v>1589</v>
      </c>
      <c r="G652" s="240" t="s">
        <v>1590</v>
      </c>
      <c r="H652" s="240" t="s">
        <v>651</v>
      </c>
      <c r="I652" s="243" t="s">
        <v>834</v>
      </c>
      <c r="J652" s="243"/>
      <c r="K652" s="243"/>
      <c r="L652" s="240" t="s">
        <v>219</v>
      </c>
      <c r="M652" s="244">
        <v>1</v>
      </c>
      <c r="N652" s="245">
        <v>40</v>
      </c>
      <c r="O652" s="243">
        <v>40</v>
      </c>
      <c r="P652" s="243">
        <v>40</v>
      </c>
      <c r="Q652" s="180" t="str">
        <f>IF(PEDIDOS[[#This Row],[Valor do item pago]]=PEDIDOS[[#This Row],[Total Item ]],"PAGO", "")</f>
        <v>PAGO</v>
      </c>
    </row>
    <row r="653" spans="1:17" s="216" customFormat="1" ht="39.950000000000003" customHeight="1" x14ac:dyDescent="0.25">
      <c r="A653" s="231"/>
      <c r="B653" s="240">
        <v>1164</v>
      </c>
      <c r="C653" s="241">
        <v>43742</v>
      </c>
      <c r="D653" s="242" t="s">
        <v>40</v>
      </c>
      <c r="E653" s="240" t="s">
        <v>1588</v>
      </c>
      <c r="F653" s="240" t="s">
        <v>1589</v>
      </c>
      <c r="G653" s="240" t="s">
        <v>1590</v>
      </c>
      <c r="H653" s="240" t="s">
        <v>651</v>
      </c>
      <c r="I653" s="243" t="s">
        <v>834</v>
      </c>
      <c r="J653" s="243"/>
      <c r="K653" s="243"/>
      <c r="L653" s="240" t="s">
        <v>0</v>
      </c>
      <c r="M653" s="244">
        <v>1</v>
      </c>
      <c r="N653" s="245">
        <v>40</v>
      </c>
      <c r="O653" s="243">
        <v>40</v>
      </c>
      <c r="P653" s="243">
        <v>40</v>
      </c>
      <c r="Q653" s="180" t="str">
        <f>IF(PEDIDOS[[#This Row],[Valor do item pago]]=PEDIDOS[[#This Row],[Total Item ]],"PAGO", "")</f>
        <v>PAGO</v>
      </c>
    </row>
    <row r="654" spans="1:17" s="216" customFormat="1" ht="39.950000000000003" customHeight="1" x14ac:dyDescent="0.25">
      <c r="A654" s="231"/>
      <c r="B654" s="240">
        <v>1163</v>
      </c>
      <c r="C654" s="241">
        <v>43742</v>
      </c>
      <c r="D654" s="242" t="s">
        <v>40</v>
      </c>
      <c r="E654" s="240" t="s">
        <v>1584</v>
      </c>
      <c r="F654" s="240" t="s">
        <v>1585</v>
      </c>
      <c r="G654" s="240" t="s">
        <v>1586</v>
      </c>
      <c r="H654" s="240" t="s">
        <v>651</v>
      </c>
      <c r="I654" s="243" t="s">
        <v>1587</v>
      </c>
      <c r="J654" s="243"/>
      <c r="K654" s="243"/>
      <c r="L654" s="240" t="s">
        <v>219</v>
      </c>
      <c r="M654" s="244">
        <v>1</v>
      </c>
      <c r="N654" s="245">
        <v>40</v>
      </c>
      <c r="O654" s="243">
        <v>40</v>
      </c>
      <c r="P654" s="243"/>
      <c r="Q654" s="180" t="str">
        <f>IF(PEDIDOS[[#This Row],[Valor do item pago]]=PEDIDOS[[#This Row],[Total Item ]],"PAGO", "")</f>
        <v/>
      </c>
    </row>
    <row r="655" spans="1:17" s="216" customFormat="1" ht="39.950000000000003" customHeight="1" x14ac:dyDescent="0.25">
      <c r="A655" s="231"/>
      <c r="B655" s="240">
        <v>1162</v>
      </c>
      <c r="C655" s="241">
        <v>43742</v>
      </c>
      <c r="D655" s="242" t="s">
        <v>40</v>
      </c>
      <c r="E655" s="240" t="s">
        <v>1583</v>
      </c>
      <c r="F655" s="240">
        <v>0</v>
      </c>
      <c r="G655" s="240" t="s">
        <v>61</v>
      </c>
      <c r="H655" s="240" t="s">
        <v>40</v>
      </c>
      <c r="I655" s="243"/>
      <c r="J655" s="243"/>
      <c r="K655" s="243"/>
      <c r="L655" s="240" t="s">
        <v>219</v>
      </c>
      <c r="M655" s="244">
        <v>3</v>
      </c>
      <c r="N655" s="245">
        <v>40</v>
      </c>
      <c r="O655" s="243">
        <v>120</v>
      </c>
      <c r="P655" s="243"/>
      <c r="Q655" s="180" t="str">
        <f>IF(PEDIDOS[[#This Row],[Valor do item pago]]=PEDIDOS[[#This Row],[Total Item ]],"PAGO", "")</f>
        <v/>
      </c>
    </row>
    <row r="656" spans="1:17" s="216" customFormat="1" ht="39.950000000000003" customHeight="1" x14ac:dyDescent="0.25">
      <c r="A656" s="231"/>
      <c r="B656" s="240">
        <v>1161</v>
      </c>
      <c r="C656" s="241">
        <v>43742</v>
      </c>
      <c r="D656" s="242" t="s">
        <v>40</v>
      </c>
      <c r="E656" s="240" t="s">
        <v>630</v>
      </c>
      <c r="F656" s="240" t="s">
        <v>1245</v>
      </c>
      <c r="G656" s="240" t="s">
        <v>1392</v>
      </c>
      <c r="H656" s="240" t="s">
        <v>1205</v>
      </c>
      <c r="I656" s="243" t="s">
        <v>735</v>
      </c>
      <c r="J656" s="243"/>
      <c r="K656" s="243"/>
      <c r="L656" s="240" t="s">
        <v>1</v>
      </c>
      <c r="M656" s="244">
        <v>1</v>
      </c>
      <c r="N656" s="245">
        <v>40</v>
      </c>
      <c r="O656" s="243">
        <v>40</v>
      </c>
      <c r="P656" s="243">
        <v>40</v>
      </c>
      <c r="Q656" s="180" t="str">
        <f>IF(PEDIDOS[[#This Row],[Valor do item pago]]=PEDIDOS[[#This Row],[Total Item ]],"PAGO", "")</f>
        <v>PAGO</v>
      </c>
    </row>
    <row r="657" spans="1:17" s="216" customFormat="1" ht="39.950000000000003" customHeight="1" x14ac:dyDescent="0.25">
      <c r="A657" s="231"/>
      <c r="B657" s="240">
        <v>1161</v>
      </c>
      <c r="C657" s="241">
        <v>43742</v>
      </c>
      <c r="D657" s="242" t="s">
        <v>40</v>
      </c>
      <c r="E657" s="240" t="s">
        <v>630</v>
      </c>
      <c r="F657" s="240" t="s">
        <v>1245</v>
      </c>
      <c r="G657" s="240" t="s">
        <v>1392</v>
      </c>
      <c r="H657" s="240" t="s">
        <v>1205</v>
      </c>
      <c r="I657" s="243" t="s">
        <v>735</v>
      </c>
      <c r="J657" s="243"/>
      <c r="K657" s="243"/>
      <c r="L657" s="240" t="s">
        <v>0</v>
      </c>
      <c r="M657" s="244">
        <v>1</v>
      </c>
      <c r="N657" s="245">
        <v>40</v>
      </c>
      <c r="O657" s="243">
        <v>40</v>
      </c>
      <c r="P657" s="243">
        <v>40</v>
      </c>
      <c r="Q657" s="180" t="str">
        <f>IF(PEDIDOS[[#This Row],[Valor do item pago]]=PEDIDOS[[#This Row],[Total Item ]],"PAGO", "")</f>
        <v>PAGO</v>
      </c>
    </row>
    <row r="658" spans="1:17" s="216" customFormat="1" ht="39.950000000000003" customHeight="1" x14ac:dyDescent="0.25">
      <c r="A658" s="231"/>
      <c r="B658" s="240">
        <v>1160</v>
      </c>
      <c r="C658" s="241">
        <v>43742</v>
      </c>
      <c r="D658" s="242" t="s">
        <v>40</v>
      </c>
      <c r="E658" s="240" t="s">
        <v>203</v>
      </c>
      <c r="F658" s="240" t="s">
        <v>1238</v>
      </c>
      <c r="G658" s="240" t="s">
        <v>41</v>
      </c>
      <c r="H658" s="240" t="s">
        <v>441</v>
      </c>
      <c r="I658" s="243" t="s">
        <v>442</v>
      </c>
      <c r="J658" s="243"/>
      <c r="K658" s="243" t="s">
        <v>1554</v>
      </c>
      <c r="L658" s="240" t="s">
        <v>1</v>
      </c>
      <c r="M658" s="244">
        <v>1</v>
      </c>
      <c r="N658" s="245">
        <v>40</v>
      </c>
      <c r="O658" s="243">
        <v>40</v>
      </c>
      <c r="P658" s="243"/>
      <c r="Q658" s="180" t="str">
        <f>IF(PEDIDOS[[#This Row],[Valor do item pago]]=PEDIDOS[[#This Row],[Total Item ]],"PAGO", "")</f>
        <v/>
      </c>
    </row>
    <row r="659" spans="1:17" s="216" customFormat="1" ht="39.950000000000003" customHeight="1" x14ac:dyDescent="0.25">
      <c r="A659" s="231"/>
      <c r="B659" s="240">
        <v>1160</v>
      </c>
      <c r="C659" s="241">
        <v>43742</v>
      </c>
      <c r="D659" s="242" t="s">
        <v>40</v>
      </c>
      <c r="E659" s="240" t="s">
        <v>203</v>
      </c>
      <c r="F659" s="240" t="s">
        <v>1238</v>
      </c>
      <c r="G659" s="240" t="s">
        <v>41</v>
      </c>
      <c r="H659" s="240" t="s">
        <v>441</v>
      </c>
      <c r="I659" s="243" t="s">
        <v>442</v>
      </c>
      <c r="J659" s="243"/>
      <c r="K659" s="243" t="s">
        <v>1554</v>
      </c>
      <c r="L659" s="240" t="s">
        <v>0</v>
      </c>
      <c r="M659" s="244">
        <v>1</v>
      </c>
      <c r="N659" s="245">
        <v>40</v>
      </c>
      <c r="O659" s="243">
        <v>40</v>
      </c>
      <c r="P659" s="243"/>
      <c r="Q659" s="180" t="str">
        <f>IF(PEDIDOS[[#This Row],[Valor do item pago]]=PEDIDOS[[#This Row],[Total Item ]],"PAGO", "")</f>
        <v/>
      </c>
    </row>
    <row r="660" spans="1:17" s="216" customFormat="1" ht="39.950000000000003" customHeight="1" x14ac:dyDescent="0.25">
      <c r="A660" s="231"/>
      <c r="B660" s="240">
        <v>1159</v>
      </c>
      <c r="C660" s="241">
        <v>43742</v>
      </c>
      <c r="D660" s="242" t="s">
        <v>40</v>
      </c>
      <c r="E660" s="240" t="s">
        <v>13</v>
      </c>
      <c r="F660" s="240" t="s">
        <v>1491</v>
      </c>
      <c r="G660" s="240" t="s">
        <v>1492</v>
      </c>
      <c r="H660" s="240" t="s">
        <v>1197</v>
      </c>
      <c r="I660" s="243" t="s">
        <v>1493</v>
      </c>
      <c r="J660" s="243"/>
      <c r="K660" s="243" t="s">
        <v>1554</v>
      </c>
      <c r="L660" s="240" t="s">
        <v>3</v>
      </c>
      <c r="M660" s="244">
        <v>1</v>
      </c>
      <c r="N660" s="245">
        <v>40</v>
      </c>
      <c r="O660" s="243">
        <v>40</v>
      </c>
      <c r="P660" s="243"/>
      <c r="Q660" s="180" t="str">
        <f>IF(PEDIDOS[[#This Row],[Valor do item pago]]=PEDIDOS[[#This Row],[Total Item ]],"PAGO", "")</f>
        <v/>
      </c>
    </row>
    <row r="661" spans="1:17" s="216" customFormat="1" ht="39.950000000000003" customHeight="1" x14ac:dyDescent="0.25">
      <c r="A661" s="231"/>
      <c r="B661" s="240">
        <v>1159</v>
      </c>
      <c r="C661" s="241">
        <v>43742</v>
      </c>
      <c r="D661" s="242" t="s">
        <v>40</v>
      </c>
      <c r="E661" s="240" t="s">
        <v>13</v>
      </c>
      <c r="F661" s="240" t="s">
        <v>1491</v>
      </c>
      <c r="G661" s="240" t="s">
        <v>1492</v>
      </c>
      <c r="H661" s="240" t="s">
        <v>1197</v>
      </c>
      <c r="I661" s="243" t="s">
        <v>1493</v>
      </c>
      <c r="J661" s="243"/>
      <c r="K661" s="243" t="s">
        <v>1554</v>
      </c>
      <c r="L661" s="240" t="s">
        <v>219</v>
      </c>
      <c r="M661" s="244">
        <v>1</v>
      </c>
      <c r="N661" s="245">
        <v>40</v>
      </c>
      <c r="O661" s="243">
        <v>40</v>
      </c>
      <c r="P661" s="243"/>
      <c r="Q661" s="180" t="str">
        <f>IF(PEDIDOS[[#This Row],[Valor do item pago]]=PEDIDOS[[#This Row],[Total Item ]],"PAGO", "")</f>
        <v/>
      </c>
    </row>
    <row r="662" spans="1:17" s="216" customFormat="1" ht="39.950000000000003" customHeight="1" x14ac:dyDescent="0.25">
      <c r="A662" s="231"/>
      <c r="B662" s="240">
        <v>1158</v>
      </c>
      <c r="C662" s="241">
        <v>43742</v>
      </c>
      <c r="D662" s="242" t="s">
        <v>40</v>
      </c>
      <c r="E662" s="240" t="s">
        <v>1255</v>
      </c>
      <c r="F662" s="240" t="s">
        <v>1210</v>
      </c>
      <c r="G662" s="240">
        <v>0</v>
      </c>
      <c r="H662" s="240">
        <v>0</v>
      </c>
      <c r="I662" s="243"/>
      <c r="J662" s="243"/>
      <c r="K662" s="243"/>
      <c r="L662" s="240" t="s">
        <v>3</v>
      </c>
      <c r="M662" s="244">
        <v>2</v>
      </c>
      <c r="N662" s="245">
        <v>40</v>
      </c>
      <c r="O662" s="243">
        <v>80</v>
      </c>
      <c r="P662" s="243"/>
      <c r="Q662" s="180" t="str">
        <f>IF(PEDIDOS[[#This Row],[Valor do item pago]]=PEDIDOS[[#This Row],[Total Item ]],"PAGO", "")</f>
        <v/>
      </c>
    </row>
    <row r="663" spans="1:17" s="216" customFormat="1" ht="39.950000000000003" customHeight="1" x14ac:dyDescent="0.25">
      <c r="A663" s="231"/>
      <c r="B663" s="240">
        <v>1157</v>
      </c>
      <c r="C663" s="241">
        <v>43742</v>
      </c>
      <c r="D663" s="242" t="s">
        <v>477</v>
      </c>
      <c r="E663" s="240" t="s">
        <v>1551</v>
      </c>
      <c r="F663" s="240">
        <v>0</v>
      </c>
      <c r="G663" s="240">
        <v>0</v>
      </c>
      <c r="H663" s="240">
        <v>0</v>
      </c>
      <c r="I663" s="243"/>
      <c r="J663" s="243"/>
      <c r="K663" s="243" t="s">
        <v>477</v>
      </c>
      <c r="L663" s="240" t="s">
        <v>1</v>
      </c>
      <c r="M663" s="244">
        <v>1</v>
      </c>
      <c r="N663" s="245">
        <v>40</v>
      </c>
      <c r="O663" s="243">
        <v>40</v>
      </c>
      <c r="P663" s="243"/>
      <c r="Q663" s="180" t="str">
        <f>IF(PEDIDOS[[#This Row],[Valor do item pago]]=PEDIDOS[[#This Row],[Total Item ]],"PAGO", "")</f>
        <v/>
      </c>
    </row>
    <row r="664" spans="1:17" s="216" customFormat="1" ht="39.950000000000003" customHeight="1" x14ac:dyDescent="0.25">
      <c r="A664" s="231"/>
      <c r="B664" s="240">
        <v>1156</v>
      </c>
      <c r="C664" s="241">
        <v>43742</v>
      </c>
      <c r="D664" s="242" t="s">
        <v>477</v>
      </c>
      <c r="E664" s="240" t="s">
        <v>1579</v>
      </c>
      <c r="F664" s="240" t="s">
        <v>1580</v>
      </c>
      <c r="G664" s="240" t="s">
        <v>1581</v>
      </c>
      <c r="H664" s="240" t="s">
        <v>532</v>
      </c>
      <c r="I664" s="243" t="s">
        <v>1582</v>
      </c>
      <c r="J664" s="243"/>
      <c r="K664" s="243"/>
      <c r="L664" s="240" t="s">
        <v>219</v>
      </c>
      <c r="M664" s="244">
        <v>1</v>
      </c>
      <c r="N664" s="245">
        <v>40</v>
      </c>
      <c r="O664" s="243">
        <v>40</v>
      </c>
      <c r="P664" s="243"/>
      <c r="Q664" s="180" t="str">
        <f>IF(PEDIDOS[[#This Row],[Valor do item pago]]=PEDIDOS[[#This Row],[Total Item ]],"PAGO", "")</f>
        <v/>
      </c>
    </row>
    <row r="665" spans="1:17" s="216" customFormat="1" ht="39.950000000000003" customHeight="1" x14ac:dyDescent="0.25">
      <c r="A665" s="231"/>
      <c r="B665" s="240">
        <v>1155</v>
      </c>
      <c r="C665" s="241">
        <v>43742</v>
      </c>
      <c r="D665" s="242" t="s">
        <v>477</v>
      </c>
      <c r="E665" s="240" t="s">
        <v>1471</v>
      </c>
      <c r="F665" s="240" t="s">
        <v>1477</v>
      </c>
      <c r="G665" s="240" t="s">
        <v>1481</v>
      </c>
      <c r="H665" s="240" t="s">
        <v>651</v>
      </c>
      <c r="I665" s="243" t="s">
        <v>1486</v>
      </c>
      <c r="J665" s="243"/>
      <c r="K665" s="243"/>
      <c r="L665" s="240" t="s">
        <v>219</v>
      </c>
      <c r="M665" s="244">
        <v>1</v>
      </c>
      <c r="N665" s="245">
        <v>40</v>
      </c>
      <c r="O665" s="243">
        <v>40</v>
      </c>
      <c r="P665" s="243">
        <v>40</v>
      </c>
      <c r="Q665" s="180" t="str">
        <f>IF(PEDIDOS[[#This Row],[Valor do item pago]]=PEDIDOS[[#This Row],[Total Item ]],"PAGO", "")</f>
        <v>PAGO</v>
      </c>
    </row>
    <row r="666" spans="1:17" s="216" customFormat="1" ht="39.950000000000003" customHeight="1" x14ac:dyDescent="0.25">
      <c r="A666" s="231"/>
      <c r="B666" s="240">
        <v>1154</v>
      </c>
      <c r="C666" s="241">
        <v>43742</v>
      </c>
      <c r="D666" s="242" t="s">
        <v>477</v>
      </c>
      <c r="E666" s="240" t="s">
        <v>1555</v>
      </c>
      <c r="F666" s="240" t="s">
        <v>1556</v>
      </c>
      <c r="G666" s="240" t="s">
        <v>1557</v>
      </c>
      <c r="H666" s="240" t="s">
        <v>395</v>
      </c>
      <c r="I666" s="243" t="s">
        <v>1558</v>
      </c>
      <c r="J666" s="243" t="s">
        <v>1553</v>
      </c>
      <c r="K666" s="243"/>
      <c r="L666" s="240" t="s">
        <v>219</v>
      </c>
      <c r="M666" s="244">
        <v>1</v>
      </c>
      <c r="N666" s="245">
        <v>40</v>
      </c>
      <c r="O666" s="243">
        <v>40</v>
      </c>
      <c r="P666" s="243">
        <v>40</v>
      </c>
      <c r="Q666" s="180" t="str">
        <f>IF(PEDIDOS[[#This Row],[Valor do item pago]]=PEDIDOS[[#This Row],[Total Item ]],"PAGO", "")</f>
        <v>PAGO</v>
      </c>
    </row>
    <row r="667" spans="1:17" s="216" customFormat="1" ht="39.950000000000003" customHeight="1" x14ac:dyDescent="0.25">
      <c r="A667" s="231"/>
      <c r="B667" s="240">
        <v>1153</v>
      </c>
      <c r="C667" s="241">
        <v>43742</v>
      </c>
      <c r="D667" s="242" t="s">
        <v>477</v>
      </c>
      <c r="E667" s="240" t="s">
        <v>547</v>
      </c>
      <c r="F667" s="240" t="s">
        <v>521</v>
      </c>
      <c r="G667" s="240" t="s">
        <v>1317</v>
      </c>
      <c r="H667" s="240" t="s">
        <v>1205</v>
      </c>
      <c r="I667" s="243" t="s">
        <v>663</v>
      </c>
      <c r="J667" s="243"/>
      <c r="K667" s="243"/>
      <c r="L667" s="240" t="s">
        <v>235</v>
      </c>
      <c r="M667" s="244">
        <v>1</v>
      </c>
      <c r="N667" s="245">
        <v>40</v>
      </c>
      <c r="O667" s="243">
        <v>40</v>
      </c>
      <c r="P667" s="243"/>
      <c r="Q667" s="180" t="str">
        <f>IF(PEDIDOS[[#This Row],[Valor do item pago]]=PEDIDOS[[#This Row],[Total Item ]],"PAGO", "")</f>
        <v/>
      </c>
    </row>
    <row r="668" spans="1:17" s="216" customFormat="1" ht="39.950000000000003" customHeight="1" x14ac:dyDescent="0.25">
      <c r="A668" s="231"/>
      <c r="B668" s="240">
        <v>1152</v>
      </c>
      <c r="C668" s="241">
        <v>43742</v>
      </c>
      <c r="D668" s="242" t="s">
        <v>477</v>
      </c>
      <c r="E668" s="240" t="s">
        <v>1188</v>
      </c>
      <c r="F668" s="240" t="s">
        <v>1241</v>
      </c>
      <c r="G668" s="240" t="s">
        <v>1350</v>
      </c>
      <c r="H668" s="240" t="s">
        <v>401</v>
      </c>
      <c r="I668" s="243" t="s">
        <v>445</v>
      </c>
      <c r="J668" s="243"/>
      <c r="K668" s="243"/>
      <c r="L668" s="240" t="s">
        <v>0</v>
      </c>
      <c r="M668" s="244">
        <v>1</v>
      </c>
      <c r="N668" s="245">
        <v>40</v>
      </c>
      <c r="O668" s="243">
        <v>40</v>
      </c>
      <c r="P668" s="243"/>
      <c r="Q668" s="180" t="str">
        <f>IF(PEDIDOS[[#This Row],[Valor do item pago]]=PEDIDOS[[#This Row],[Total Item ]],"PAGO", "")</f>
        <v/>
      </c>
    </row>
    <row r="669" spans="1:17" s="216" customFormat="1" ht="39.950000000000003" customHeight="1" x14ac:dyDescent="0.25">
      <c r="A669" s="231"/>
      <c r="B669" s="240">
        <v>1151</v>
      </c>
      <c r="C669" s="241">
        <v>43742</v>
      </c>
      <c r="D669" s="242" t="s">
        <v>477</v>
      </c>
      <c r="E669" s="240" t="s">
        <v>513</v>
      </c>
      <c r="F669" s="240" t="s">
        <v>514</v>
      </c>
      <c r="G669" s="240" t="s">
        <v>1419</v>
      </c>
      <c r="H669" s="240" t="s">
        <v>1455</v>
      </c>
      <c r="I669" s="243" t="s">
        <v>661</v>
      </c>
      <c r="J669" s="243"/>
      <c r="K669" s="243"/>
      <c r="L669" s="240" t="s">
        <v>219</v>
      </c>
      <c r="M669" s="244">
        <v>1</v>
      </c>
      <c r="N669" s="245">
        <v>40</v>
      </c>
      <c r="O669" s="243">
        <v>40</v>
      </c>
      <c r="P669" s="243"/>
      <c r="Q669" s="180" t="str">
        <f>IF(PEDIDOS[[#This Row],[Valor do item pago]]=PEDIDOS[[#This Row],[Total Item ]],"PAGO", "")</f>
        <v/>
      </c>
    </row>
    <row r="670" spans="1:17" s="216" customFormat="1" ht="39.950000000000003" customHeight="1" x14ac:dyDescent="0.25">
      <c r="A670" s="231"/>
      <c r="B670" s="240">
        <v>1151</v>
      </c>
      <c r="C670" s="241">
        <v>43742</v>
      </c>
      <c r="D670" s="242" t="s">
        <v>477</v>
      </c>
      <c r="E670" s="240" t="s">
        <v>513</v>
      </c>
      <c r="F670" s="240" t="s">
        <v>514</v>
      </c>
      <c r="G670" s="240" t="s">
        <v>1419</v>
      </c>
      <c r="H670" s="240" t="s">
        <v>1455</v>
      </c>
      <c r="I670" s="243" t="s">
        <v>661</v>
      </c>
      <c r="J670" s="243"/>
      <c r="K670" s="243"/>
      <c r="L670" s="240" t="s">
        <v>1</v>
      </c>
      <c r="M670" s="244">
        <v>1</v>
      </c>
      <c r="N670" s="245">
        <v>40</v>
      </c>
      <c r="O670" s="243">
        <v>40</v>
      </c>
      <c r="P670" s="243"/>
      <c r="Q670" s="180" t="str">
        <f>IF(PEDIDOS[[#This Row],[Valor do item pago]]=PEDIDOS[[#This Row],[Total Item ]],"PAGO", "")</f>
        <v/>
      </c>
    </row>
    <row r="671" spans="1:17" s="216" customFormat="1" ht="39.950000000000003" customHeight="1" x14ac:dyDescent="0.25">
      <c r="A671" s="231"/>
      <c r="B671" s="240">
        <v>1150</v>
      </c>
      <c r="C671" s="241">
        <v>43742</v>
      </c>
      <c r="D671" s="242" t="s">
        <v>477</v>
      </c>
      <c r="E671" s="240" t="s">
        <v>367</v>
      </c>
      <c r="F671" s="240" t="s">
        <v>1237</v>
      </c>
      <c r="G671" s="240" t="s">
        <v>1418</v>
      </c>
      <c r="H671" s="240" t="s">
        <v>392</v>
      </c>
      <c r="I671" s="243" t="s">
        <v>656</v>
      </c>
      <c r="J671" s="243"/>
      <c r="K671" s="243"/>
      <c r="L671" s="240" t="s">
        <v>0</v>
      </c>
      <c r="M671" s="244">
        <v>1</v>
      </c>
      <c r="N671" s="245">
        <v>40</v>
      </c>
      <c r="O671" s="243">
        <v>40</v>
      </c>
      <c r="P671" s="243"/>
      <c r="Q671" s="180" t="str">
        <f>IF(PEDIDOS[[#This Row],[Valor do item pago]]=PEDIDOS[[#This Row],[Total Item ]],"PAGO", "")</f>
        <v/>
      </c>
    </row>
    <row r="672" spans="1:17" s="216" customFormat="1" ht="39.950000000000003" customHeight="1" x14ac:dyDescent="0.25">
      <c r="A672" s="231"/>
      <c r="B672" s="240">
        <v>1149</v>
      </c>
      <c r="C672" s="241">
        <v>43742</v>
      </c>
      <c r="D672" s="242" t="s">
        <v>477</v>
      </c>
      <c r="E672" s="240" t="s">
        <v>11</v>
      </c>
      <c r="F672" s="240" t="s">
        <v>882</v>
      </c>
      <c r="G672" s="240" t="s">
        <v>1382</v>
      </c>
      <c r="H672" s="240" t="s">
        <v>441</v>
      </c>
      <c r="I672" s="243" t="s">
        <v>884</v>
      </c>
      <c r="J672" s="243"/>
      <c r="K672" s="243" t="s">
        <v>477</v>
      </c>
      <c r="L672" s="240" t="s">
        <v>235</v>
      </c>
      <c r="M672" s="244">
        <v>1</v>
      </c>
      <c r="N672" s="245">
        <v>40</v>
      </c>
      <c r="O672" s="243">
        <v>40</v>
      </c>
      <c r="P672" s="243"/>
      <c r="Q672" s="180" t="str">
        <f>IF(PEDIDOS[[#This Row],[Valor do item pago]]=PEDIDOS[[#This Row],[Total Item ]],"PAGO", "")</f>
        <v/>
      </c>
    </row>
    <row r="673" spans="1:17" s="216" customFormat="1" ht="39.950000000000003" customHeight="1" x14ac:dyDescent="0.25">
      <c r="A673" s="231"/>
      <c r="B673" s="240">
        <v>1149</v>
      </c>
      <c r="C673" s="241">
        <v>43742</v>
      </c>
      <c r="D673" s="242" t="s">
        <v>477</v>
      </c>
      <c r="E673" s="240" t="s">
        <v>11</v>
      </c>
      <c r="F673" s="240" t="s">
        <v>882</v>
      </c>
      <c r="G673" s="240" t="s">
        <v>1382</v>
      </c>
      <c r="H673" s="240" t="s">
        <v>441</v>
      </c>
      <c r="I673" s="243" t="s">
        <v>884</v>
      </c>
      <c r="J673" s="243"/>
      <c r="K673" s="243" t="s">
        <v>477</v>
      </c>
      <c r="L673" s="240" t="s">
        <v>1</v>
      </c>
      <c r="M673" s="244">
        <v>1</v>
      </c>
      <c r="N673" s="245">
        <v>40</v>
      </c>
      <c r="O673" s="243">
        <v>40</v>
      </c>
      <c r="P673" s="243"/>
      <c r="Q673" s="180" t="str">
        <f>IF(PEDIDOS[[#This Row],[Valor do item pago]]=PEDIDOS[[#This Row],[Total Item ]],"PAGO", "")</f>
        <v/>
      </c>
    </row>
    <row r="674" spans="1:17" s="216" customFormat="1" ht="39.950000000000003" customHeight="1" x14ac:dyDescent="0.25">
      <c r="A674" s="231"/>
      <c r="B674" s="240">
        <v>1148</v>
      </c>
      <c r="C674" s="241">
        <v>43742</v>
      </c>
      <c r="D674" s="242" t="s">
        <v>477</v>
      </c>
      <c r="E674" s="240" t="s">
        <v>1278</v>
      </c>
      <c r="F674" s="240" t="s">
        <v>882</v>
      </c>
      <c r="G674" s="240" t="s">
        <v>1382</v>
      </c>
      <c r="H674" s="240" t="s">
        <v>441</v>
      </c>
      <c r="I674" s="243" t="s">
        <v>884</v>
      </c>
      <c r="J674" s="243"/>
      <c r="K674" s="243" t="s">
        <v>477</v>
      </c>
      <c r="L674" s="240" t="s">
        <v>0</v>
      </c>
      <c r="M674" s="244">
        <v>1</v>
      </c>
      <c r="N674" s="245">
        <v>40</v>
      </c>
      <c r="O674" s="243">
        <v>40</v>
      </c>
      <c r="P674" s="243"/>
      <c r="Q674" s="180" t="str">
        <f>IF(PEDIDOS[[#This Row],[Valor do item pago]]=PEDIDOS[[#This Row],[Total Item ]],"PAGO", "")</f>
        <v/>
      </c>
    </row>
    <row r="675" spans="1:17" s="216" customFormat="1" ht="39.950000000000003" customHeight="1" x14ac:dyDescent="0.25">
      <c r="A675" s="231"/>
      <c r="B675" s="240">
        <v>1147</v>
      </c>
      <c r="C675" s="241">
        <v>43742</v>
      </c>
      <c r="D675" s="242" t="s">
        <v>477</v>
      </c>
      <c r="E675" s="240" t="s">
        <v>1262</v>
      </c>
      <c r="F675" s="240">
        <v>0</v>
      </c>
      <c r="G675" s="240">
        <v>0</v>
      </c>
      <c r="H675" s="240">
        <v>0</v>
      </c>
      <c r="I675" s="243"/>
      <c r="J675" s="243"/>
      <c r="K675" s="243" t="s">
        <v>1554</v>
      </c>
      <c r="L675" s="240" t="s">
        <v>1</v>
      </c>
      <c r="M675" s="244">
        <v>1</v>
      </c>
      <c r="N675" s="245">
        <v>40</v>
      </c>
      <c r="O675" s="243">
        <v>40</v>
      </c>
      <c r="P675" s="243">
        <v>40</v>
      </c>
      <c r="Q675" s="180" t="str">
        <f>IF(PEDIDOS[[#This Row],[Valor do item pago]]=PEDIDOS[[#This Row],[Total Item ]],"PAGO", "")</f>
        <v>PAGO</v>
      </c>
    </row>
    <row r="676" spans="1:17" s="216" customFormat="1" ht="39.950000000000003" customHeight="1" x14ac:dyDescent="0.25">
      <c r="A676" s="231"/>
      <c r="B676" s="240">
        <v>1146</v>
      </c>
      <c r="C676" s="241">
        <v>43742</v>
      </c>
      <c r="D676" s="242" t="s">
        <v>477</v>
      </c>
      <c r="E676" s="240" t="s">
        <v>506</v>
      </c>
      <c r="F676" s="240" t="s">
        <v>503</v>
      </c>
      <c r="G676" s="240" t="s">
        <v>1416</v>
      </c>
      <c r="H676" s="240" t="s">
        <v>505</v>
      </c>
      <c r="I676" s="243" t="s">
        <v>660</v>
      </c>
      <c r="J676" s="243"/>
      <c r="K676" s="243"/>
      <c r="L676" s="240" t="s">
        <v>1</v>
      </c>
      <c r="M676" s="244">
        <v>2</v>
      </c>
      <c r="N676" s="245">
        <v>40</v>
      </c>
      <c r="O676" s="243">
        <v>80</v>
      </c>
      <c r="P676" s="243"/>
      <c r="Q676" s="180" t="str">
        <f>IF(PEDIDOS[[#This Row],[Valor do item pago]]=PEDIDOS[[#This Row],[Total Item ]],"PAGO", "")</f>
        <v/>
      </c>
    </row>
    <row r="677" spans="1:17" s="216" customFormat="1" ht="39.950000000000003" customHeight="1" x14ac:dyDescent="0.25">
      <c r="A677" s="231"/>
      <c r="B677" s="240">
        <v>1145</v>
      </c>
      <c r="C677" s="241">
        <v>43742</v>
      </c>
      <c r="D677" s="242" t="s">
        <v>477</v>
      </c>
      <c r="E677" s="240" t="s">
        <v>1339</v>
      </c>
      <c r="F677" s="240" t="s">
        <v>828</v>
      </c>
      <c r="G677" s="240" t="s">
        <v>1406</v>
      </c>
      <c r="H677" s="240" t="s">
        <v>651</v>
      </c>
      <c r="I677" s="243" t="s">
        <v>831</v>
      </c>
      <c r="J677" s="243"/>
      <c r="K677" s="243"/>
      <c r="L677" s="240" t="s">
        <v>1</v>
      </c>
      <c r="M677" s="244">
        <v>1</v>
      </c>
      <c r="N677" s="245">
        <v>40</v>
      </c>
      <c r="O677" s="243">
        <v>40</v>
      </c>
      <c r="P677" s="243"/>
      <c r="Q677" s="180" t="str">
        <f>IF(PEDIDOS[[#This Row],[Valor do item pago]]=PEDIDOS[[#This Row],[Total Item ]],"PAGO", "")</f>
        <v/>
      </c>
    </row>
    <row r="678" spans="1:17" s="216" customFormat="1" ht="39.950000000000003" customHeight="1" x14ac:dyDescent="0.25">
      <c r="A678" s="231"/>
      <c r="B678" s="240">
        <v>1144</v>
      </c>
      <c r="C678" s="241">
        <v>43742</v>
      </c>
      <c r="D678" s="242" t="s">
        <v>477</v>
      </c>
      <c r="E678" s="240" t="s">
        <v>1199</v>
      </c>
      <c r="F678" s="240" t="s">
        <v>969</v>
      </c>
      <c r="G678" s="240" t="s">
        <v>1361</v>
      </c>
      <c r="H678" s="240" t="s">
        <v>52</v>
      </c>
      <c r="I678" s="243" t="s">
        <v>971</v>
      </c>
      <c r="J678" s="243" t="s">
        <v>1553</v>
      </c>
      <c r="K678" s="243"/>
      <c r="L678" s="240" t="s">
        <v>219</v>
      </c>
      <c r="M678" s="244">
        <v>1</v>
      </c>
      <c r="N678" s="245">
        <v>40</v>
      </c>
      <c r="O678" s="243">
        <v>40</v>
      </c>
      <c r="P678" s="243">
        <v>40</v>
      </c>
      <c r="Q678" s="180" t="str">
        <f>IF(PEDIDOS[[#This Row],[Valor do item pago]]=PEDIDOS[[#This Row],[Total Item ]],"PAGO", "")</f>
        <v>PAGO</v>
      </c>
    </row>
    <row r="679" spans="1:17" s="216" customFormat="1" ht="39.950000000000003" customHeight="1" x14ac:dyDescent="0.25">
      <c r="A679" s="231"/>
      <c r="B679" s="240">
        <v>1143</v>
      </c>
      <c r="C679" s="241">
        <v>43705</v>
      </c>
      <c r="D679" s="242" t="s">
        <v>231</v>
      </c>
      <c r="E679" s="240" t="s">
        <v>345</v>
      </c>
      <c r="F679" s="240" t="s">
        <v>1216</v>
      </c>
      <c r="G679" s="240">
        <v>0</v>
      </c>
      <c r="H679" s="240">
        <v>0</v>
      </c>
      <c r="I679" s="243"/>
      <c r="J679" s="243"/>
      <c r="K679" s="243" t="s">
        <v>231</v>
      </c>
      <c r="L679" s="240" t="s">
        <v>219</v>
      </c>
      <c r="M679" s="244">
        <v>1</v>
      </c>
      <c r="N679" s="245">
        <v>40</v>
      </c>
      <c r="O679" s="243">
        <v>40</v>
      </c>
      <c r="P679" s="243"/>
      <c r="Q679" s="180" t="str">
        <f>IF(PEDIDOS[[#This Row],[Valor do item pago]]=PEDIDOS[[#This Row],[Total Item ]],"PAGO", "")</f>
        <v/>
      </c>
    </row>
    <row r="680" spans="1:17" s="216" customFormat="1" ht="39.950000000000003" customHeight="1" x14ac:dyDescent="0.25">
      <c r="A680" s="231"/>
      <c r="B680" s="240">
        <v>1143</v>
      </c>
      <c r="C680" s="241">
        <v>43705</v>
      </c>
      <c r="D680" s="242" t="s">
        <v>231</v>
      </c>
      <c r="E680" s="240" t="s">
        <v>345</v>
      </c>
      <c r="F680" s="240" t="s">
        <v>1216</v>
      </c>
      <c r="G680" s="240">
        <v>0</v>
      </c>
      <c r="H680" s="240">
        <v>0</v>
      </c>
      <c r="I680" s="243"/>
      <c r="J680" s="243"/>
      <c r="K680" s="243" t="s">
        <v>231</v>
      </c>
      <c r="L680" s="240" t="s">
        <v>0</v>
      </c>
      <c r="M680" s="244">
        <v>1</v>
      </c>
      <c r="N680" s="245">
        <v>40</v>
      </c>
      <c r="O680" s="243">
        <v>40</v>
      </c>
      <c r="P680" s="243"/>
      <c r="Q680" s="180" t="str">
        <f>IF(PEDIDOS[[#This Row],[Valor do item pago]]=PEDIDOS[[#This Row],[Total Item ]],"PAGO", "")</f>
        <v/>
      </c>
    </row>
    <row r="681" spans="1:17" s="216" customFormat="1" ht="39.950000000000003" customHeight="1" x14ac:dyDescent="0.25">
      <c r="A681" s="231"/>
      <c r="B681" s="240">
        <v>1142</v>
      </c>
      <c r="C681" s="241">
        <v>43705</v>
      </c>
      <c r="D681" s="242" t="s">
        <v>231</v>
      </c>
      <c r="E681" s="240" t="s">
        <v>25</v>
      </c>
      <c r="F681" s="240" t="s">
        <v>1222</v>
      </c>
      <c r="G681" s="240" t="s">
        <v>1411</v>
      </c>
      <c r="H681" s="240" t="s">
        <v>406</v>
      </c>
      <c r="I681" s="243" t="s">
        <v>329</v>
      </c>
      <c r="J681" s="243" t="s">
        <v>375</v>
      </c>
      <c r="K681" s="243"/>
      <c r="L681" s="240" t="s">
        <v>219</v>
      </c>
      <c r="M681" s="244">
        <v>1</v>
      </c>
      <c r="N681" s="245">
        <v>40</v>
      </c>
      <c r="O681" s="243">
        <v>40</v>
      </c>
      <c r="P681" s="243"/>
      <c r="Q681" s="180" t="str">
        <f>IF(PEDIDOS[[#This Row],[Valor do item pago]]=PEDIDOS[[#This Row],[Total Item ]],"PAGO", "")</f>
        <v/>
      </c>
    </row>
    <row r="682" spans="1:17" s="216" customFormat="1" ht="39.950000000000003" customHeight="1" x14ac:dyDescent="0.25">
      <c r="A682" s="231"/>
      <c r="B682" s="240">
        <v>1141</v>
      </c>
      <c r="C682" s="241">
        <v>43705</v>
      </c>
      <c r="D682" s="242" t="s">
        <v>231</v>
      </c>
      <c r="E682" s="240" t="s">
        <v>375</v>
      </c>
      <c r="F682" s="240" t="s">
        <v>1065</v>
      </c>
      <c r="G682" s="240">
        <v>0</v>
      </c>
      <c r="H682" s="240" t="s">
        <v>40</v>
      </c>
      <c r="I682" s="243"/>
      <c r="J682" s="243" t="s">
        <v>1578</v>
      </c>
      <c r="K682" s="243"/>
      <c r="L682" s="240" t="s">
        <v>3</v>
      </c>
      <c r="M682" s="244">
        <v>1</v>
      </c>
      <c r="N682" s="245">
        <v>40</v>
      </c>
      <c r="O682" s="243">
        <v>40</v>
      </c>
      <c r="P682" s="243"/>
      <c r="Q682" s="180" t="str">
        <f>IF(PEDIDOS[[#This Row],[Valor do item pago]]=PEDIDOS[[#This Row],[Total Item ]],"PAGO", "")</f>
        <v/>
      </c>
    </row>
    <row r="683" spans="1:17" s="216" customFormat="1" ht="39.950000000000003" customHeight="1" x14ac:dyDescent="0.25">
      <c r="A683" s="231"/>
      <c r="B683" s="240">
        <v>1141</v>
      </c>
      <c r="C683" s="241">
        <v>43705</v>
      </c>
      <c r="D683" s="242" t="s">
        <v>231</v>
      </c>
      <c r="E683" s="240" t="s">
        <v>375</v>
      </c>
      <c r="F683" s="240" t="s">
        <v>1065</v>
      </c>
      <c r="G683" s="240">
        <v>0</v>
      </c>
      <c r="H683" s="240" t="s">
        <v>40</v>
      </c>
      <c r="I683" s="243"/>
      <c r="J683" s="243" t="s">
        <v>1578</v>
      </c>
      <c r="K683" s="243"/>
      <c r="L683" s="240" t="s">
        <v>1</v>
      </c>
      <c r="M683" s="244">
        <v>1</v>
      </c>
      <c r="N683" s="245">
        <v>40</v>
      </c>
      <c r="O683" s="243">
        <v>40</v>
      </c>
      <c r="P683" s="243"/>
      <c r="Q683" s="180" t="str">
        <f>IF(PEDIDOS[[#This Row],[Valor do item pago]]=PEDIDOS[[#This Row],[Total Item ]],"PAGO", "")</f>
        <v/>
      </c>
    </row>
    <row r="684" spans="1:17" s="216" customFormat="1" ht="39.950000000000003" customHeight="1" x14ac:dyDescent="0.25">
      <c r="A684" s="231"/>
      <c r="B684" s="240">
        <v>1140</v>
      </c>
      <c r="C684" s="241">
        <v>43705</v>
      </c>
      <c r="D684" s="242" t="s">
        <v>231</v>
      </c>
      <c r="E684" s="240" t="s">
        <v>356</v>
      </c>
      <c r="F684" s="240" t="s">
        <v>700</v>
      </c>
      <c r="G684" s="240" t="s">
        <v>1377</v>
      </c>
      <c r="H684" s="240" t="s">
        <v>1378</v>
      </c>
      <c r="I684" s="243" t="s">
        <v>702</v>
      </c>
      <c r="J684" s="243" t="s">
        <v>1529</v>
      </c>
      <c r="K684" s="243"/>
      <c r="L684" s="240" t="s">
        <v>219</v>
      </c>
      <c r="M684" s="244">
        <v>1</v>
      </c>
      <c r="N684" s="245">
        <v>40</v>
      </c>
      <c r="O684" s="243">
        <v>40</v>
      </c>
      <c r="P684" s="243"/>
      <c r="Q684" s="180" t="str">
        <f>IF(PEDIDOS[[#This Row],[Valor do item pago]]=PEDIDOS[[#This Row],[Total Item ]],"PAGO", "")</f>
        <v/>
      </c>
    </row>
    <row r="685" spans="1:17" s="216" customFormat="1" ht="39.950000000000003" customHeight="1" x14ac:dyDescent="0.25">
      <c r="A685" s="231"/>
      <c r="B685" s="240">
        <v>1139</v>
      </c>
      <c r="C685" s="241">
        <v>43705</v>
      </c>
      <c r="D685" s="242" t="s">
        <v>231</v>
      </c>
      <c r="E685" s="240" t="s">
        <v>90</v>
      </c>
      <c r="F685" s="240" t="s">
        <v>806</v>
      </c>
      <c r="G685" s="240">
        <v>0</v>
      </c>
      <c r="H685" s="240" t="s">
        <v>40</v>
      </c>
      <c r="I685" s="243"/>
      <c r="J685" s="243"/>
      <c r="K685" s="243"/>
      <c r="L685" s="240" t="s">
        <v>219</v>
      </c>
      <c r="M685" s="244">
        <v>2</v>
      </c>
      <c r="N685" s="245">
        <v>40</v>
      </c>
      <c r="O685" s="243">
        <v>80</v>
      </c>
      <c r="P685" s="243"/>
      <c r="Q685" s="180" t="str">
        <f>IF(PEDIDOS[[#This Row],[Valor do item pago]]=PEDIDOS[[#This Row],[Total Item ]],"PAGO", "")</f>
        <v/>
      </c>
    </row>
    <row r="686" spans="1:17" s="216" customFormat="1" ht="39.950000000000003" customHeight="1" x14ac:dyDescent="0.25">
      <c r="A686" s="231"/>
      <c r="B686" s="240">
        <v>1138</v>
      </c>
      <c r="C686" s="241">
        <v>43705</v>
      </c>
      <c r="D686" s="242" t="s">
        <v>231</v>
      </c>
      <c r="E686" s="240" t="s">
        <v>381</v>
      </c>
      <c r="F686" s="240">
        <v>0</v>
      </c>
      <c r="G686" s="240">
        <v>0</v>
      </c>
      <c r="H686" s="240">
        <v>0</v>
      </c>
      <c r="I686" s="243"/>
      <c r="J686" s="243"/>
      <c r="K686" s="243"/>
      <c r="L686" s="240" t="s">
        <v>1</v>
      </c>
      <c r="M686" s="244">
        <v>1</v>
      </c>
      <c r="N686" s="245">
        <v>40</v>
      </c>
      <c r="O686" s="243">
        <v>40</v>
      </c>
      <c r="P686" s="243"/>
      <c r="Q686" s="180" t="str">
        <f>IF(PEDIDOS[[#This Row],[Valor do item pago]]=PEDIDOS[[#This Row],[Total Item ]],"PAGO", "")</f>
        <v/>
      </c>
    </row>
    <row r="687" spans="1:17" s="216" customFormat="1" ht="39.950000000000003" customHeight="1" x14ac:dyDescent="0.25">
      <c r="A687" s="231"/>
      <c r="B687" s="240">
        <v>1137</v>
      </c>
      <c r="C687" s="241">
        <v>43705</v>
      </c>
      <c r="D687" s="242" t="s">
        <v>411</v>
      </c>
      <c r="E687" s="240" t="s">
        <v>1187</v>
      </c>
      <c r="F687" s="240" t="s">
        <v>573</v>
      </c>
      <c r="G687" s="240" t="s">
        <v>621</v>
      </c>
      <c r="H687" s="240" t="s">
        <v>1263</v>
      </c>
      <c r="I687" s="243" t="s">
        <v>674</v>
      </c>
      <c r="J687" s="243"/>
      <c r="K687" s="243"/>
      <c r="L687" s="240" t="s">
        <v>219</v>
      </c>
      <c r="M687" s="244">
        <v>1</v>
      </c>
      <c r="N687" s="245">
        <v>40</v>
      </c>
      <c r="O687" s="243">
        <v>40</v>
      </c>
      <c r="P687" s="243"/>
      <c r="Q687" s="180" t="str">
        <f>IF(PEDIDOS[[#This Row],[Valor do item pago]]=PEDIDOS[[#This Row],[Total Item ]],"PAGO", "")</f>
        <v/>
      </c>
    </row>
    <row r="688" spans="1:17" s="216" customFormat="1" ht="39.950000000000003" customHeight="1" x14ac:dyDescent="0.25">
      <c r="A688" s="231"/>
      <c r="B688" s="240">
        <v>1136</v>
      </c>
      <c r="C688" s="241">
        <v>43705</v>
      </c>
      <c r="D688" s="242" t="s">
        <v>411</v>
      </c>
      <c r="E688" s="240" t="s">
        <v>1574</v>
      </c>
      <c r="F688" s="240" t="s">
        <v>1575</v>
      </c>
      <c r="G688" s="240" t="s">
        <v>1576</v>
      </c>
      <c r="H688" s="240" t="s">
        <v>84</v>
      </c>
      <c r="I688" s="243" t="s">
        <v>1577</v>
      </c>
      <c r="J688" s="243"/>
      <c r="K688" s="243"/>
      <c r="L688" s="240" t="s">
        <v>219</v>
      </c>
      <c r="M688" s="244">
        <v>1</v>
      </c>
      <c r="N688" s="245">
        <v>40</v>
      </c>
      <c r="O688" s="243">
        <v>40</v>
      </c>
      <c r="P688" s="243"/>
      <c r="Q688" s="180" t="str">
        <f>IF(PEDIDOS[[#This Row],[Valor do item pago]]=PEDIDOS[[#This Row],[Total Item ]],"PAGO", "")</f>
        <v/>
      </c>
    </row>
    <row r="689" spans="1:17" s="216" customFormat="1" ht="39.950000000000003" customHeight="1" x14ac:dyDescent="0.25">
      <c r="A689" s="231"/>
      <c r="B689" s="240">
        <v>1135</v>
      </c>
      <c r="C689" s="241">
        <v>43705</v>
      </c>
      <c r="D689" s="242" t="s">
        <v>411</v>
      </c>
      <c r="E689" s="240" t="s">
        <v>1570</v>
      </c>
      <c r="F689" s="240" t="s">
        <v>1571</v>
      </c>
      <c r="G689" s="240" t="s">
        <v>1572</v>
      </c>
      <c r="H689" s="240" t="s">
        <v>716</v>
      </c>
      <c r="I689" s="243" t="s">
        <v>1573</v>
      </c>
      <c r="J689" s="243"/>
      <c r="K689" s="243"/>
      <c r="L689" s="240" t="s">
        <v>219</v>
      </c>
      <c r="M689" s="244">
        <v>2</v>
      </c>
      <c r="N689" s="245">
        <v>40</v>
      </c>
      <c r="O689" s="243">
        <v>80</v>
      </c>
      <c r="P689" s="243"/>
      <c r="Q689" s="180" t="str">
        <f>IF(PEDIDOS[[#This Row],[Valor do item pago]]=PEDIDOS[[#This Row],[Total Item ]],"PAGO", "")</f>
        <v/>
      </c>
    </row>
    <row r="690" spans="1:17" s="216" customFormat="1" ht="39.950000000000003" customHeight="1" x14ac:dyDescent="0.25">
      <c r="A690" s="231"/>
      <c r="B690" s="240">
        <v>1134</v>
      </c>
      <c r="C690" s="241">
        <v>43705</v>
      </c>
      <c r="D690" s="242" t="s">
        <v>411</v>
      </c>
      <c r="E690" s="240" t="s">
        <v>35</v>
      </c>
      <c r="F690" s="240">
        <v>0</v>
      </c>
      <c r="G690" s="240" t="s">
        <v>1386</v>
      </c>
      <c r="H690" s="240">
        <v>0</v>
      </c>
      <c r="I690" s="243"/>
      <c r="J690" s="243"/>
      <c r="K690" s="243" t="s">
        <v>411</v>
      </c>
      <c r="L690" s="240" t="s">
        <v>219</v>
      </c>
      <c r="M690" s="244">
        <v>1</v>
      </c>
      <c r="N690" s="245">
        <v>40</v>
      </c>
      <c r="O690" s="243">
        <v>40</v>
      </c>
      <c r="P690" s="243"/>
      <c r="Q690" s="180" t="str">
        <f>IF(PEDIDOS[[#This Row],[Valor do item pago]]=PEDIDOS[[#This Row],[Total Item ]],"PAGO", "")</f>
        <v/>
      </c>
    </row>
    <row r="691" spans="1:17" s="216" customFormat="1" ht="39.950000000000003" customHeight="1" x14ac:dyDescent="0.25">
      <c r="A691" s="231"/>
      <c r="B691" s="240">
        <v>1133</v>
      </c>
      <c r="C691" s="241">
        <v>43705</v>
      </c>
      <c r="D691" s="242" t="s">
        <v>411</v>
      </c>
      <c r="E691" s="240" t="s">
        <v>1496</v>
      </c>
      <c r="F691" s="240" t="s">
        <v>1497</v>
      </c>
      <c r="G691" s="240" t="s">
        <v>1505</v>
      </c>
      <c r="H691" s="240" t="s">
        <v>1450</v>
      </c>
      <c r="I691" s="243" t="s">
        <v>1504</v>
      </c>
      <c r="J691" s="243"/>
      <c r="K691" s="243"/>
      <c r="L691" s="240" t="s">
        <v>219</v>
      </c>
      <c r="M691" s="244">
        <v>1</v>
      </c>
      <c r="N691" s="245">
        <v>40</v>
      </c>
      <c r="O691" s="243">
        <v>40</v>
      </c>
      <c r="P691" s="243"/>
      <c r="Q691" s="180" t="str">
        <f>IF(PEDIDOS[[#This Row],[Valor do item pago]]=PEDIDOS[[#This Row],[Total Item ]],"PAGO", "")</f>
        <v/>
      </c>
    </row>
    <row r="692" spans="1:17" s="216" customFormat="1" ht="39.950000000000003" customHeight="1" x14ac:dyDescent="0.25">
      <c r="A692" s="231"/>
      <c r="B692" s="240">
        <v>1132</v>
      </c>
      <c r="C692" s="241">
        <v>43705</v>
      </c>
      <c r="D692" s="242" t="s">
        <v>411</v>
      </c>
      <c r="E692" s="240" t="s">
        <v>1461</v>
      </c>
      <c r="F692" s="240" t="s">
        <v>1180</v>
      </c>
      <c r="G692" s="240" t="s">
        <v>1276</v>
      </c>
      <c r="H692" s="240" t="s">
        <v>398</v>
      </c>
      <c r="I692" s="243" t="s">
        <v>1181</v>
      </c>
      <c r="J692" s="243"/>
      <c r="K692" s="243"/>
      <c r="L692" s="240" t="s">
        <v>3</v>
      </c>
      <c r="M692" s="244">
        <v>1</v>
      </c>
      <c r="N692" s="245">
        <v>40</v>
      </c>
      <c r="O692" s="243">
        <v>40</v>
      </c>
      <c r="P692" s="243">
        <v>40</v>
      </c>
      <c r="Q692" s="180" t="str">
        <f>IF(PEDIDOS[[#This Row],[Valor do item pago]]=PEDIDOS[[#This Row],[Total Item ]],"PAGO", "")</f>
        <v>PAGO</v>
      </c>
    </row>
    <row r="693" spans="1:17" s="216" customFormat="1" ht="39.950000000000003" customHeight="1" x14ac:dyDescent="0.25">
      <c r="A693" s="231"/>
      <c r="B693" s="240">
        <v>1131</v>
      </c>
      <c r="C693" s="241">
        <v>43705</v>
      </c>
      <c r="D693" s="242" t="s">
        <v>411</v>
      </c>
      <c r="E693" s="240" t="s">
        <v>1268</v>
      </c>
      <c r="F693" s="240" t="s">
        <v>1212</v>
      </c>
      <c r="G693" s="240" t="s">
        <v>1569</v>
      </c>
      <c r="H693" s="240" t="s">
        <v>1197</v>
      </c>
      <c r="I693" s="243" t="s">
        <v>1028</v>
      </c>
      <c r="J693" s="243"/>
      <c r="K693" s="243" t="s">
        <v>90</v>
      </c>
      <c r="L693" s="240" t="s">
        <v>219</v>
      </c>
      <c r="M693" s="244">
        <v>2</v>
      </c>
      <c r="N693" s="245">
        <v>40</v>
      </c>
      <c r="O693" s="243">
        <v>80</v>
      </c>
      <c r="P693" s="243"/>
      <c r="Q693" s="180" t="str">
        <f>IF(PEDIDOS[[#This Row],[Valor do item pago]]=PEDIDOS[[#This Row],[Total Item ]],"PAGO", "")</f>
        <v/>
      </c>
    </row>
    <row r="694" spans="1:17" s="216" customFormat="1" ht="39.950000000000003" customHeight="1" x14ac:dyDescent="0.25">
      <c r="A694" s="231"/>
      <c r="B694" s="240">
        <v>1130</v>
      </c>
      <c r="C694" s="241">
        <v>43705</v>
      </c>
      <c r="D694" s="242" t="s">
        <v>411</v>
      </c>
      <c r="E694" s="240" t="s">
        <v>25</v>
      </c>
      <c r="F694" s="240" t="s">
        <v>1222</v>
      </c>
      <c r="G694" s="240" t="s">
        <v>1411</v>
      </c>
      <c r="H694" s="240" t="s">
        <v>406</v>
      </c>
      <c r="I694" s="243" t="s">
        <v>329</v>
      </c>
      <c r="J694" s="243" t="s">
        <v>1460</v>
      </c>
      <c r="K694" s="243"/>
      <c r="L694" s="240" t="s">
        <v>219</v>
      </c>
      <c r="M694" s="244">
        <v>5</v>
      </c>
      <c r="N694" s="245">
        <v>40</v>
      </c>
      <c r="O694" s="243">
        <v>200</v>
      </c>
      <c r="P694" s="243">
        <v>200</v>
      </c>
      <c r="Q694" s="180" t="str">
        <f>IF(PEDIDOS[[#This Row],[Valor do item pago]]=PEDIDOS[[#This Row],[Total Item ]],"PAGO", "")</f>
        <v>PAGO</v>
      </c>
    </row>
    <row r="695" spans="1:17" s="216" customFormat="1" ht="39.950000000000003" customHeight="1" x14ac:dyDescent="0.25">
      <c r="A695" s="231"/>
      <c r="B695" s="240">
        <v>1129</v>
      </c>
      <c r="C695" s="241">
        <v>43705</v>
      </c>
      <c r="D695" s="242" t="s">
        <v>24</v>
      </c>
      <c r="E695" s="240" t="s">
        <v>25</v>
      </c>
      <c r="F695" s="240" t="s">
        <v>1222</v>
      </c>
      <c r="G695" s="240" t="s">
        <v>1411</v>
      </c>
      <c r="H695" s="240" t="s">
        <v>406</v>
      </c>
      <c r="I695" s="243" t="s">
        <v>329</v>
      </c>
      <c r="J695" s="243"/>
      <c r="K695" s="243"/>
      <c r="L695" s="240" t="s">
        <v>219</v>
      </c>
      <c r="M695" s="244">
        <v>1</v>
      </c>
      <c r="N695" s="245">
        <v>40</v>
      </c>
      <c r="O695" s="243">
        <v>40</v>
      </c>
      <c r="P695" s="243"/>
      <c r="Q695" s="180" t="str">
        <f>IF(PEDIDOS[[#This Row],[Valor do item pago]]=PEDIDOS[[#This Row],[Total Item ]],"PAGO", "")</f>
        <v/>
      </c>
    </row>
    <row r="696" spans="1:17" s="216" customFormat="1" ht="39.950000000000003" customHeight="1" x14ac:dyDescent="0.25">
      <c r="A696" s="231"/>
      <c r="B696" s="240">
        <v>1128</v>
      </c>
      <c r="C696" s="241">
        <v>43705</v>
      </c>
      <c r="D696" s="242" t="s">
        <v>24</v>
      </c>
      <c r="E696" s="240" t="s">
        <v>23</v>
      </c>
      <c r="F696" s="240">
        <v>0</v>
      </c>
      <c r="G696" s="240">
        <v>0</v>
      </c>
      <c r="H696" s="240">
        <v>0</v>
      </c>
      <c r="I696" s="243"/>
      <c r="J696" s="243"/>
      <c r="K696" s="243" t="s">
        <v>24</v>
      </c>
      <c r="L696" s="240" t="s">
        <v>219</v>
      </c>
      <c r="M696" s="244">
        <v>2</v>
      </c>
      <c r="N696" s="245">
        <v>40</v>
      </c>
      <c r="O696" s="243">
        <v>80</v>
      </c>
      <c r="P696" s="243"/>
      <c r="Q696" s="180" t="str">
        <f>IF(PEDIDOS[[#This Row],[Valor do item pago]]=PEDIDOS[[#This Row],[Total Item ]],"PAGO", "")</f>
        <v/>
      </c>
    </row>
    <row r="697" spans="1:17" s="216" customFormat="1" ht="39.950000000000003" customHeight="1" x14ac:dyDescent="0.25">
      <c r="A697" s="231"/>
      <c r="B697" s="240">
        <v>1127</v>
      </c>
      <c r="C697" s="241">
        <v>43705</v>
      </c>
      <c r="D697" s="242" t="s">
        <v>44</v>
      </c>
      <c r="E697" s="240" t="s">
        <v>746</v>
      </c>
      <c r="F697" s="240" t="s">
        <v>774</v>
      </c>
      <c r="G697" s="240" t="s">
        <v>1567</v>
      </c>
      <c r="H697" s="240" t="s">
        <v>593</v>
      </c>
      <c r="I697" s="243" t="s">
        <v>1568</v>
      </c>
      <c r="J697" s="243"/>
      <c r="K697" s="243"/>
      <c r="L697" s="240" t="s">
        <v>0</v>
      </c>
      <c r="M697" s="244">
        <v>2</v>
      </c>
      <c r="N697" s="245">
        <v>40</v>
      </c>
      <c r="O697" s="243">
        <v>80</v>
      </c>
      <c r="P697" s="243"/>
      <c r="Q697" s="180" t="str">
        <f>IF(PEDIDOS[[#This Row],[Valor do item pago]]=PEDIDOS[[#This Row],[Total Item ]],"PAGO", "")</f>
        <v/>
      </c>
    </row>
    <row r="698" spans="1:17" s="216" customFormat="1" ht="39.950000000000003" customHeight="1" x14ac:dyDescent="0.25">
      <c r="A698" s="231"/>
      <c r="B698" s="240">
        <v>1125</v>
      </c>
      <c r="C698" s="241">
        <v>43705</v>
      </c>
      <c r="D698" s="242" t="s">
        <v>44</v>
      </c>
      <c r="E698" s="240" t="s">
        <v>25</v>
      </c>
      <c r="F698" s="240" t="s">
        <v>1222</v>
      </c>
      <c r="G698" s="240" t="s">
        <v>1411</v>
      </c>
      <c r="H698" s="240" t="s">
        <v>406</v>
      </c>
      <c r="I698" s="243" t="s">
        <v>329</v>
      </c>
      <c r="J698" s="243"/>
      <c r="K698" s="243"/>
      <c r="L698" s="240" t="s">
        <v>219</v>
      </c>
      <c r="M698" s="244">
        <v>2</v>
      </c>
      <c r="N698" s="245">
        <v>40</v>
      </c>
      <c r="O698" s="243">
        <v>80</v>
      </c>
      <c r="P698" s="243"/>
      <c r="Q698" s="180" t="str">
        <f>IF(PEDIDOS[[#This Row],[Valor do item pago]]=PEDIDOS[[#This Row],[Total Item ]],"PAGO", "")</f>
        <v/>
      </c>
    </row>
    <row r="699" spans="1:17" s="216" customFormat="1" ht="39.950000000000003" customHeight="1" x14ac:dyDescent="0.25">
      <c r="A699" s="231"/>
      <c r="B699" s="240">
        <v>1124</v>
      </c>
      <c r="C699" s="241">
        <v>43705</v>
      </c>
      <c r="D699" s="242" t="s">
        <v>40</v>
      </c>
      <c r="E699" s="240" t="s">
        <v>203</v>
      </c>
      <c r="F699" s="240" t="s">
        <v>1238</v>
      </c>
      <c r="G699" s="240" t="s">
        <v>41</v>
      </c>
      <c r="H699" s="240" t="s">
        <v>441</v>
      </c>
      <c r="I699" s="243" t="s">
        <v>442</v>
      </c>
      <c r="J699" s="243"/>
      <c r="K699" s="243" t="s">
        <v>648</v>
      </c>
      <c r="L699" s="240" t="s">
        <v>1</v>
      </c>
      <c r="M699" s="244">
        <v>1</v>
      </c>
      <c r="N699" s="245">
        <v>40</v>
      </c>
      <c r="O699" s="243">
        <v>40</v>
      </c>
      <c r="P699" s="243"/>
      <c r="Q699" s="180" t="str">
        <f>IF(PEDIDOS[[#This Row],[Valor do item pago]]=PEDIDOS[[#This Row],[Total Item ]],"PAGO", "")</f>
        <v/>
      </c>
    </row>
    <row r="700" spans="1:17" s="216" customFormat="1" ht="39.950000000000003" customHeight="1" x14ac:dyDescent="0.25">
      <c r="A700" s="231"/>
      <c r="B700" s="240">
        <v>1124</v>
      </c>
      <c r="C700" s="241">
        <v>43705</v>
      </c>
      <c r="D700" s="242" t="s">
        <v>40</v>
      </c>
      <c r="E700" s="240" t="s">
        <v>203</v>
      </c>
      <c r="F700" s="240" t="s">
        <v>1238</v>
      </c>
      <c r="G700" s="240" t="s">
        <v>41</v>
      </c>
      <c r="H700" s="240" t="s">
        <v>441</v>
      </c>
      <c r="I700" s="243" t="s">
        <v>442</v>
      </c>
      <c r="J700" s="243"/>
      <c r="K700" s="243" t="s">
        <v>648</v>
      </c>
      <c r="L700" s="240" t="s">
        <v>0</v>
      </c>
      <c r="M700" s="244">
        <v>1</v>
      </c>
      <c r="N700" s="245">
        <v>40</v>
      </c>
      <c r="O700" s="243">
        <v>40</v>
      </c>
      <c r="P700" s="243"/>
      <c r="Q700" s="180" t="str">
        <f>IF(PEDIDOS[[#This Row],[Valor do item pago]]=PEDIDOS[[#This Row],[Total Item ]],"PAGO", "")</f>
        <v/>
      </c>
    </row>
    <row r="701" spans="1:17" s="216" customFormat="1" ht="39.950000000000003" customHeight="1" x14ac:dyDescent="0.25">
      <c r="A701" s="231"/>
      <c r="B701" s="240">
        <v>1123</v>
      </c>
      <c r="C701" s="241">
        <v>43705</v>
      </c>
      <c r="D701" s="242" t="s">
        <v>40</v>
      </c>
      <c r="E701" s="240" t="s">
        <v>13</v>
      </c>
      <c r="F701" s="240" t="s">
        <v>1491</v>
      </c>
      <c r="G701" s="240" t="s">
        <v>1492</v>
      </c>
      <c r="H701" s="240" t="s">
        <v>1197</v>
      </c>
      <c r="I701" s="243" t="s">
        <v>1493</v>
      </c>
      <c r="J701" s="243"/>
      <c r="K701" s="243" t="s">
        <v>40</v>
      </c>
      <c r="L701" s="240" t="s">
        <v>3</v>
      </c>
      <c r="M701" s="244">
        <v>1</v>
      </c>
      <c r="N701" s="245">
        <v>40</v>
      </c>
      <c r="O701" s="243">
        <v>40</v>
      </c>
      <c r="P701" s="243"/>
      <c r="Q701" s="180" t="str">
        <f>IF(PEDIDOS[[#This Row],[Valor do item pago]]=PEDIDOS[[#This Row],[Total Item ]],"PAGO", "")</f>
        <v/>
      </c>
    </row>
    <row r="702" spans="1:17" s="216" customFormat="1" ht="39.950000000000003" customHeight="1" x14ac:dyDescent="0.25">
      <c r="A702" s="231"/>
      <c r="B702" s="240">
        <v>1123</v>
      </c>
      <c r="C702" s="241">
        <v>43705</v>
      </c>
      <c r="D702" s="242" t="s">
        <v>40</v>
      </c>
      <c r="E702" s="240" t="s">
        <v>13</v>
      </c>
      <c r="F702" s="240" t="s">
        <v>1491</v>
      </c>
      <c r="G702" s="240" t="s">
        <v>1492</v>
      </c>
      <c r="H702" s="240" t="s">
        <v>1197</v>
      </c>
      <c r="I702" s="243" t="s">
        <v>1493</v>
      </c>
      <c r="J702" s="243"/>
      <c r="K702" s="243" t="s">
        <v>40</v>
      </c>
      <c r="L702" s="240" t="s">
        <v>219</v>
      </c>
      <c r="M702" s="244">
        <v>1</v>
      </c>
      <c r="N702" s="245">
        <v>40</v>
      </c>
      <c r="O702" s="243">
        <v>40</v>
      </c>
      <c r="P702" s="243"/>
      <c r="Q702" s="180" t="str">
        <f>IF(PEDIDOS[[#This Row],[Valor do item pago]]=PEDIDOS[[#This Row],[Total Item ]],"PAGO", "")</f>
        <v/>
      </c>
    </row>
    <row r="703" spans="1:17" s="216" customFormat="1" ht="39.950000000000003" customHeight="1" x14ac:dyDescent="0.25">
      <c r="A703" s="231"/>
      <c r="B703" s="240">
        <v>1122</v>
      </c>
      <c r="C703" s="241">
        <v>43705</v>
      </c>
      <c r="D703" s="242" t="s">
        <v>40</v>
      </c>
      <c r="E703" s="240" t="s">
        <v>1255</v>
      </c>
      <c r="F703" s="240" t="s">
        <v>1210</v>
      </c>
      <c r="G703" s="240">
        <v>0</v>
      </c>
      <c r="H703" s="240">
        <v>0</v>
      </c>
      <c r="I703" s="243"/>
      <c r="J703" s="243"/>
      <c r="K703" s="243" t="s">
        <v>40</v>
      </c>
      <c r="L703" s="240" t="s">
        <v>3</v>
      </c>
      <c r="M703" s="244">
        <v>2</v>
      </c>
      <c r="N703" s="245">
        <v>40</v>
      </c>
      <c r="O703" s="243">
        <v>80</v>
      </c>
      <c r="P703" s="243"/>
      <c r="Q703" s="180" t="str">
        <f>IF(PEDIDOS[[#This Row],[Valor do item pago]]=PEDIDOS[[#This Row],[Total Item ]],"PAGO", "")</f>
        <v/>
      </c>
    </row>
    <row r="704" spans="1:17" s="216" customFormat="1" ht="39.950000000000003" customHeight="1" x14ac:dyDescent="0.25">
      <c r="A704" s="231"/>
      <c r="B704" s="240">
        <v>1121</v>
      </c>
      <c r="C704" s="241">
        <v>43705</v>
      </c>
      <c r="D704" s="242" t="s">
        <v>40</v>
      </c>
      <c r="E704" s="240" t="s">
        <v>630</v>
      </c>
      <c r="F704" s="240" t="s">
        <v>1245</v>
      </c>
      <c r="G704" s="240" t="s">
        <v>1392</v>
      </c>
      <c r="H704" s="240" t="s">
        <v>1205</v>
      </c>
      <c r="I704" s="243" t="s">
        <v>735</v>
      </c>
      <c r="J704" s="243"/>
      <c r="K704" s="243" t="s">
        <v>49</v>
      </c>
      <c r="L704" s="240" t="s">
        <v>1</v>
      </c>
      <c r="M704" s="244">
        <v>1</v>
      </c>
      <c r="N704" s="245">
        <v>40</v>
      </c>
      <c r="O704" s="243">
        <v>40</v>
      </c>
      <c r="P704" s="243">
        <v>40</v>
      </c>
      <c r="Q704" s="180" t="str">
        <f>IF(PEDIDOS[[#This Row],[Valor do item pago]]=PEDIDOS[[#This Row],[Total Item ]],"PAGO", "")</f>
        <v>PAGO</v>
      </c>
    </row>
    <row r="705" spans="1:17" s="216" customFormat="1" ht="39.950000000000003" customHeight="1" x14ac:dyDescent="0.25">
      <c r="A705" s="231"/>
      <c r="B705" s="240">
        <v>1121</v>
      </c>
      <c r="C705" s="241">
        <v>43705</v>
      </c>
      <c r="D705" s="242" t="s">
        <v>40</v>
      </c>
      <c r="E705" s="240" t="s">
        <v>630</v>
      </c>
      <c r="F705" s="240" t="s">
        <v>1245</v>
      </c>
      <c r="G705" s="240" t="s">
        <v>1392</v>
      </c>
      <c r="H705" s="240" t="s">
        <v>1205</v>
      </c>
      <c r="I705" s="243" t="s">
        <v>735</v>
      </c>
      <c r="J705" s="243"/>
      <c r="K705" s="243" t="s">
        <v>49</v>
      </c>
      <c r="L705" s="240" t="s">
        <v>0</v>
      </c>
      <c r="M705" s="244">
        <v>1</v>
      </c>
      <c r="N705" s="245">
        <v>40</v>
      </c>
      <c r="O705" s="243">
        <v>40</v>
      </c>
      <c r="P705" s="243">
        <v>40</v>
      </c>
      <c r="Q705" s="180" t="str">
        <f>IF(PEDIDOS[[#This Row],[Valor do item pago]]=PEDIDOS[[#This Row],[Total Item ]],"PAGO", "")</f>
        <v>PAGO</v>
      </c>
    </row>
    <row r="706" spans="1:17" s="216" customFormat="1" ht="39.950000000000003" customHeight="1" x14ac:dyDescent="0.25">
      <c r="A706" s="231"/>
      <c r="B706" s="240">
        <v>1120</v>
      </c>
      <c r="C706" s="241">
        <v>43705</v>
      </c>
      <c r="D706" s="242" t="s">
        <v>49</v>
      </c>
      <c r="E706" s="240" t="s">
        <v>614</v>
      </c>
      <c r="F706" s="240" t="s">
        <v>1220</v>
      </c>
      <c r="G706" s="240" t="s">
        <v>1363</v>
      </c>
      <c r="H706" s="240" t="s">
        <v>393</v>
      </c>
      <c r="I706" s="243" t="s">
        <v>423</v>
      </c>
      <c r="J706" s="243"/>
      <c r="K706" s="243"/>
      <c r="L706" s="240" t="s">
        <v>219</v>
      </c>
      <c r="M706" s="244">
        <v>1</v>
      </c>
      <c r="N706" s="245">
        <v>40</v>
      </c>
      <c r="O706" s="243">
        <v>40</v>
      </c>
      <c r="P706" s="243">
        <v>40</v>
      </c>
      <c r="Q706" s="180" t="str">
        <f>IF(PEDIDOS[[#This Row],[Valor do item pago]]=PEDIDOS[[#This Row],[Total Item ]],"PAGO", "")</f>
        <v>PAGO</v>
      </c>
    </row>
    <row r="707" spans="1:17" s="216" customFormat="1" ht="39.950000000000003" customHeight="1" x14ac:dyDescent="0.25">
      <c r="A707" s="231"/>
      <c r="B707" s="240">
        <v>1119</v>
      </c>
      <c r="C707" s="241">
        <v>43705</v>
      </c>
      <c r="D707" s="242" t="s">
        <v>49</v>
      </c>
      <c r="E707" s="240" t="s">
        <v>611</v>
      </c>
      <c r="F707" s="240" t="s">
        <v>1225</v>
      </c>
      <c r="G707" s="240" t="s">
        <v>1429</v>
      </c>
      <c r="H707" s="240" t="s">
        <v>390</v>
      </c>
      <c r="I707" s="243" t="s">
        <v>253</v>
      </c>
      <c r="J707" s="243"/>
      <c r="K707" s="243" t="s">
        <v>49</v>
      </c>
      <c r="L707" s="240" t="s">
        <v>3</v>
      </c>
      <c r="M707" s="244">
        <v>1</v>
      </c>
      <c r="N707" s="245">
        <v>40</v>
      </c>
      <c r="O707" s="243">
        <v>40</v>
      </c>
      <c r="P707" s="243">
        <v>40</v>
      </c>
      <c r="Q707" s="180" t="str">
        <f>IF(PEDIDOS[[#This Row],[Valor do item pago]]=PEDIDOS[[#This Row],[Total Item ]],"PAGO", "")</f>
        <v>PAGO</v>
      </c>
    </row>
    <row r="708" spans="1:17" s="216" customFormat="1" ht="39.950000000000003" customHeight="1" x14ac:dyDescent="0.25">
      <c r="A708" s="231"/>
      <c r="B708" s="240">
        <v>1118</v>
      </c>
      <c r="C708" s="241">
        <v>43705</v>
      </c>
      <c r="D708" s="242" t="s">
        <v>49</v>
      </c>
      <c r="E708" s="240" t="s">
        <v>615</v>
      </c>
      <c r="F708" s="240" t="s">
        <v>1242</v>
      </c>
      <c r="G708" s="240" t="s">
        <v>1392</v>
      </c>
      <c r="H708" s="240" t="s">
        <v>1205</v>
      </c>
      <c r="I708" s="243" t="s">
        <v>735</v>
      </c>
      <c r="J708" s="243"/>
      <c r="K708" s="243" t="s">
        <v>49</v>
      </c>
      <c r="L708" s="240" t="s">
        <v>3</v>
      </c>
      <c r="M708" s="244">
        <v>1</v>
      </c>
      <c r="N708" s="245">
        <v>40</v>
      </c>
      <c r="O708" s="243">
        <v>40</v>
      </c>
      <c r="P708" s="243">
        <v>40</v>
      </c>
      <c r="Q708" s="180" t="str">
        <f>IF(PEDIDOS[[#This Row],[Valor do item pago]]=PEDIDOS[[#This Row],[Total Item ]],"PAGO", "")</f>
        <v>PAGO</v>
      </c>
    </row>
    <row r="709" spans="1:17" s="216" customFormat="1" ht="39.950000000000003" customHeight="1" x14ac:dyDescent="0.25">
      <c r="A709" s="231"/>
      <c r="B709" s="240">
        <v>1118</v>
      </c>
      <c r="C709" s="241">
        <v>43705</v>
      </c>
      <c r="D709" s="242" t="s">
        <v>49</v>
      </c>
      <c r="E709" s="240" t="s">
        <v>615</v>
      </c>
      <c r="F709" s="240" t="s">
        <v>1242</v>
      </c>
      <c r="G709" s="240" t="s">
        <v>1392</v>
      </c>
      <c r="H709" s="240" t="s">
        <v>1205</v>
      </c>
      <c r="I709" s="243" t="s">
        <v>735</v>
      </c>
      <c r="J709" s="243"/>
      <c r="K709" s="243" t="s">
        <v>49</v>
      </c>
      <c r="L709" s="240" t="s">
        <v>1</v>
      </c>
      <c r="M709" s="244">
        <v>1</v>
      </c>
      <c r="N709" s="245">
        <v>40</v>
      </c>
      <c r="O709" s="243">
        <v>40</v>
      </c>
      <c r="P709" s="243">
        <v>40</v>
      </c>
      <c r="Q709" s="180" t="str">
        <f>IF(PEDIDOS[[#This Row],[Valor do item pago]]=PEDIDOS[[#This Row],[Total Item ]],"PAGO", "")</f>
        <v>PAGO</v>
      </c>
    </row>
    <row r="710" spans="1:17" s="216" customFormat="1" ht="39.950000000000003" customHeight="1" x14ac:dyDescent="0.25">
      <c r="A710" s="231"/>
      <c r="B710" s="240">
        <v>1118</v>
      </c>
      <c r="C710" s="241">
        <v>43705</v>
      </c>
      <c r="D710" s="242" t="s">
        <v>49</v>
      </c>
      <c r="E710" s="240" t="s">
        <v>615</v>
      </c>
      <c r="F710" s="240" t="s">
        <v>1242</v>
      </c>
      <c r="G710" s="240" t="s">
        <v>1392</v>
      </c>
      <c r="H710" s="240" t="s">
        <v>1205</v>
      </c>
      <c r="I710" s="243" t="s">
        <v>735</v>
      </c>
      <c r="J710" s="243"/>
      <c r="K710" s="243" t="s">
        <v>49</v>
      </c>
      <c r="L710" s="240" t="s">
        <v>0</v>
      </c>
      <c r="M710" s="244">
        <v>1</v>
      </c>
      <c r="N710" s="245">
        <v>40</v>
      </c>
      <c r="O710" s="243">
        <v>40</v>
      </c>
      <c r="P710" s="243">
        <v>40</v>
      </c>
      <c r="Q710" s="180" t="str">
        <f>IF(PEDIDOS[[#This Row],[Valor do item pago]]=PEDIDOS[[#This Row],[Total Item ]],"PAGO", "")</f>
        <v>PAGO</v>
      </c>
    </row>
    <row r="711" spans="1:17" s="216" customFormat="1" ht="39.950000000000003" customHeight="1" x14ac:dyDescent="0.25">
      <c r="A711" s="231"/>
      <c r="B711" s="240">
        <v>1117</v>
      </c>
      <c r="C711" s="241">
        <v>43705</v>
      </c>
      <c r="D711" s="242" t="s">
        <v>916</v>
      </c>
      <c r="E711" s="240" t="s">
        <v>1566</v>
      </c>
      <c r="F711" s="240" t="s">
        <v>1564</v>
      </c>
      <c r="G711" s="240" t="s">
        <v>1562</v>
      </c>
      <c r="H711" s="240" t="s">
        <v>1378</v>
      </c>
      <c r="I711" s="243" t="s">
        <v>1563</v>
      </c>
      <c r="J711" s="243"/>
      <c r="K711" s="243"/>
      <c r="L711" s="240" t="s">
        <v>1</v>
      </c>
      <c r="M711" s="244">
        <v>1</v>
      </c>
      <c r="N711" s="245">
        <v>40</v>
      </c>
      <c r="O711" s="243">
        <v>40</v>
      </c>
      <c r="P711" s="243">
        <v>40</v>
      </c>
      <c r="Q711" s="180" t="str">
        <f>IF(PEDIDOS[[#This Row],[Valor do item pago]]=PEDIDOS[[#This Row],[Total Item ]],"PAGO", "")</f>
        <v>PAGO</v>
      </c>
    </row>
    <row r="712" spans="1:17" s="216" customFormat="1" ht="39.950000000000003" customHeight="1" x14ac:dyDescent="0.25">
      <c r="A712" s="231"/>
      <c r="B712" s="240">
        <v>1116</v>
      </c>
      <c r="C712" s="241">
        <v>43705</v>
      </c>
      <c r="D712" s="242" t="s">
        <v>916</v>
      </c>
      <c r="E712" s="240" t="s">
        <v>1559</v>
      </c>
      <c r="F712" s="240" t="s">
        <v>1565</v>
      </c>
      <c r="G712" s="240" t="s">
        <v>1560</v>
      </c>
      <c r="H712" s="240" t="s">
        <v>1202</v>
      </c>
      <c r="I712" s="243" t="s">
        <v>1561</v>
      </c>
      <c r="J712" s="243"/>
      <c r="K712" s="243"/>
      <c r="L712" s="240" t="s">
        <v>1</v>
      </c>
      <c r="M712" s="244">
        <v>1</v>
      </c>
      <c r="N712" s="245">
        <v>40</v>
      </c>
      <c r="O712" s="243">
        <v>40</v>
      </c>
      <c r="P712" s="243">
        <v>40</v>
      </c>
      <c r="Q712" s="180" t="str">
        <f>IF(PEDIDOS[[#This Row],[Valor do item pago]]=PEDIDOS[[#This Row],[Total Item ]],"PAGO", "")</f>
        <v>PAGO</v>
      </c>
    </row>
    <row r="713" spans="1:17" s="216" customFormat="1" ht="39.950000000000003" customHeight="1" x14ac:dyDescent="0.25">
      <c r="A713" s="231"/>
      <c r="B713" s="240">
        <v>1115</v>
      </c>
      <c r="C713" s="241">
        <v>43705</v>
      </c>
      <c r="D713" s="242" t="s">
        <v>916</v>
      </c>
      <c r="E713" s="240" t="s">
        <v>732</v>
      </c>
      <c r="F713" s="240" t="s">
        <v>733</v>
      </c>
      <c r="G713" s="240">
        <v>0</v>
      </c>
      <c r="H713" s="240" t="s">
        <v>40</v>
      </c>
      <c r="I713" s="243"/>
      <c r="J713" s="243"/>
      <c r="K713" s="243" t="s">
        <v>916</v>
      </c>
      <c r="L713" s="240" t="s">
        <v>219</v>
      </c>
      <c r="M713" s="244">
        <v>1</v>
      </c>
      <c r="N713" s="245">
        <v>40</v>
      </c>
      <c r="O713" s="243">
        <v>40</v>
      </c>
      <c r="P713" s="243"/>
      <c r="Q713" s="180" t="str">
        <f>IF(PEDIDOS[[#This Row],[Valor do item pago]]=PEDIDOS[[#This Row],[Total Item ]],"PAGO", "")</f>
        <v/>
      </c>
    </row>
    <row r="714" spans="1:17" s="216" customFormat="1" ht="39.950000000000003" customHeight="1" x14ac:dyDescent="0.25">
      <c r="A714" s="231"/>
      <c r="B714" s="240">
        <v>1114</v>
      </c>
      <c r="C714" s="241">
        <v>43705</v>
      </c>
      <c r="D714" s="242" t="s">
        <v>966</v>
      </c>
      <c r="E714" s="240" t="s">
        <v>966</v>
      </c>
      <c r="F714" s="240" t="s">
        <v>1073</v>
      </c>
      <c r="G714" s="240">
        <v>0</v>
      </c>
      <c r="H714" s="240" t="s">
        <v>40</v>
      </c>
      <c r="I714" s="243"/>
      <c r="J714" s="243"/>
      <c r="K714" s="243" t="s">
        <v>966</v>
      </c>
      <c r="L714" s="240" t="s">
        <v>3</v>
      </c>
      <c r="M714" s="244">
        <v>1</v>
      </c>
      <c r="N714" s="245">
        <v>40</v>
      </c>
      <c r="O714" s="243">
        <v>40</v>
      </c>
      <c r="P714" s="243"/>
      <c r="Q714" s="180" t="str">
        <f>IF(PEDIDOS[[#This Row],[Valor do item pago]]=PEDIDOS[[#This Row],[Total Item ]],"PAGO", "")</f>
        <v/>
      </c>
    </row>
    <row r="715" spans="1:17" s="216" customFormat="1" ht="39.950000000000003" customHeight="1" x14ac:dyDescent="0.25">
      <c r="A715" s="231"/>
      <c r="B715" s="240">
        <v>1114</v>
      </c>
      <c r="C715" s="241">
        <v>43705</v>
      </c>
      <c r="D715" s="242" t="s">
        <v>966</v>
      </c>
      <c r="E715" s="240" t="s">
        <v>966</v>
      </c>
      <c r="F715" s="240" t="s">
        <v>1073</v>
      </c>
      <c r="G715" s="240">
        <v>0</v>
      </c>
      <c r="H715" s="240" t="s">
        <v>40</v>
      </c>
      <c r="I715" s="243"/>
      <c r="J715" s="243"/>
      <c r="K715" s="243" t="s">
        <v>966</v>
      </c>
      <c r="L715" s="240" t="s">
        <v>219</v>
      </c>
      <c r="M715" s="244">
        <v>1</v>
      </c>
      <c r="N715" s="245">
        <v>40</v>
      </c>
      <c r="O715" s="243">
        <v>40</v>
      </c>
      <c r="P715" s="243"/>
      <c r="Q715" s="180" t="str">
        <f>IF(PEDIDOS[[#This Row],[Valor do item pago]]=PEDIDOS[[#This Row],[Total Item ]],"PAGO", "")</f>
        <v/>
      </c>
    </row>
    <row r="716" spans="1:17" s="216" customFormat="1" ht="39.950000000000003" customHeight="1" x14ac:dyDescent="0.25">
      <c r="A716" s="231"/>
      <c r="B716" s="240">
        <v>1114</v>
      </c>
      <c r="C716" s="241">
        <v>43705</v>
      </c>
      <c r="D716" s="242" t="s">
        <v>966</v>
      </c>
      <c r="E716" s="240" t="s">
        <v>966</v>
      </c>
      <c r="F716" s="240" t="s">
        <v>1073</v>
      </c>
      <c r="G716" s="240">
        <v>0</v>
      </c>
      <c r="H716" s="240" t="s">
        <v>40</v>
      </c>
      <c r="I716" s="243"/>
      <c r="J716" s="243"/>
      <c r="K716" s="243" t="s">
        <v>966</v>
      </c>
      <c r="L716" s="240" t="s">
        <v>1</v>
      </c>
      <c r="M716" s="244">
        <v>1</v>
      </c>
      <c r="N716" s="245">
        <v>40</v>
      </c>
      <c r="O716" s="243">
        <v>40</v>
      </c>
      <c r="P716" s="243"/>
      <c r="Q716" s="180" t="str">
        <f>IF(PEDIDOS[[#This Row],[Valor do item pago]]=PEDIDOS[[#This Row],[Total Item ]],"PAGO", "")</f>
        <v/>
      </c>
    </row>
    <row r="717" spans="1:17" s="216" customFormat="1" ht="39.950000000000003" customHeight="1" x14ac:dyDescent="0.25">
      <c r="A717" s="231"/>
      <c r="B717" s="240">
        <v>1114</v>
      </c>
      <c r="C717" s="241">
        <v>43705</v>
      </c>
      <c r="D717" s="242" t="s">
        <v>966</v>
      </c>
      <c r="E717" s="240" t="s">
        <v>966</v>
      </c>
      <c r="F717" s="240" t="s">
        <v>1073</v>
      </c>
      <c r="G717" s="240">
        <v>0</v>
      </c>
      <c r="H717" s="240" t="s">
        <v>40</v>
      </c>
      <c r="I717" s="243"/>
      <c r="J717" s="243"/>
      <c r="K717" s="243" t="s">
        <v>966</v>
      </c>
      <c r="L717" s="240" t="s">
        <v>0</v>
      </c>
      <c r="M717" s="244">
        <v>1</v>
      </c>
      <c r="N717" s="245">
        <v>40</v>
      </c>
      <c r="O717" s="243">
        <v>40</v>
      </c>
      <c r="P717" s="243"/>
      <c r="Q717" s="180" t="str">
        <f>IF(PEDIDOS[[#This Row],[Valor do item pago]]=PEDIDOS[[#This Row],[Total Item ]],"PAGO", "")</f>
        <v/>
      </c>
    </row>
    <row r="718" spans="1:17" s="216" customFormat="1" ht="39.950000000000003" customHeight="1" x14ac:dyDescent="0.25">
      <c r="A718" s="231"/>
      <c r="B718" s="240">
        <v>1113</v>
      </c>
      <c r="C718" s="241">
        <v>43705</v>
      </c>
      <c r="D718" s="242" t="s">
        <v>229</v>
      </c>
      <c r="E718" s="240" t="s">
        <v>229</v>
      </c>
      <c r="F718" s="240">
        <v>0</v>
      </c>
      <c r="G718" s="240">
        <v>0</v>
      </c>
      <c r="H718" s="240">
        <v>0</v>
      </c>
      <c r="I718" s="243"/>
      <c r="J718" s="243"/>
      <c r="K718" s="243" t="s">
        <v>229</v>
      </c>
      <c r="L718" s="240" t="s">
        <v>1</v>
      </c>
      <c r="M718" s="244">
        <v>2</v>
      </c>
      <c r="N718" s="245">
        <v>40</v>
      </c>
      <c r="O718" s="243">
        <v>80</v>
      </c>
      <c r="P718" s="243"/>
      <c r="Q718" s="180" t="str">
        <f>IF(PEDIDOS[[#This Row],[Valor do item pago]]=PEDIDOS[[#This Row],[Total Item ]],"PAGO", "")</f>
        <v/>
      </c>
    </row>
    <row r="719" spans="1:17" s="216" customFormat="1" ht="39.950000000000003" customHeight="1" x14ac:dyDescent="0.25">
      <c r="A719" s="231"/>
      <c r="B719" s="240">
        <v>1112</v>
      </c>
      <c r="C719" s="241">
        <v>43705</v>
      </c>
      <c r="D719" s="242" t="s">
        <v>804</v>
      </c>
      <c r="E719" s="240" t="s">
        <v>804</v>
      </c>
      <c r="F719" s="240" t="s">
        <v>803</v>
      </c>
      <c r="G719" s="240">
        <v>0</v>
      </c>
      <c r="H719" s="240">
        <v>0</v>
      </c>
      <c r="I719" s="243"/>
      <c r="J719" s="243"/>
      <c r="K719" s="243" t="s">
        <v>804</v>
      </c>
      <c r="L719" s="240" t="s">
        <v>0</v>
      </c>
      <c r="M719" s="244">
        <v>1</v>
      </c>
      <c r="N719" s="245">
        <v>40</v>
      </c>
      <c r="O719" s="243">
        <v>40</v>
      </c>
      <c r="P719" s="243"/>
      <c r="Q719" s="180" t="str">
        <f>IF(PEDIDOS[[#This Row],[Valor do item pago]]=PEDIDOS[[#This Row],[Total Item ]],"PAGO", "")</f>
        <v/>
      </c>
    </row>
    <row r="720" spans="1:17" s="216" customFormat="1" ht="39.950000000000003" customHeight="1" x14ac:dyDescent="0.25">
      <c r="A720" s="231"/>
      <c r="B720" s="240">
        <v>1111</v>
      </c>
      <c r="C720" s="241">
        <v>43705</v>
      </c>
      <c r="D720" s="242" t="s">
        <v>34</v>
      </c>
      <c r="E720" s="240" t="s">
        <v>1316</v>
      </c>
      <c r="F720" s="240" t="s">
        <v>717</v>
      </c>
      <c r="G720" s="240" t="s">
        <v>1394</v>
      </c>
      <c r="H720" s="240" t="s">
        <v>112</v>
      </c>
      <c r="I720" s="243" t="s">
        <v>720</v>
      </c>
      <c r="J720" s="243" t="s">
        <v>887</v>
      </c>
      <c r="K720" s="243"/>
      <c r="L720" s="240" t="s">
        <v>3</v>
      </c>
      <c r="M720" s="244">
        <v>4</v>
      </c>
      <c r="N720" s="245">
        <v>40</v>
      </c>
      <c r="O720" s="243">
        <v>160</v>
      </c>
      <c r="P720" s="243"/>
      <c r="Q720" s="180" t="str">
        <f>IF(PEDIDOS[[#This Row],[Valor do item pago]]=PEDIDOS[[#This Row],[Total Item ]],"PAGO", "")</f>
        <v/>
      </c>
    </row>
    <row r="721" spans="1:17" s="216" customFormat="1" ht="39.950000000000003" customHeight="1" x14ac:dyDescent="0.25">
      <c r="A721" s="231"/>
      <c r="B721" s="240">
        <v>1110</v>
      </c>
      <c r="C721" s="241">
        <v>43705</v>
      </c>
      <c r="D721" s="242" t="s">
        <v>477</v>
      </c>
      <c r="E721" s="240" t="s">
        <v>1555</v>
      </c>
      <c r="F721" s="240" t="s">
        <v>1556</v>
      </c>
      <c r="G721" s="240" t="s">
        <v>1557</v>
      </c>
      <c r="H721" s="240" t="s">
        <v>395</v>
      </c>
      <c r="I721" s="243" t="s">
        <v>1558</v>
      </c>
      <c r="J721" s="243"/>
      <c r="K721" s="243"/>
      <c r="L721" s="240" t="s">
        <v>219</v>
      </c>
      <c r="M721" s="244">
        <v>1</v>
      </c>
      <c r="N721" s="245">
        <v>40</v>
      </c>
      <c r="O721" s="243">
        <v>40</v>
      </c>
      <c r="P721" s="243">
        <v>40</v>
      </c>
      <c r="Q721" s="180" t="str">
        <f>IF(PEDIDOS[[#This Row],[Valor do item pago]]=PEDIDOS[[#This Row],[Total Item ]],"PAGO", "")</f>
        <v>PAGO</v>
      </c>
    </row>
    <row r="722" spans="1:17" s="216" customFormat="1" ht="39.950000000000003" customHeight="1" x14ac:dyDescent="0.25">
      <c r="A722" s="231"/>
      <c r="B722" s="240">
        <v>1109</v>
      </c>
      <c r="C722" s="241">
        <v>43705</v>
      </c>
      <c r="D722" s="242" t="s">
        <v>477</v>
      </c>
      <c r="E722" s="240" t="s">
        <v>1188</v>
      </c>
      <c r="F722" s="240" t="s">
        <v>1241</v>
      </c>
      <c r="G722" s="240" t="s">
        <v>1350</v>
      </c>
      <c r="H722" s="240" t="s">
        <v>401</v>
      </c>
      <c r="I722" s="243" t="s">
        <v>445</v>
      </c>
      <c r="J722" s="243"/>
      <c r="K722" s="243"/>
      <c r="L722" s="240" t="s">
        <v>0</v>
      </c>
      <c r="M722" s="244">
        <v>1</v>
      </c>
      <c r="N722" s="245">
        <v>40</v>
      </c>
      <c r="O722" s="243">
        <v>40</v>
      </c>
      <c r="P722" s="243"/>
      <c r="Q722" s="180" t="str">
        <f>IF(PEDIDOS[[#This Row],[Valor do item pago]]=PEDIDOS[[#This Row],[Total Item ]],"PAGO", "")</f>
        <v/>
      </c>
    </row>
    <row r="723" spans="1:17" s="216" customFormat="1" ht="39.950000000000003" customHeight="1" x14ac:dyDescent="0.25">
      <c r="A723" s="231"/>
      <c r="B723" s="240">
        <v>1108</v>
      </c>
      <c r="C723" s="241">
        <v>43705</v>
      </c>
      <c r="D723" s="242" t="s">
        <v>477</v>
      </c>
      <c r="E723" s="240" t="s">
        <v>513</v>
      </c>
      <c r="F723" s="240" t="s">
        <v>514</v>
      </c>
      <c r="G723" s="240" t="s">
        <v>1419</v>
      </c>
      <c r="H723" s="240" t="s">
        <v>1455</v>
      </c>
      <c r="I723" s="243" t="s">
        <v>661</v>
      </c>
      <c r="J723" s="243"/>
      <c r="K723" s="243"/>
      <c r="L723" s="240" t="s">
        <v>219</v>
      </c>
      <c r="M723" s="244">
        <v>1</v>
      </c>
      <c r="N723" s="245">
        <v>40</v>
      </c>
      <c r="O723" s="243">
        <v>40</v>
      </c>
      <c r="P723" s="243"/>
      <c r="Q723" s="180" t="str">
        <f>IF(PEDIDOS[[#This Row],[Valor do item pago]]=PEDIDOS[[#This Row],[Total Item ]],"PAGO", "")</f>
        <v/>
      </c>
    </row>
    <row r="724" spans="1:17" s="216" customFormat="1" ht="39.950000000000003" customHeight="1" x14ac:dyDescent="0.25">
      <c r="A724" s="231"/>
      <c r="B724" s="240">
        <v>1108</v>
      </c>
      <c r="C724" s="241">
        <v>43705</v>
      </c>
      <c r="D724" s="242" t="s">
        <v>477</v>
      </c>
      <c r="E724" s="240" t="s">
        <v>513</v>
      </c>
      <c r="F724" s="240" t="s">
        <v>514</v>
      </c>
      <c r="G724" s="240" t="s">
        <v>1419</v>
      </c>
      <c r="H724" s="240" t="s">
        <v>1455</v>
      </c>
      <c r="I724" s="243" t="s">
        <v>661</v>
      </c>
      <c r="J724" s="243"/>
      <c r="K724" s="243"/>
      <c r="L724" s="240" t="s">
        <v>1</v>
      </c>
      <c r="M724" s="244">
        <v>1</v>
      </c>
      <c r="N724" s="245">
        <v>40</v>
      </c>
      <c r="O724" s="243">
        <v>40</v>
      </c>
      <c r="P724" s="243"/>
      <c r="Q724" s="180" t="str">
        <f>IF(PEDIDOS[[#This Row],[Valor do item pago]]=PEDIDOS[[#This Row],[Total Item ]],"PAGO", "")</f>
        <v/>
      </c>
    </row>
    <row r="725" spans="1:17" s="216" customFormat="1" ht="39.950000000000003" customHeight="1" x14ac:dyDescent="0.25">
      <c r="A725" s="231"/>
      <c r="B725" s="240">
        <v>1107</v>
      </c>
      <c r="C725" s="241">
        <v>43705</v>
      </c>
      <c r="D725" s="242" t="s">
        <v>477</v>
      </c>
      <c r="E725" s="240" t="s">
        <v>367</v>
      </c>
      <c r="F725" s="240" t="s">
        <v>1237</v>
      </c>
      <c r="G725" s="240" t="s">
        <v>1418</v>
      </c>
      <c r="H725" s="240" t="s">
        <v>392</v>
      </c>
      <c r="I725" s="243" t="s">
        <v>656</v>
      </c>
      <c r="J725" s="243"/>
      <c r="K725" s="243"/>
      <c r="L725" s="240" t="s">
        <v>0</v>
      </c>
      <c r="M725" s="244">
        <v>1</v>
      </c>
      <c r="N725" s="245">
        <v>40</v>
      </c>
      <c r="O725" s="243">
        <v>40</v>
      </c>
      <c r="P725" s="243"/>
      <c r="Q725" s="180" t="str">
        <f>IF(PEDIDOS[[#This Row],[Valor do item pago]]=PEDIDOS[[#This Row],[Total Item ]],"PAGO", "")</f>
        <v/>
      </c>
    </row>
    <row r="726" spans="1:17" s="216" customFormat="1" ht="39.950000000000003" customHeight="1" x14ac:dyDescent="0.25">
      <c r="A726" s="231"/>
      <c r="B726" s="240">
        <v>1106</v>
      </c>
      <c r="C726" s="241">
        <v>43705</v>
      </c>
      <c r="D726" s="242" t="s">
        <v>477</v>
      </c>
      <c r="E726" s="240" t="s">
        <v>11</v>
      </c>
      <c r="F726" s="240" t="s">
        <v>882</v>
      </c>
      <c r="G726" s="240" t="s">
        <v>1382</v>
      </c>
      <c r="H726" s="240" t="s">
        <v>441</v>
      </c>
      <c r="I726" s="243" t="s">
        <v>884</v>
      </c>
      <c r="J726" s="243"/>
      <c r="K726" s="243" t="s">
        <v>477</v>
      </c>
      <c r="L726" s="240" t="s">
        <v>1</v>
      </c>
      <c r="M726" s="244">
        <v>1</v>
      </c>
      <c r="N726" s="245">
        <v>40</v>
      </c>
      <c r="O726" s="243">
        <v>40</v>
      </c>
      <c r="P726" s="243"/>
      <c r="Q726" s="180" t="str">
        <f>IF(PEDIDOS[[#This Row],[Valor do item pago]]=PEDIDOS[[#This Row],[Total Item ]],"PAGO", "")</f>
        <v/>
      </c>
    </row>
    <row r="727" spans="1:17" s="216" customFormat="1" ht="39.950000000000003" customHeight="1" x14ac:dyDescent="0.25">
      <c r="A727" s="231"/>
      <c r="B727" s="240">
        <v>1105</v>
      </c>
      <c r="C727" s="241">
        <v>43705</v>
      </c>
      <c r="D727" s="242" t="s">
        <v>477</v>
      </c>
      <c r="E727" s="240" t="s">
        <v>1278</v>
      </c>
      <c r="F727" s="240" t="s">
        <v>882</v>
      </c>
      <c r="G727" s="240" t="s">
        <v>1382</v>
      </c>
      <c r="H727" s="240" t="s">
        <v>441</v>
      </c>
      <c r="I727" s="243" t="s">
        <v>884</v>
      </c>
      <c r="J727" s="243"/>
      <c r="K727" s="243" t="s">
        <v>477</v>
      </c>
      <c r="L727" s="240" t="s">
        <v>0</v>
      </c>
      <c r="M727" s="244">
        <v>1</v>
      </c>
      <c r="N727" s="245">
        <v>40</v>
      </c>
      <c r="O727" s="243">
        <v>40</v>
      </c>
      <c r="P727" s="243"/>
      <c r="Q727" s="180" t="str">
        <f>IF(PEDIDOS[[#This Row],[Valor do item pago]]=PEDIDOS[[#This Row],[Total Item ]],"PAGO", "")</f>
        <v/>
      </c>
    </row>
    <row r="728" spans="1:17" s="216" customFormat="1" ht="39.950000000000003" customHeight="1" x14ac:dyDescent="0.25">
      <c r="A728" s="231"/>
      <c r="B728" s="240">
        <v>1104</v>
      </c>
      <c r="C728" s="241">
        <v>43705</v>
      </c>
      <c r="D728" s="242" t="s">
        <v>477</v>
      </c>
      <c r="E728" s="240" t="s">
        <v>1262</v>
      </c>
      <c r="F728" s="240">
        <v>0</v>
      </c>
      <c r="G728" s="240">
        <v>0</v>
      </c>
      <c r="H728" s="240">
        <v>0</v>
      </c>
      <c r="I728" s="243"/>
      <c r="J728" s="243"/>
      <c r="K728" s="243" t="s">
        <v>1554</v>
      </c>
      <c r="L728" s="240" t="s">
        <v>1</v>
      </c>
      <c r="M728" s="244">
        <v>1</v>
      </c>
      <c r="N728" s="245">
        <v>40</v>
      </c>
      <c r="O728" s="243">
        <v>40</v>
      </c>
      <c r="P728" s="243">
        <v>40</v>
      </c>
      <c r="Q728" s="180" t="str">
        <f>IF(PEDIDOS[[#This Row],[Valor do item pago]]=PEDIDOS[[#This Row],[Total Item ]],"PAGO", "")</f>
        <v>PAGO</v>
      </c>
    </row>
    <row r="729" spans="1:17" s="216" customFormat="1" ht="39.950000000000003" customHeight="1" x14ac:dyDescent="0.25">
      <c r="A729" s="231"/>
      <c r="B729" s="240">
        <v>1103</v>
      </c>
      <c r="C729" s="241">
        <v>43705</v>
      </c>
      <c r="D729" s="242" t="s">
        <v>477</v>
      </c>
      <c r="E729" s="240" t="s">
        <v>506</v>
      </c>
      <c r="F729" s="240" t="s">
        <v>503</v>
      </c>
      <c r="G729" s="240" t="s">
        <v>1416</v>
      </c>
      <c r="H729" s="240" t="s">
        <v>505</v>
      </c>
      <c r="I729" s="243" t="s">
        <v>660</v>
      </c>
      <c r="J729" s="243"/>
      <c r="K729" s="243"/>
      <c r="L729" s="240" t="s">
        <v>1</v>
      </c>
      <c r="M729" s="244">
        <v>2</v>
      </c>
      <c r="N729" s="245">
        <v>40</v>
      </c>
      <c r="O729" s="243">
        <v>80</v>
      </c>
      <c r="P729" s="243"/>
      <c r="Q729" s="180" t="str">
        <f>IF(PEDIDOS[[#This Row],[Valor do item pago]]=PEDIDOS[[#This Row],[Total Item ]],"PAGO", "")</f>
        <v/>
      </c>
    </row>
    <row r="730" spans="1:17" s="216" customFormat="1" ht="39.950000000000003" customHeight="1" x14ac:dyDescent="0.25">
      <c r="A730" s="231"/>
      <c r="B730" s="240">
        <v>1102</v>
      </c>
      <c r="C730" s="241">
        <v>43705</v>
      </c>
      <c r="D730" s="242" t="s">
        <v>477</v>
      </c>
      <c r="E730" s="240" t="s">
        <v>507</v>
      </c>
      <c r="F730" s="240" t="s">
        <v>497</v>
      </c>
      <c r="G730" s="240" t="s">
        <v>1376</v>
      </c>
      <c r="H730" s="240" t="s">
        <v>461</v>
      </c>
      <c r="I730" s="243" t="s">
        <v>659</v>
      </c>
      <c r="J730" s="243"/>
      <c r="K730" s="243"/>
      <c r="L730" s="240" t="s">
        <v>1</v>
      </c>
      <c r="M730" s="244">
        <v>1</v>
      </c>
      <c r="N730" s="245">
        <v>40</v>
      </c>
      <c r="O730" s="243">
        <v>40</v>
      </c>
      <c r="P730" s="243"/>
      <c r="Q730" s="180" t="str">
        <f>IF(PEDIDOS[[#This Row],[Valor do item pago]]=PEDIDOS[[#This Row],[Total Item ]],"PAGO", "")</f>
        <v/>
      </c>
    </row>
    <row r="731" spans="1:17" s="216" customFormat="1" ht="39.950000000000003" customHeight="1" x14ac:dyDescent="0.25">
      <c r="A731" s="231"/>
      <c r="B731" s="240">
        <v>1101</v>
      </c>
      <c r="C731" s="241">
        <v>43705</v>
      </c>
      <c r="D731" s="242" t="s">
        <v>477</v>
      </c>
      <c r="E731" s="240" t="s">
        <v>1199</v>
      </c>
      <c r="F731" s="240" t="s">
        <v>969</v>
      </c>
      <c r="G731" s="240" t="s">
        <v>1361</v>
      </c>
      <c r="H731" s="240" t="s">
        <v>52</v>
      </c>
      <c r="I731" s="243" t="s">
        <v>971</v>
      </c>
      <c r="J731" s="243" t="s">
        <v>1553</v>
      </c>
      <c r="K731" s="243"/>
      <c r="L731" s="240" t="s">
        <v>219</v>
      </c>
      <c r="M731" s="244">
        <v>1</v>
      </c>
      <c r="N731" s="245">
        <v>40</v>
      </c>
      <c r="O731" s="243">
        <v>40</v>
      </c>
      <c r="P731" s="243">
        <v>40</v>
      </c>
      <c r="Q731" s="180" t="str">
        <f>IF(PEDIDOS[[#This Row],[Valor do item pago]]=PEDIDOS[[#This Row],[Total Item ]],"PAGO", "")</f>
        <v>PAGO</v>
      </c>
    </row>
    <row r="732" spans="1:17" s="216" customFormat="1" ht="39.950000000000003" customHeight="1" x14ac:dyDescent="0.25">
      <c r="A732" s="231"/>
      <c r="B732" s="240">
        <v>1100</v>
      </c>
      <c r="C732" s="241">
        <v>43705</v>
      </c>
      <c r="D732" s="242" t="s">
        <v>477</v>
      </c>
      <c r="E732" s="240" t="s">
        <v>343</v>
      </c>
      <c r="F732" s="240" t="s">
        <v>826</v>
      </c>
      <c r="G732" s="240" t="s">
        <v>1404</v>
      </c>
      <c r="H732" s="240" t="s">
        <v>441</v>
      </c>
      <c r="I732" s="243" t="s">
        <v>874</v>
      </c>
      <c r="J732" s="243"/>
      <c r="K732" s="243" t="s">
        <v>477</v>
      </c>
      <c r="L732" s="240" t="s">
        <v>3</v>
      </c>
      <c r="M732" s="244">
        <v>1</v>
      </c>
      <c r="N732" s="245">
        <v>40</v>
      </c>
      <c r="O732" s="243">
        <v>40</v>
      </c>
      <c r="P732" s="243"/>
      <c r="Q732" s="180" t="str">
        <f>IF(PEDIDOS[[#This Row],[Valor do item pago]]=PEDIDOS[[#This Row],[Total Item ]],"PAGO", "")</f>
        <v/>
      </c>
    </row>
    <row r="733" spans="1:17" s="216" customFormat="1" ht="39.950000000000003" customHeight="1" x14ac:dyDescent="0.25">
      <c r="A733" s="231"/>
      <c r="B733" s="240">
        <v>1099</v>
      </c>
      <c r="C733" s="241">
        <v>43705</v>
      </c>
      <c r="D733" s="242" t="s">
        <v>477</v>
      </c>
      <c r="E733" s="240" t="s">
        <v>1183</v>
      </c>
      <c r="F733" s="240" t="s">
        <v>1213</v>
      </c>
      <c r="G733" s="240" t="s">
        <v>1322</v>
      </c>
      <c r="H733" s="240" t="s">
        <v>389</v>
      </c>
      <c r="I733" s="243" t="s">
        <v>255</v>
      </c>
      <c r="J733" s="243"/>
      <c r="K733" s="243"/>
      <c r="L733" s="240" t="s">
        <v>219</v>
      </c>
      <c r="M733" s="244">
        <v>1</v>
      </c>
      <c r="N733" s="245">
        <v>40</v>
      </c>
      <c r="O733" s="243">
        <v>40</v>
      </c>
      <c r="P733" s="243"/>
      <c r="Q733" s="180" t="str">
        <f>IF(PEDIDOS[[#This Row],[Valor do item pago]]=PEDIDOS[[#This Row],[Total Item ]],"PAGO", "")</f>
        <v/>
      </c>
    </row>
    <row r="734" spans="1:17" s="216" customFormat="1" ht="39.950000000000003" customHeight="1" x14ac:dyDescent="0.25">
      <c r="A734" s="231"/>
      <c r="B734" s="240">
        <v>1098</v>
      </c>
      <c r="C734" s="241">
        <v>43705</v>
      </c>
      <c r="D734" s="242" t="s">
        <v>477</v>
      </c>
      <c r="E734" s="240" t="s">
        <v>338</v>
      </c>
      <c r="F734" s="240" t="s">
        <v>1208</v>
      </c>
      <c r="G734" s="240" t="s">
        <v>1400</v>
      </c>
      <c r="H734" s="240" t="s">
        <v>1254</v>
      </c>
      <c r="I734" s="243" t="s">
        <v>654</v>
      </c>
      <c r="J734" s="243"/>
      <c r="K734" s="243"/>
      <c r="L734" s="240" t="s">
        <v>1</v>
      </c>
      <c r="M734" s="244">
        <v>1</v>
      </c>
      <c r="N734" s="245">
        <v>40</v>
      </c>
      <c r="O734" s="243">
        <v>40</v>
      </c>
      <c r="P734" s="243"/>
      <c r="Q734" s="180" t="str">
        <f>IF(PEDIDOS[[#This Row],[Valor do item pago]]=PEDIDOS[[#This Row],[Total Item ]],"PAGO", "")</f>
        <v/>
      </c>
    </row>
    <row r="735" spans="1:17" s="216" customFormat="1" ht="39.950000000000003" customHeight="1" x14ac:dyDescent="0.25">
      <c r="A735" s="231"/>
      <c r="B735" s="240">
        <v>1097</v>
      </c>
      <c r="C735" s="241">
        <v>43678</v>
      </c>
      <c r="D735" s="242" t="s">
        <v>477</v>
      </c>
      <c r="E735" s="240" t="s">
        <v>1339</v>
      </c>
      <c r="F735" s="240" t="s">
        <v>828</v>
      </c>
      <c r="G735" s="240" t="s">
        <v>1406</v>
      </c>
      <c r="H735" s="240" t="s">
        <v>651</v>
      </c>
      <c r="I735" s="243" t="s">
        <v>831</v>
      </c>
      <c r="J735" s="243"/>
      <c r="K735" s="243"/>
      <c r="L735" s="240" t="s">
        <v>219</v>
      </c>
      <c r="M735" s="244">
        <v>1</v>
      </c>
      <c r="N735" s="245">
        <v>40</v>
      </c>
      <c r="O735" s="243">
        <v>40</v>
      </c>
      <c r="P735" s="243">
        <v>40</v>
      </c>
      <c r="Q735" s="180" t="str">
        <f>IF(PEDIDOS[[#This Row],[Valor do item pago]]=PEDIDOS[[#This Row],[Total Item ]],"PAGO", "")</f>
        <v>PAGO</v>
      </c>
    </row>
    <row r="736" spans="1:17" s="216" customFormat="1" ht="39.950000000000003" customHeight="1" x14ac:dyDescent="0.25">
      <c r="A736" s="231"/>
      <c r="B736" s="240">
        <v>1096</v>
      </c>
      <c r="C736" s="241">
        <v>43678</v>
      </c>
      <c r="D736" s="242" t="s">
        <v>477</v>
      </c>
      <c r="E736" s="240" t="s">
        <v>1470</v>
      </c>
      <c r="F736" s="240" t="s">
        <v>1475</v>
      </c>
      <c r="G736" s="240" t="s">
        <v>1480</v>
      </c>
      <c r="H736" s="240" t="s">
        <v>441</v>
      </c>
      <c r="I736" s="243" t="s">
        <v>1487</v>
      </c>
      <c r="J736" s="243"/>
      <c r="K736" s="243" t="s">
        <v>477</v>
      </c>
      <c r="L736" s="240" t="s">
        <v>1</v>
      </c>
      <c r="M736" s="244">
        <v>1</v>
      </c>
      <c r="N736" s="245">
        <v>40</v>
      </c>
      <c r="O736" s="243">
        <v>40</v>
      </c>
      <c r="P736" s="243"/>
      <c r="Q736" s="180" t="str">
        <f>IF(PEDIDOS[[#This Row],[Valor do item pago]]=PEDIDOS[[#This Row],[Total Item ]],"PAGO", "")</f>
        <v/>
      </c>
    </row>
    <row r="737" spans="1:17" s="216" customFormat="1" ht="39.950000000000003" customHeight="1" x14ac:dyDescent="0.25">
      <c r="A737" s="231"/>
      <c r="B737" s="240">
        <v>1095</v>
      </c>
      <c r="C737" s="241">
        <v>43678</v>
      </c>
      <c r="D737" s="242" t="s">
        <v>477</v>
      </c>
      <c r="E737" s="240" t="s">
        <v>1551</v>
      </c>
      <c r="F737" s="240">
        <v>0</v>
      </c>
      <c r="G737" s="240">
        <v>0</v>
      </c>
      <c r="H737" s="240">
        <v>0</v>
      </c>
      <c r="I737" s="243"/>
      <c r="J737" s="243"/>
      <c r="K737" s="243" t="s">
        <v>477</v>
      </c>
      <c r="L737" s="240" t="s">
        <v>1</v>
      </c>
      <c r="M737" s="244">
        <v>1</v>
      </c>
      <c r="N737" s="245">
        <v>40</v>
      </c>
      <c r="O737" s="243">
        <v>40</v>
      </c>
      <c r="P737" s="243"/>
      <c r="Q737" s="180" t="str">
        <f>IF(PEDIDOS[[#This Row],[Valor do item pago]]=PEDIDOS[[#This Row],[Total Item ]],"PAGO", "")</f>
        <v/>
      </c>
    </row>
    <row r="738" spans="1:17" s="216" customFormat="1" ht="39.950000000000003" customHeight="1" x14ac:dyDescent="0.25">
      <c r="A738" s="231"/>
      <c r="B738" s="240">
        <v>1094</v>
      </c>
      <c r="C738" s="241">
        <v>43678</v>
      </c>
      <c r="D738" s="242" t="s">
        <v>477</v>
      </c>
      <c r="E738" s="240" t="s">
        <v>1552</v>
      </c>
      <c r="F738" s="240">
        <v>0</v>
      </c>
      <c r="G738" s="240">
        <v>0</v>
      </c>
      <c r="H738" s="240">
        <v>0</v>
      </c>
      <c r="I738" s="243"/>
      <c r="J738" s="243"/>
      <c r="K738" s="243" t="s">
        <v>477</v>
      </c>
      <c r="L738" s="240" t="s">
        <v>1</v>
      </c>
      <c r="M738" s="244">
        <v>1</v>
      </c>
      <c r="N738" s="245">
        <v>40</v>
      </c>
      <c r="O738" s="243">
        <v>40</v>
      </c>
      <c r="P738" s="243"/>
      <c r="Q738" s="180" t="str">
        <f>IF(PEDIDOS[[#This Row],[Valor do item pago]]=PEDIDOS[[#This Row],[Total Item ]],"PAGO", "")</f>
        <v/>
      </c>
    </row>
    <row r="739" spans="1:17" s="216" customFormat="1" ht="39.950000000000003" customHeight="1" x14ac:dyDescent="0.25">
      <c r="A739" s="231"/>
      <c r="B739" s="240">
        <v>1093</v>
      </c>
      <c r="C739" s="241">
        <v>43678</v>
      </c>
      <c r="D739" s="242" t="s">
        <v>477</v>
      </c>
      <c r="E739" s="240" t="s">
        <v>1471</v>
      </c>
      <c r="F739" s="240" t="s">
        <v>1477</v>
      </c>
      <c r="G739" s="240" t="s">
        <v>1481</v>
      </c>
      <c r="H739" s="240" t="s">
        <v>651</v>
      </c>
      <c r="I739" s="243" t="s">
        <v>1486</v>
      </c>
      <c r="J739" s="243"/>
      <c r="K739" s="243"/>
      <c r="L739" s="240" t="s">
        <v>219</v>
      </c>
      <c r="M739" s="244">
        <v>1</v>
      </c>
      <c r="N739" s="245">
        <v>40</v>
      </c>
      <c r="O739" s="243">
        <v>40</v>
      </c>
      <c r="P739" s="243"/>
      <c r="Q739" s="180" t="str">
        <f>IF(PEDIDOS[[#This Row],[Valor do item pago]]=PEDIDOS[[#This Row],[Total Item ]],"PAGO", "")</f>
        <v/>
      </c>
    </row>
    <row r="740" spans="1:17" s="216" customFormat="1" ht="39.950000000000003" customHeight="1" x14ac:dyDescent="0.25">
      <c r="A740" s="231"/>
      <c r="B740" s="240">
        <v>1092</v>
      </c>
      <c r="C740" s="241">
        <v>43678</v>
      </c>
      <c r="D740" s="242" t="s">
        <v>477</v>
      </c>
      <c r="E740" s="240" t="s">
        <v>1518</v>
      </c>
      <c r="F740" s="240" t="s">
        <v>1519</v>
      </c>
      <c r="G740" s="240" t="s">
        <v>1520</v>
      </c>
      <c r="H740" s="240" t="s">
        <v>406</v>
      </c>
      <c r="I740" s="243" t="s">
        <v>1521</v>
      </c>
      <c r="J740" s="243"/>
      <c r="K740" s="243"/>
      <c r="L740" s="240" t="s">
        <v>219</v>
      </c>
      <c r="M740" s="244">
        <v>3</v>
      </c>
      <c r="N740" s="245">
        <v>40</v>
      </c>
      <c r="O740" s="243">
        <v>120</v>
      </c>
      <c r="P740" s="243">
        <v>120</v>
      </c>
      <c r="Q740" s="180" t="str">
        <f>IF(PEDIDOS[[#This Row],[Valor do item pago]]=PEDIDOS[[#This Row],[Total Item ]],"PAGO", "")</f>
        <v>PAGO</v>
      </c>
    </row>
    <row r="741" spans="1:17" s="216" customFormat="1" ht="39.950000000000003" customHeight="1" x14ac:dyDescent="0.25">
      <c r="A741" s="231"/>
      <c r="B741" s="240">
        <v>1091</v>
      </c>
      <c r="C741" s="241">
        <v>43678</v>
      </c>
      <c r="D741" s="242" t="s">
        <v>477</v>
      </c>
      <c r="E741" s="240" t="s">
        <v>547</v>
      </c>
      <c r="F741" s="240" t="s">
        <v>521</v>
      </c>
      <c r="G741" s="240" t="s">
        <v>1317</v>
      </c>
      <c r="H741" s="240" t="s">
        <v>1205</v>
      </c>
      <c r="I741" s="243" t="s">
        <v>663</v>
      </c>
      <c r="J741" s="243"/>
      <c r="K741" s="243"/>
      <c r="L741" s="240" t="s">
        <v>235</v>
      </c>
      <c r="M741" s="244">
        <v>1</v>
      </c>
      <c r="N741" s="245">
        <v>40</v>
      </c>
      <c r="O741" s="243">
        <v>40</v>
      </c>
      <c r="P741" s="243"/>
      <c r="Q741" s="180" t="str">
        <f>IF(PEDIDOS[[#This Row],[Valor do item pago]]=PEDIDOS[[#This Row],[Total Item ]],"PAGO", "")</f>
        <v/>
      </c>
    </row>
    <row r="742" spans="1:17" s="216" customFormat="1" ht="39.950000000000003" customHeight="1" x14ac:dyDescent="0.25">
      <c r="A742" s="231"/>
      <c r="B742" s="240">
        <v>1090</v>
      </c>
      <c r="C742" s="241">
        <v>43678</v>
      </c>
      <c r="D742" s="242" t="s">
        <v>477</v>
      </c>
      <c r="E742" s="240" t="s">
        <v>1188</v>
      </c>
      <c r="F742" s="240" t="s">
        <v>1241</v>
      </c>
      <c r="G742" s="240" t="s">
        <v>1350</v>
      </c>
      <c r="H742" s="240" t="s">
        <v>401</v>
      </c>
      <c r="I742" s="243" t="s">
        <v>445</v>
      </c>
      <c r="J742" s="243"/>
      <c r="K742" s="243"/>
      <c r="L742" s="240" t="s">
        <v>0</v>
      </c>
      <c r="M742" s="244">
        <v>1</v>
      </c>
      <c r="N742" s="245">
        <v>40</v>
      </c>
      <c r="O742" s="243">
        <v>40</v>
      </c>
      <c r="P742" s="243"/>
      <c r="Q742" s="180" t="str">
        <f>IF(PEDIDOS[[#This Row],[Valor do item pago]]=PEDIDOS[[#This Row],[Total Item ]],"PAGO", "")</f>
        <v/>
      </c>
    </row>
    <row r="743" spans="1:17" s="216" customFormat="1" ht="39.950000000000003" customHeight="1" x14ac:dyDescent="0.25">
      <c r="A743" s="231"/>
      <c r="B743" s="240">
        <v>1089</v>
      </c>
      <c r="C743" s="241">
        <v>43678</v>
      </c>
      <c r="D743" s="242" t="s">
        <v>477</v>
      </c>
      <c r="E743" s="240" t="s">
        <v>369</v>
      </c>
      <c r="F743" s="240" t="s">
        <v>1240</v>
      </c>
      <c r="G743" s="240" t="s">
        <v>1420</v>
      </c>
      <c r="H743" s="240" t="s">
        <v>400</v>
      </c>
      <c r="I743" s="243" t="s">
        <v>444</v>
      </c>
      <c r="J743" s="243"/>
      <c r="K743" s="243"/>
      <c r="L743" s="240" t="s">
        <v>219</v>
      </c>
      <c r="M743" s="244">
        <v>1</v>
      </c>
      <c r="N743" s="245">
        <v>40</v>
      </c>
      <c r="O743" s="243">
        <v>40</v>
      </c>
      <c r="P743" s="243"/>
      <c r="Q743" s="180" t="str">
        <f>IF(PEDIDOS[[#This Row],[Valor do item pago]]=PEDIDOS[[#This Row],[Total Item ]],"PAGO", "")</f>
        <v/>
      </c>
    </row>
    <row r="744" spans="1:17" s="216" customFormat="1" ht="39.950000000000003" customHeight="1" x14ac:dyDescent="0.25">
      <c r="A744" s="231"/>
      <c r="B744" s="240">
        <v>1088</v>
      </c>
      <c r="C744" s="241">
        <v>43678</v>
      </c>
      <c r="D744" s="242" t="s">
        <v>477</v>
      </c>
      <c r="E744" s="240" t="s">
        <v>1186</v>
      </c>
      <c r="F744" s="240" t="s">
        <v>1236</v>
      </c>
      <c r="G744" s="240" t="s">
        <v>1433</v>
      </c>
      <c r="H744" s="240" t="s">
        <v>387</v>
      </c>
      <c r="I744" s="243" t="s">
        <v>440</v>
      </c>
      <c r="J744" s="243"/>
      <c r="K744" s="243"/>
      <c r="L744" s="240" t="s">
        <v>219</v>
      </c>
      <c r="M744" s="244">
        <v>1</v>
      </c>
      <c r="N744" s="245">
        <v>40</v>
      </c>
      <c r="O744" s="243">
        <v>40</v>
      </c>
      <c r="P744" s="243"/>
      <c r="Q744" s="180" t="str">
        <f>IF(PEDIDOS[[#This Row],[Valor do item pago]]=PEDIDOS[[#This Row],[Total Item ]],"PAGO", "")</f>
        <v/>
      </c>
    </row>
    <row r="745" spans="1:17" s="216" customFormat="1" ht="39.950000000000003" customHeight="1" x14ac:dyDescent="0.25">
      <c r="A745" s="231"/>
      <c r="B745" s="240">
        <v>1087</v>
      </c>
      <c r="C745" s="241">
        <v>43678</v>
      </c>
      <c r="D745" s="242" t="s">
        <v>477</v>
      </c>
      <c r="E745" s="240" t="s">
        <v>11</v>
      </c>
      <c r="F745" s="240" t="s">
        <v>882</v>
      </c>
      <c r="G745" s="240" t="s">
        <v>1382</v>
      </c>
      <c r="H745" s="240" t="s">
        <v>441</v>
      </c>
      <c r="I745" s="243" t="s">
        <v>884</v>
      </c>
      <c r="J745" s="243"/>
      <c r="K745" s="243" t="s">
        <v>477</v>
      </c>
      <c r="L745" s="240" t="s">
        <v>1</v>
      </c>
      <c r="M745" s="244">
        <v>1</v>
      </c>
      <c r="N745" s="245">
        <v>40</v>
      </c>
      <c r="O745" s="243">
        <v>40</v>
      </c>
      <c r="P745" s="243"/>
      <c r="Q745" s="180" t="str">
        <f>IF(PEDIDOS[[#This Row],[Valor do item pago]]=PEDIDOS[[#This Row],[Total Item ]],"PAGO", "")</f>
        <v/>
      </c>
    </row>
    <row r="746" spans="1:17" s="216" customFormat="1" ht="39.950000000000003" customHeight="1" x14ac:dyDescent="0.25">
      <c r="A746" s="231"/>
      <c r="B746" s="240">
        <v>1086</v>
      </c>
      <c r="C746" s="241">
        <v>43678</v>
      </c>
      <c r="D746" s="242" t="s">
        <v>477</v>
      </c>
      <c r="E746" s="240" t="s">
        <v>11</v>
      </c>
      <c r="F746" s="240" t="s">
        <v>882</v>
      </c>
      <c r="G746" s="240" t="s">
        <v>1382</v>
      </c>
      <c r="H746" s="240" t="s">
        <v>441</v>
      </c>
      <c r="I746" s="243" t="s">
        <v>884</v>
      </c>
      <c r="J746" s="243"/>
      <c r="K746" s="243" t="s">
        <v>477</v>
      </c>
      <c r="L746" s="240" t="s">
        <v>235</v>
      </c>
      <c r="M746" s="244">
        <v>1</v>
      </c>
      <c r="N746" s="245">
        <v>40</v>
      </c>
      <c r="O746" s="243">
        <v>40</v>
      </c>
      <c r="P746" s="243"/>
      <c r="Q746" s="180" t="str">
        <f>IF(PEDIDOS[[#This Row],[Valor do item pago]]=PEDIDOS[[#This Row],[Total Item ]],"PAGO", "")</f>
        <v/>
      </c>
    </row>
    <row r="747" spans="1:17" s="216" customFormat="1" ht="39.950000000000003" customHeight="1" x14ac:dyDescent="0.25">
      <c r="A747" s="231"/>
      <c r="B747" s="240">
        <v>1085</v>
      </c>
      <c r="C747" s="241">
        <v>43678</v>
      </c>
      <c r="D747" s="242" t="s">
        <v>477</v>
      </c>
      <c r="E747" s="240" t="s">
        <v>1262</v>
      </c>
      <c r="F747" s="240">
        <v>0</v>
      </c>
      <c r="G747" s="240">
        <v>0</v>
      </c>
      <c r="H747" s="240">
        <v>0</v>
      </c>
      <c r="I747" s="243"/>
      <c r="J747" s="243"/>
      <c r="K747" s="243"/>
      <c r="L747" s="240" t="s">
        <v>1</v>
      </c>
      <c r="M747" s="244">
        <v>1</v>
      </c>
      <c r="N747" s="245">
        <v>40</v>
      </c>
      <c r="O747" s="243">
        <v>40</v>
      </c>
      <c r="P747" s="243">
        <v>40</v>
      </c>
      <c r="Q747" s="180" t="str">
        <f>IF(PEDIDOS[[#This Row],[Valor do item pago]]=PEDIDOS[[#This Row],[Total Item ]],"PAGO", "")</f>
        <v>PAGO</v>
      </c>
    </row>
    <row r="748" spans="1:17" s="216" customFormat="1" ht="39.950000000000003" customHeight="1" x14ac:dyDescent="0.25">
      <c r="A748" s="231"/>
      <c r="B748" s="240">
        <v>1084</v>
      </c>
      <c r="C748" s="241">
        <v>43678</v>
      </c>
      <c r="D748" s="242" t="s">
        <v>477</v>
      </c>
      <c r="E748" s="240" t="s">
        <v>506</v>
      </c>
      <c r="F748" s="240" t="s">
        <v>503</v>
      </c>
      <c r="G748" s="240" t="s">
        <v>1416</v>
      </c>
      <c r="H748" s="240" t="s">
        <v>505</v>
      </c>
      <c r="I748" s="243" t="s">
        <v>660</v>
      </c>
      <c r="J748" s="243"/>
      <c r="K748" s="243"/>
      <c r="L748" s="240" t="s">
        <v>1</v>
      </c>
      <c r="M748" s="244">
        <v>2</v>
      </c>
      <c r="N748" s="245">
        <v>40</v>
      </c>
      <c r="O748" s="243">
        <v>80</v>
      </c>
      <c r="P748" s="243"/>
      <c r="Q748" s="180" t="str">
        <f>IF(PEDIDOS[[#This Row],[Valor do item pago]]=PEDIDOS[[#This Row],[Total Item ]],"PAGO", "")</f>
        <v/>
      </c>
    </row>
    <row r="749" spans="1:17" s="216" customFormat="1" ht="39.950000000000003" customHeight="1" x14ac:dyDescent="0.25">
      <c r="A749" s="231"/>
      <c r="B749" s="240">
        <v>1083</v>
      </c>
      <c r="C749" s="241">
        <v>43678</v>
      </c>
      <c r="D749" s="242" t="s">
        <v>477</v>
      </c>
      <c r="E749" s="240" t="s">
        <v>1272</v>
      </c>
      <c r="F749" s="240" t="s">
        <v>1227</v>
      </c>
      <c r="G749" s="240" t="s">
        <v>1273</v>
      </c>
      <c r="H749" s="240" t="s">
        <v>1196</v>
      </c>
      <c r="I749" s="243" t="s">
        <v>652</v>
      </c>
      <c r="J749" s="243"/>
      <c r="K749" s="243"/>
      <c r="L749" s="240" t="s">
        <v>1</v>
      </c>
      <c r="M749" s="244">
        <v>1</v>
      </c>
      <c r="N749" s="245">
        <v>40</v>
      </c>
      <c r="O749" s="243">
        <v>40</v>
      </c>
      <c r="P749" s="243"/>
      <c r="Q749" s="180" t="str">
        <f>IF(PEDIDOS[[#This Row],[Valor do item pago]]=PEDIDOS[[#This Row],[Total Item ]],"PAGO", "")</f>
        <v/>
      </c>
    </row>
    <row r="750" spans="1:17" s="216" customFormat="1" ht="39.950000000000003" customHeight="1" x14ac:dyDescent="0.25">
      <c r="A750" s="231"/>
      <c r="B750" s="240">
        <v>1082</v>
      </c>
      <c r="C750" s="241">
        <v>43678</v>
      </c>
      <c r="D750" s="242" t="s">
        <v>477</v>
      </c>
      <c r="E750" s="240" t="s">
        <v>507</v>
      </c>
      <c r="F750" s="240" t="s">
        <v>497</v>
      </c>
      <c r="G750" s="240" t="s">
        <v>1376</v>
      </c>
      <c r="H750" s="240" t="s">
        <v>461</v>
      </c>
      <c r="I750" s="243" t="s">
        <v>659</v>
      </c>
      <c r="J750" s="243"/>
      <c r="K750" s="243"/>
      <c r="L750" s="240" t="s">
        <v>1</v>
      </c>
      <c r="M750" s="244">
        <v>1</v>
      </c>
      <c r="N750" s="245">
        <v>40</v>
      </c>
      <c r="O750" s="243">
        <v>40</v>
      </c>
      <c r="P750" s="243"/>
      <c r="Q750" s="180" t="str">
        <f>IF(PEDIDOS[[#This Row],[Valor do item pago]]=PEDIDOS[[#This Row],[Total Item ]],"PAGO", "")</f>
        <v/>
      </c>
    </row>
    <row r="751" spans="1:17" s="216" customFormat="1" ht="39.950000000000003" customHeight="1" x14ac:dyDescent="0.25">
      <c r="A751" s="231"/>
      <c r="B751" s="240">
        <v>1081</v>
      </c>
      <c r="C751" s="241">
        <v>43678</v>
      </c>
      <c r="D751" s="242" t="s">
        <v>477</v>
      </c>
      <c r="E751" s="240" t="s">
        <v>877</v>
      </c>
      <c r="F751" s="240" t="s">
        <v>876</v>
      </c>
      <c r="G751" s="240" t="s">
        <v>1413</v>
      </c>
      <c r="H751" s="240" t="s">
        <v>441</v>
      </c>
      <c r="I751" s="243" t="s">
        <v>879</v>
      </c>
      <c r="J751" s="243"/>
      <c r="K751" s="243" t="s">
        <v>477</v>
      </c>
      <c r="L751" s="240" t="s">
        <v>1</v>
      </c>
      <c r="M751" s="244">
        <v>1</v>
      </c>
      <c r="N751" s="245">
        <v>40</v>
      </c>
      <c r="O751" s="243">
        <v>40</v>
      </c>
      <c r="P751" s="243"/>
      <c r="Q751" s="180" t="str">
        <f>IF(PEDIDOS[[#This Row],[Valor do item pago]]=PEDIDOS[[#This Row],[Total Item ]],"PAGO", "")</f>
        <v/>
      </c>
    </row>
    <row r="752" spans="1:17" s="216" customFormat="1" ht="39.950000000000003" customHeight="1" x14ac:dyDescent="0.25">
      <c r="A752" s="231"/>
      <c r="B752" s="240">
        <v>1080</v>
      </c>
      <c r="C752" s="241">
        <v>43678</v>
      </c>
      <c r="D752" s="242" t="s">
        <v>477</v>
      </c>
      <c r="E752" s="240" t="s">
        <v>25</v>
      </c>
      <c r="F752" s="240" t="s">
        <v>1222</v>
      </c>
      <c r="G752" s="240" t="s">
        <v>1411</v>
      </c>
      <c r="H752" s="240" t="s">
        <v>406</v>
      </c>
      <c r="I752" s="243" t="s">
        <v>329</v>
      </c>
      <c r="J752" s="243"/>
      <c r="K752" s="243"/>
      <c r="L752" s="240" t="s">
        <v>219</v>
      </c>
      <c r="M752" s="244">
        <v>2</v>
      </c>
      <c r="N752" s="245">
        <v>40</v>
      </c>
      <c r="O752" s="243">
        <v>80</v>
      </c>
      <c r="P752" s="243"/>
      <c r="Q752" s="180" t="str">
        <f>IF(PEDIDOS[[#This Row],[Valor do item pago]]=PEDIDOS[[#This Row],[Total Item ]],"PAGO", "")</f>
        <v/>
      </c>
    </row>
    <row r="753" spans="1:17" s="216" customFormat="1" ht="39.950000000000003" customHeight="1" x14ac:dyDescent="0.25">
      <c r="A753" s="231"/>
      <c r="B753" s="240">
        <v>1079</v>
      </c>
      <c r="C753" s="241">
        <v>43678</v>
      </c>
      <c r="D753" s="242" t="s">
        <v>477</v>
      </c>
      <c r="E753" s="240" t="s">
        <v>343</v>
      </c>
      <c r="F753" s="240" t="s">
        <v>826</v>
      </c>
      <c r="G753" s="240" t="s">
        <v>1404</v>
      </c>
      <c r="H753" s="240" t="s">
        <v>441</v>
      </c>
      <c r="I753" s="243" t="s">
        <v>874</v>
      </c>
      <c r="J753" s="243"/>
      <c r="K753" s="243" t="s">
        <v>477</v>
      </c>
      <c r="L753" s="240" t="s">
        <v>3</v>
      </c>
      <c r="M753" s="244">
        <v>1</v>
      </c>
      <c r="N753" s="245">
        <v>40</v>
      </c>
      <c r="O753" s="243">
        <v>40</v>
      </c>
      <c r="P753" s="243"/>
      <c r="Q753" s="180" t="str">
        <f>IF(PEDIDOS[[#This Row],[Valor do item pago]]=PEDIDOS[[#This Row],[Total Item ]],"PAGO", "")</f>
        <v/>
      </c>
    </row>
    <row r="754" spans="1:17" s="216" customFormat="1" ht="39.950000000000003" customHeight="1" x14ac:dyDescent="0.25">
      <c r="A754" s="231"/>
      <c r="B754" s="240">
        <v>1078</v>
      </c>
      <c r="C754" s="241">
        <v>43678</v>
      </c>
      <c r="D754" s="242" t="s">
        <v>477</v>
      </c>
      <c r="E754" s="240" t="s">
        <v>340</v>
      </c>
      <c r="F754" s="240" t="s">
        <v>974</v>
      </c>
      <c r="G754" s="240" t="s">
        <v>1462</v>
      </c>
      <c r="H754" s="240" t="s">
        <v>388</v>
      </c>
      <c r="I754" s="243" t="s">
        <v>417</v>
      </c>
      <c r="J754" s="243"/>
      <c r="K754" s="243"/>
      <c r="L754" s="240" t="s">
        <v>219</v>
      </c>
      <c r="M754" s="244">
        <v>1</v>
      </c>
      <c r="N754" s="245">
        <v>40</v>
      </c>
      <c r="O754" s="243">
        <v>40</v>
      </c>
      <c r="P754" s="243"/>
      <c r="Q754" s="180" t="str">
        <f>IF(PEDIDOS[[#This Row],[Valor do item pago]]=PEDIDOS[[#This Row],[Total Item ]],"PAGO", "")</f>
        <v/>
      </c>
    </row>
    <row r="755" spans="1:17" s="216" customFormat="1" ht="39.950000000000003" customHeight="1" x14ac:dyDescent="0.25">
      <c r="A755" s="231"/>
      <c r="B755" s="240">
        <v>1077</v>
      </c>
      <c r="C755" s="241">
        <v>43678</v>
      </c>
      <c r="D755" s="242" t="s">
        <v>477</v>
      </c>
      <c r="E755" s="240" t="s">
        <v>338</v>
      </c>
      <c r="F755" s="240" t="s">
        <v>1208</v>
      </c>
      <c r="G755" s="240" t="s">
        <v>1400</v>
      </c>
      <c r="H755" s="240" t="s">
        <v>1254</v>
      </c>
      <c r="I755" s="243" t="s">
        <v>654</v>
      </c>
      <c r="J755" s="243"/>
      <c r="K755" s="243"/>
      <c r="L755" s="240" t="s">
        <v>1</v>
      </c>
      <c r="M755" s="244">
        <v>1</v>
      </c>
      <c r="N755" s="245">
        <v>40</v>
      </c>
      <c r="O755" s="243">
        <v>40</v>
      </c>
      <c r="P755" s="243"/>
      <c r="Q755" s="180" t="str">
        <f>IF(PEDIDOS[[#This Row],[Valor do item pago]]=PEDIDOS[[#This Row],[Total Item ]],"PAGO", "")</f>
        <v/>
      </c>
    </row>
    <row r="756" spans="1:17" s="216" customFormat="1" ht="39.950000000000003" customHeight="1" x14ac:dyDescent="0.25">
      <c r="A756" s="231"/>
      <c r="B756" s="240">
        <v>1076</v>
      </c>
      <c r="C756" s="241">
        <v>43678</v>
      </c>
      <c r="D756" s="242" t="s">
        <v>411</v>
      </c>
      <c r="E756" s="240" t="s">
        <v>1547</v>
      </c>
      <c r="F756" s="240" t="s">
        <v>1548</v>
      </c>
      <c r="G756" s="240" t="s">
        <v>1549</v>
      </c>
      <c r="H756" s="240" t="s">
        <v>1191</v>
      </c>
      <c r="I756" s="243" t="s">
        <v>1550</v>
      </c>
      <c r="J756" s="243"/>
      <c r="K756" s="243"/>
      <c r="L756" s="240" t="s">
        <v>219</v>
      </c>
      <c r="M756" s="244">
        <v>1</v>
      </c>
      <c r="N756" s="245">
        <v>40</v>
      </c>
      <c r="O756" s="243">
        <v>40</v>
      </c>
      <c r="P756" s="243"/>
      <c r="Q756" s="180" t="str">
        <f>IF(PEDIDOS[[#This Row],[Valor do item pago]]=PEDIDOS[[#This Row],[Total Item ]],"PAGO", "")</f>
        <v/>
      </c>
    </row>
    <row r="757" spans="1:17" s="216" customFormat="1" ht="39.950000000000003" customHeight="1" x14ac:dyDescent="0.25">
      <c r="A757" s="231"/>
      <c r="B757" s="240">
        <v>1075</v>
      </c>
      <c r="C757" s="241">
        <v>43678</v>
      </c>
      <c r="D757" s="242" t="s">
        <v>411</v>
      </c>
      <c r="E757" s="240" t="s">
        <v>1543</v>
      </c>
      <c r="F757" s="240" t="s">
        <v>1544</v>
      </c>
      <c r="G757" s="240" t="s">
        <v>1545</v>
      </c>
      <c r="H757" s="240" t="s">
        <v>581</v>
      </c>
      <c r="I757" s="243" t="s">
        <v>1546</v>
      </c>
      <c r="J757" s="243"/>
      <c r="K757" s="243"/>
      <c r="L757" s="240" t="s">
        <v>219</v>
      </c>
      <c r="M757" s="244">
        <v>1</v>
      </c>
      <c r="N757" s="245">
        <v>40</v>
      </c>
      <c r="O757" s="243">
        <v>40</v>
      </c>
      <c r="P757" s="243"/>
      <c r="Q757" s="180" t="str">
        <f>IF(PEDIDOS[[#This Row],[Valor do item pago]]=PEDIDOS[[#This Row],[Total Item ]],"PAGO", "")</f>
        <v/>
      </c>
    </row>
    <row r="758" spans="1:17" s="216" customFormat="1" ht="39.950000000000003" customHeight="1" x14ac:dyDescent="0.25">
      <c r="A758" s="231"/>
      <c r="B758" s="240">
        <v>1074</v>
      </c>
      <c r="C758" s="241">
        <v>43678</v>
      </c>
      <c r="D758" s="242" t="s">
        <v>411</v>
      </c>
      <c r="E758" s="240" t="s">
        <v>622</v>
      </c>
      <c r="F758" s="240" t="s">
        <v>623</v>
      </c>
      <c r="G758" s="240" t="s">
        <v>1323</v>
      </c>
      <c r="H758" s="240" t="s">
        <v>520</v>
      </c>
      <c r="I758" s="243" t="s">
        <v>682</v>
      </c>
      <c r="J758" s="243" t="s">
        <v>887</v>
      </c>
      <c r="K758" s="243"/>
      <c r="L758" s="240" t="s">
        <v>219</v>
      </c>
      <c r="M758" s="244">
        <v>1</v>
      </c>
      <c r="N758" s="245">
        <v>40</v>
      </c>
      <c r="O758" s="243">
        <v>40</v>
      </c>
      <c r="P758" s="243"/>
      <c r="Q758" s="180" t="str">
        <f>IF(PEDIDOS[[#This Row],[Valor do item pago]]=PEDIDOS[[#This Row],[Total Item ]],"PAGO", "")</f>
        <v/>
      </c>
    </row>
    <row r="759" spans="1:17" s="216" customFormat="1" ht="39.950000000000003" customHeight="1" x14ac:dyDescent="0.25">
      <c r="A759" s="231"/>
      <c r="B759" s="240">
        <v>1073</v>
      </c>
      <c r="C759" s="241">
        <v>43678</v>
      </c>
      <c r="D759" s="242" t="s">
        <v>411</v>
      </c>
      <c r="E759" s="240" t="s">
        <v>1187</v>
      </c>
      <c r="F759" s="240" t="s">
        <v>573</v>
      </c>
      <c r="G759" s="240" t="s">
        <v>621</v>
      </c>
      <c r="H759" s="240" t="s">
        <v>1263</v>
      </c>
      <c r="I759" s="243" t="s">
        <v>674</v>
      </c>
      <c r="J759" s="243"/>
      <c r="K759" s="243"/>
      <c r="L759" s="240" t="s">
        <v>219</v>
      </c>
      <c r="M759" s="244">
        <v>1</v>
      </c>
      <c r="N759" s="245">
        <v>40</v>
      </c>
      <c r="O759" s="243">
        <v>40</v>
      </c>
      <c r="P759" s="243">
        <v>40</v>
      </c>
      <c r="Q759" s="180" t="str">
        <f>IF(PEDIDOS[[#This Row],[Valor do item pago]]=PEDIDOS[[#This Row],[Total Item ]],"PAGO", "")</f>
        <v>PAGO</v>
      </c>
    </row>
    <row r="760" spans="1:17" s="216" customFormat="1" ht="39.950000000000003" customHeight="1" x14ac:dyDescent="0.25">
      <c r="A760" s="231"/>
      <c r="B760" s="240">
        <v>1072</v>
      </c>
      <c r="C760" s="241">
        <v>43678</v>
      </c>
      <c r="D760" s="242" t="s">
        <v>411</v>
      </c>
      <c r="E760" s="240" t="s">
        <v>1461</v>
      </c>
      <c r="F760" s="240" t="s">
        <v>1180</v>
      </c>
      <c r="G760" s="240" t="s">
        <v>1276</v>
      </c>
      <c r="H760" s="240" t="s">
        <v>398</v>
      </c>
      <c r="I760" s="243" t="s">
        <v>1181</v>
      </c>
      <c r="J760" s="243"/>
      <c r="K760" s="243"/>
      <c r="L760" s="240" t="s">
        <v>3</v>
      </c>
      <c r="M760" s="244">
        <v>1</v>
      </c>
      <c r="N760" s="245">
        <v>40</v>
      </c>
      <c r="O760" s="243">
        <v>40</v>
      </c>
      <c r="P760" s="243">
        <v>40</v>
      </c>
      <c r="Q760" s="180" t="str">
        <f>IF(PEDIDOS[[#This Row],[Valor do item pago]]=PEDIDOS[[#This Row],[Total Item ]],"PAGO", "")</f>
        <v>PAGO</v>
      </c>
    </row>
    <row r="761" spans="1:17" s="216" customFormat="1" ht="39.950000000000003" customHeight="1" x14ac:dyDescent="0.25">
      <c r="A761" s="231"/>
      <c r="B761" s="240">
        <v>1071</v>
      </c>
      <c r="C761" s="241">
        <v>43678</v>
      </c>
      <c r="D761" s="242" t="s">
        <v>411</v>
      </c>
      <c r="E761" s="240" t="s">
        <v>1496</v>
      </c>
      <c r="F761" s="240" t="s">
        <v>1497</v>
      </c>
      <c r="G761" s="240" t="s">
        <v>1505</v>
      </c>
      <c r="H761" s="240" t="s">
        <v>1450</v>
      </c>
      <c r="I761" s="243" t="s">
        <v>1504</v>
      </c>
      <c r="J761" s="243"/>
      <c r="K761" s="243"/>
      <c r="L761" s="240" t="s">
        <v>219</v>
      </c>
      <c r="M761" s="244">
        <v>1</v>
      </c>
      <c r="N761" s="245">
        <v>40</v>
      </c>
      <c r="O761" s="243">
        <v>40</v>
      </c>
      <c r="P761" s="243"/>
      <c r="Q761" s="180" t="str">
        <f>IF(PEDIDOS[[#This Row],[Valor do item pago]]=PEDIDOS[[#This Row],[Total Item ]],"PAGO", "")</f>
        <v/>
      </c>
    </row>
    <row r="762" spans="1:17" s="216" customFormat="1" ht="39.950000000000003" customHeight="1" x14ac:dyDescent="0.25">
      <c r="A762" s="231"/>
      <c r="B762" s="240">
        <v>1070</v>
      </c>
      <c r="C762" s="241">
        <v>43678</v>
      </c>
      <c r="D762" s="242" t="s">
        <v>411</v>
      </c>
      <c r="E762" s="240" t="s">
        <v>35</v>
      </c>
      <c r="F762" s="240">
        <v>0</v>
      </c>
      <c r="G762" s="240" t="s">
        <v>1386</v>
      </c>
      <c r="H762" s="240">
        <v>0</v>
      </c>
      <c r="I762" s="243"/>
      <c r="J762" s="243"/>
      <c r="K762" s="243" t="s">
        <v>411</v>
      </c>
      <c r="L762" s="240" t="s">
        <v>219</v>
      </c>
      <c r="M762" s="244">
        <v>1</v>
      </c>
      <c r="N762" s="245">
        <v>40</v>
      </c>
      <c r="O762" s="243">
        <v>40</v>
      </c>
      <c r="P762" s="243"/>
      <c r="Q762" s="180" t="str">
        <f>IF(PEDIDOS[[#This Row],[Valor do item pago]]=PEDIDOS[[#This Row],[Total Item ]],"PAGO", "")</f>
        <v/>
      </c>
    </row>
    <row r="763" spans="1:17" s="216" customFormat="1" ht="39.950000000000003" customHeight="1" x14ac:dyDescent="0.25">
      <c r="A763" s="231"/>
      <c r="B763" s="240">
        <v>1068</v>
      </c>
      <c r="C763" s="241">
        <v>43678</v>
      </c>
      <c r="D763" s="242" t="s">
        <v>411</v>
      </c>
      <c r="E763" s="240" t="s">
        <v>25</v>
      </c>
      <c r="F763" s="240" t="s">
        <v>1222</v>
      </c>
      <c r="G763" s="240" t="s">
        <v>1411</v>
      </c>
      <c r="H763" s="240" t="s">
        <v>406</v>
      </c>
      <c r="I763" s="243" t="s">
        <v>329</v>
      </c>
      <c r="J763" s="243" t="s">
        <v>1460</v>
      </c>
      <c r="K763" s="243"/>
      <c r="L763" s="240" t="s">
        <v>219</v>
      </c>
      <c r="M763" s="244">
        <v>5</v>
      </c>
      <c r="N763" s="245">
        <v>40</v>
      </c>
      <c r="O763" s="243">
        <v>200</v>
      </c>
      <c r="P763" s="243"/>
      <c r="Q763" s="180" t="str">
        <f>IF(PEDIDOS[[#This Row],[Valor do item pago]]=PEDIDOS[[#This Row],[Total Item ]],"PAGO", "")</f>
        <v/>
      </c>
    </row>
    <row r="764" spans="1:17" s="216" customFormat="1" ht="39.950000000000003" customHeight="1" x14ac:dyDescent="0.25">
      <c r="A764" s="231"/>
      <c r="B764" s="240">
        <v>1067</v>
      </c>
      <c r="C764" s="241">
        <v>43678</v>
      </c>
      <c r="D764" s="242" t="s">
        <v>231</v>
      </c>
      <c r="E764" s="240" t="s">
        <v>381</v>
      </c>
      <c r="F764" s="240">
        <v>0</v>
      </c>
      <c r="G764" s="240">
        <v>0</v>
      </c>
      <c r="H764" s="240">
        <v>0</v>
      </c>
      <c r="I764" s="243"/>
      <c r="J764" s="243"/>
      <c r="K764" s="243"/>
      <c r="L764" s="240" t="s">
        <v>1</v>
      </c>
      <c r="M764" s="244">
        <v>2</v>
      </c>
      <c r="N764" s="245">
        <v>40</v>
      </c>
      <c r="O764" s="243">
        <v>80</v>
      </c>
      <c r="P764" s="243"/>
      <c r="Q764" s="180" t="str">
        <f>IF(PEDIDOS[[#This Row],[Valor do item pago]]=PEDIDOS[[#This Row],[Total Item ]],"PAGO", "")</f>
        <v/>
      </c>
    </row>
    <row r="765" spans="1:17" s="216" customFormat="1" ht="39.950000000000003" customHeight="1" x14ac:dyDescent="0.25">
      <c r="A765" s="231"/>
      <c r="B765" s="240">
        <v>1065</v>
      </c>
      <c r="C765" s="241">
        <v>43678</v>
      </c>
      <c r="D765" s="242" t="s">
        <v>231</v>
      </c>
      <c r="E765" s="240" t="s">
        <v>25</v>
      </c>
      <c r="F765" s="240" t="s">
        <v>1222</v>
      </c>
      <c r="G765" s="240" t="s">
        <v>1411</v>
      </c>
      <c r="H765" s="240" t="s">
        <v>406</v>
      </c>
      <c r="I765" s="243" t="s">
        <v>329</v>
      </c>
      <c r="J765" s="243" t="s">
        <v>375</v>
      </c>
      <c r="K765" s="243"/>
      <c r="L765" s="240" t="s">
        <v>219</v>
      </c>
      <c r="M765" s="244">
        <v>1</v>
      </c>
      <c r="N765" s="245">
        <v>40</v>
      </c>
      <c r="O765" s="243">
        <v>40</v>
      </c>
      <c r="P765" s="243"/>
      <c r="Q765" s="180" t="str">
        <f>IF(PEDIDOS[[#This Row],[Valor do item pago]]=PEDIDOS[[#This Row],[Total Item ]],"PAGO", "")</f>
        <v/>
      </c>
    </row>
    <row r="766" spans="1:17" s="216" customFormat="1" ht="39.950000000000003" customHeight="1" x14ac:dyDescent="0.25">
      <c r="A766" s="231"/>
      <c r="B766" s="240">
        <v>1064</v>
      </c>
      <c r="C766" s="241">
        <v>43678</v>
      </c>
      <c r="D766" s="242" t="s">
        <v>231</v>
      </c>
      <c r="E766" s="240" t="s">
        <v>375</v>
      </c>
      <c r="F766" s="240" t="s">
        <v>1065</v>
      </c>
      <c r="G766" s="240">
        <v>0</v>
      </c>
      <c r="H766" s="240" t="s">
        <v>40</v>
      </c>
      <c r="I766" s="243"/>
      <c r="J766" s="243" t="s">
        <v>1523</v>
      </c>
      <c r="K766" s="243" t="s">
        <v>40</v>
      </c>
      <c r="L766" s="240" t="s">
        <v>3</v>
      </c>
      <c r="M766" s="244">
        <v>1</v>
      </c>
      <c r="N766" s="245">
        <v>40</v>
      </c>
      <c r="O766" s="243">
        <v>40</v>
      </c>
      <c r="P766" s="243"/>
      <c r="Q766" s="180" t="str">
        <f>IF(PEDIDOS[[#This Row],[Valor do item pago]]=PEDIDOS[[#This Row],[Total Item ]],"PAGO", "")</f>
        <v/>
      </c>
    </row>
    <row r="767" spans="1:17" s="216" customFormat="1" ht="39.950000000000003" customHeight="1" x14ac:dyDescent="0.25">
      <c r="A767" s="231"/>
      <c r="B767" s="240">
        <v>1064</v>
      </c>
      <c r="C767" s="241">
        <v>43678</v>
      </c>
      <c r="D767" s="242" t="s">
        <v>231</v>
      </c>
      <c r="E767" s="240" t="s">
        <v>375</v>
      </c>
      <c r="F767" s="240" t="s">
        <v>1065</v>
      </c>
      <c r="G767" s="240">
        <v>0</v>
      </c>
      <c r="H767" s="240" t="s">
        <v>40</v>
      </c>
      <c r="I767" s="243"/>
      <c r="J767" s="243"/>
      <c r="K767" s="243" t="s">
        <v>40</v>
      </c>
      <c r="L767" s="240" t="s">
        <v>1</v>
      </c>
      <c r="M767" s="244">
        <v>1</v>
      </c>
      <c r="N767" s="245">
        <v>40</v>
      </c>
      <c r="O767" s="243">
        <v>40</v>
      </c>
      <c r="P767" s="243"/>
      <c r="Q767" s="180" t="str">
        <f>IF(PEDIDOS[[#This Row],[Valor do item pago]]=PEDIDOS[[#This Row],[Total Item ]],"PAGO", "")</f>
        <v/>
      </c>
    </row>
    <row r="768" spans="1:17" s="216" customFormat="1" ht="39.950000000000003" customHeight="1" x14ac:dyDescent="0.25">
      <c r="A768" s="231"/>
      <c r="B768" s="240">
        <v>1063</v>
      </c>
      <c r="C768" s="241">
        <v>43678</v>
      </c>
      <c r="D768" s="242" t="s">
        <v>231</v>
      </c>
      <c r="E768" s="240" t="s">
        <v>345</v>
      </c>
      <c r="F768" s="240" t="s">
        <v>1216</v>
      </c>
      <c r="G768" s="240">
        <v>0</v>
      </c>
      <c r="H768" s="240">
        <v>0</v>
      </c>
      <c r="I768" s="243"/>
      <c r="J768" s="243"/>
      <c r="K768" s="243"/>
      <c r="L768" s="240" t="s">
        <v>219</v>
      </c>
      <c r="M768" s="244">
        <v>1</v>
      </c>
      <c r="N768" s="245">
        <v>40</v>
      </c>
      <c r="O768" s="243">
        <v>40</v>
      </c>
      <c r="P768" s="243"/>
      <c r="Q768" s="180" t="str">
        <f>IF(PEDIDOS[[#This Row],[Valor do item pago]]=PEDIDOS[[#This Row],[Total Item ]],"PAGO", "")</f>
        <v/>
      </c>
    </row>
    <row r="769" spans="1:17" s="216" customFormat="1" ht="39.950000000000003" customHeight="1" x14ac:dyDescent="0.25">
      <c r="A769" s="231"/>
      <c r="B769" s="240">
        <v>1063</v>
      </c>
      <c r="C769" s="241">
        <v>43678</v>
      </c>
      <c r="D769" s="242" t="s">
        <v>231</v>
      </c>
      <c r="E769" s="240" t="s">
        <v>345</v>
      </c>
      <c r="F769" s="240" t="s">
        <v>1216</v>
      </c>
      <c r="G769" s="240">
        <v>0</v>
      </c>
      <c r="H769" s="240">
        <v>0</v>
      </c>
      <c r="I769" s="243"/>
      <c r="J769" s="243"/>
      <c r="K769" s="243"/>
      <c r="L769" s="240" t="s">
        <v>0</v>
      </c>
      <c r="M769" s="244">
        <v>1</v>
      </c>
      <c r="N769" s="245">
        <v>40</v>
      </c>
      <c r="O769" s="243">
        <v>40</v>
      </c>
      <c r="P769" s="243"/>
      <c r="Q769" s="180" t="str">
        <f>IF(PEDIDOS[[#This Row],[Valor do item pago]]=PEDIDOS[[#This Row],[Total Item ]],"PAGO", "")</f>
        <v/>
      </c>
    </row>
    <row r="770" spans="1:17" s="216" customFormat="1" ht="39.950000000000003" customHeight="1" x14ac:dyDescent="0.25">
      <c r="A770" s="231"/>
      <c r="B770" s="240">
        <v>1062</v>
      </c>
      <c r="C770" s="241">
        <v>43678</v>
      </c>
      <c r="D770" s="242" t="s">
        <v>231</v>
      </c>
      <c r="E770" s="240" t="s">
        <v>90</v>
      </c>
      <c r="F770" s="240" t="s">
        <v>806</v>
      </c>
      <c r="G770" s="240">
        <v>0</v>
      </c>
      <c r="H770" s="240" t="s">
        <v>40</v>
      </c>
      <c r="I770" s="243"/>
      <c r="J770" s="243"/>
      <c r="K770" s="243" t="s">
        <v>90</v>
      </c>
      <c r="L770" s="240" t="s">
        <v>219</v>
      </c>
      <c r="M770" s="244">
        <v>2</v>
      </c>
      <c r="N770" s="245">
        <v>40</v>
      </c>
      <c r="O770" s="243">
        <v>80</v>
      </c>
      <c r="P770" s="243"/>
      <c r="Q770" s="180" t="str">
        <f>IF(PEDIDOS[[#This Row],[Valor do item pago]]=PEDIDOS[[#This Row],[Total Item ]],"PAGO", "")</f>
        <v/>
      </c>
    </row>
    <row r="771" spans="1:17" s="216" customFormat="1" ht="39.950000000000003" customHeight="1" x14ac:dyDescent="0.25">
      <c r="A771" s="231"/>
      <c r="B771" s="240">
        <v>1061</v>
      </c>
      <c r="C771" s="241">
        <v>43678</v>
      </c>
      <c r="D771" s="242" t="s">
        <v>231</v>
      </c>
      <c r="E771" s="240" t="s">
        <v>356</v>
      </c>
      <c r="F771" s="240" t="s">
        <v>700</v>
      </c>
      <c r="G771" s="240" t="s">
        <v>1377</v>
      </c>
      <c r="H771" s="240" t="s">
        <v>1378</v>
      </c>
      <c r="I771" s="243" t="s">
        <v>702</v>
      </c>
      <c r="J771" s="243" t="s">
        <v>1529</v>
      </c>
      <c r="K771" s="243"/>
      <c r="L771" s="240" t="s">
        <v>219</v>
      </c>
      <c r="M771" s="244">
        <v>1</v>
      </c>
      <c r="N771" s="245">
        <v>40</v>
      </c>
      <c r="O771" s="243">
        <v>40</v>
      </c>
      <c r="P771" s="243">
        <v>40</v>
      </c>
      <c r="Q771" s="180" t="str">
        <f>IF(PEDIDOS[[#This Row],[Valor do item pago]]=PEDIDOS[[#This Row],[Total Item ]],"PAGO", "")</f>
        <v>PAGO</v>
      </c>
    </row>
    <row r="772" spans="1:17" s="216" customFormat="1" ht="39.950000000000003" customHeight="1" x14ac:dyDescent="0.25">
      <c r="A772" s="231"/>
      <c r="B772" s="240">
        <v>1060</v>
      </c>
      <c r="C772" s="241">
        <v>43678</v>
      </c>
      <c r="D772" s="242" t="s">
        <v>44</v>
      </c>
      <c r="E772" s="240" t="s">
        <v>1169</v>
      </c>
      <c r="F772" s="240" t="s">
        <v>1170</v>
      </c>
      <c r="G772" s="240" t="s">
        <v>1457</v>
      </c>
      <c r="H772" s="240" t="s">
        <v>530</v>
      </c>
      <c r="I772" s="243" t="s">
        <v>1458</v>
      </c>
      <c r="J772" s="243"/>
      <c r="K772" s="243"/>
      <c r="L772" s="240" t="s">
        <v>3</v>
      </c>
      <c r="M772" s="244">
        <v>1</v>
      </c>
      <c r="N772" s="245">
        <v>40</v>
      </c>
      <c r="O772" s="243">
        <v>40</v>
      </c>
      <c r="P772" s="243"/>
      <c r="Q772" s="180" t="str">
        <f>IF(PEDIDOS[[#This Row],[Valor do item pago]]=PEDIDOS[[#This Row],[Total Item ]],"PAGO", "")</f>
        <v/>
      </c>
    </row>
    <row r="773" spans="1:17" s="216" customFormat="1" ht="39.950000000000003" customHeight="1" x14ac:dyDescent="0.25">
      <c r="A773" s="231"/>
      <c r="B773" s="240">
        <v>1060</v>
      </c>
      <c r="C773" s="241">
        <v>43678</v>
      </c>
      <c r="D773" s="242" t="s">
        <v>44</v>
      </c>
      <c r="E773" s="240" t="s">
        <v>1169</v>
      </c>
      <c r="F773" s="240" t="s">
        <v>1170</v>
      </c>
      <c r="G773" s="240" t="s">
        <v>1457</v>
      </c>
      <c r="H773" s="240" t="s">
        <v>530</v>
      </c>
      <c r="I773" s="243" t="s">
        <v>1458</v>
      </c>
      <c r="J773" s="243"/>
      <c r="K773" s="243"/>
      <c r="L773" s="240" t="s">
        <v>0</v>
      </c>
      <c r="M773" s="244">
        <v>1</v>
      </c>
      <c r="N773" s="245">
        <v>40</v>
      </c>
      <c r="O773" s="243">
        <v>40</v>
      </c>
      <c r="P773" s="243"/>
      <c r="Q773" s="180" t="str">
        <f>IF(PEDIDOS[[#This Row],[Valor do item pago]]=PEDIDOS[[#This Row],[Total Item ]],"PAGO", "")</f>
        <v/>
      </c>
    </row>
    <row r="774" spans="1:17" s="216" customFormat="1" ht="39.950000000000003" customHeight="1" x14ac:dyDescent="0.25">
      <c r="A774" s="231"/>
      <c r="B774" s="240">
        <v>1059</v>
      </c>
      <c r="C774" s="241">
        <v>43678</v>
      </c>
      <c r="D774" s="242" t="s">
        <v>44</v>
      </c>
      <c r="E774" s="240" t="s">
        <v>351</v>
      </c>
      <c r="F774" s="240">
        <v>0</v>
      </c>
      <c r="G774" s="240" t="s">
        <v>1369</v>
      </c>
      <c r="H774" s="240" t="s">
        <v>1257</v>
      </c>
      <c r="I774" s="243" t="s">
        <v>426</v>
      </c>
      <c r="J774" s="243"/>
      <c r="K774" s="243" t="s">
        <v>1025</v>
      </c>
      <c r="L774" s="240" t="s">
        <v>1</v>
      </c>
      <c r="M774" s="244">
        <v>1</v>
      </c>
      <c r="N774" s="245">
        <v>40</v>
      </c>
      <c r="O774" s="243">
        <v>40</v>
      </c>
      <c r="P774" s="243"/>
      <c r="Q774" s="180" t="str">
        <f>IF(PEDIDOS[[#This Row],[Valor do item pago]]=PEDIDOS[[#This Row],[Total Item ]],"PAGO", "")</f>
        <v/>
      </c>
    </row>
    <row r="775" spans="1:17" s="216" customFormat="1" ht="39.950000000000003" customHeight="1" x14ac:dyDescent="0.25">
      <c r="A775" s="231"/>
      <c r="B775" s="240">
        <v>1058</v>
      </c>
      <c r="C775" s="241">
        <v>43678</v>
      </c>
      <c r="D775" s="242" t="s">
        <v>44</v>
      </c>
      <c r="E775" s="240" t="s">
        <v>374</v>
      </c>
      <c r="F775" s="240" t="s">
        <v>1246</v>
      </c>
      <c r="G775" s="240" t="s">
        <v>1422</v>
      </c>
      <c r="H775" s="240" t="s">
        <v>402</v>
      </c>
      <c r="I775" s="243" t="s">
        <v>658</v>
      </c>
      <c r="J775" s="243"/>
      <c r="K775" s="243"/>
      <c r="L775" s="240" t="s">
        <v>1</v>
      </c>
      <c r="M775" s="244">
        <v>1</v>
      </c>
      <c r="N775" s="245">
        <v>40</v>
      </c>
      <c r="O775" s="243">
        <v>40</v>
      </c>
      <c r="P775" s="243"/>
      <c r="Q775" s="180" t="str">
        <f>IF(PEDIDOS[[#This Row],[Valor do item pago]]=PEDIDOS[[#This Row],[Total Item ]],"PAGO", "")</f>
        <v/>
      </c>
    </row>
    <row r="776" spans="1:17" s="216" customFormat="1" ht="39.950000000000003" customHeight="1" x14ac:dyDescent="0.25">
      <c r="A776" s="231"/>
      <c r="B776" s="240">
        <v>1058</v>
      </c>
      <c r="C776" s="241">
        <v>43678</v>
      </c>
      <c r="D776" s="242" t="s">
        <v>44</v>
      </c>
      <c r="E776" s="240" t="s">
        <v>374</v>
      </c>
      <c r="F776" s="240" t="s">
        <v>1246</v>
      </c>
      <c r="G776" s="240" t="s">
        <v>1422</v>
      </c>
      <c r="H776" s="240" t="s">
        <v>402</v>
      </c>
      <c r="I776" s="243" t="s">
        <v>658</v>
      </c>
      <c r="J776" s="243"/>
      <c r="K776" s="243"/>
      <c r="L776" s="240" t="s">
        <v>0</v>
      </c>
      <c r="M776" s="244">
        <v>1</v>
      </c>
      <c r="N776" s="245">
        <v>40</v>
      </c>
      <c r="O776" s="243">
        <v>40</v>
      </c>
      <c r="P776" s="243"/>
      <c r="Q776" s="180" t="str">
        <f>IF(PEDIDOS[[#This Row],[Valor do item pago]]=PEDIDOS[[#This Row],[Total Item ]],"PAGO", "")</f>
        <v/>
      </c>
    </row>
    <row r="777" spans="1:17" s="216" customFormat="1" ht="39.950000000000003" customHeight="1" x14ac:dyDescent="0.25">
      <c r="A777" s="231"/>
      <c r="B777" s="240">
        <v>1057</v>
      </c>
      <c r="C777" s="241">
        <v>43678</v>
      </c>
      <c r="D777" s="242" t="s">
        <v>44</v>
      </c>
      <c r="E777" s="240" t="s">
        <v>25</v>
      </c>
      <c r="F777" s="240" t="s">
        <v>1222</v>
      </c>
      <c r="G777" s="240" t="s">
        <v>1411</v>
      </c>
      <c r="H777" s="240" t="s">
        <v>406</v>
      </c>
      <c r="I777" s="243" t="s">
        <v>329</v>
      </c>
      <c r="J777" s="243" t="s">
        <v>1541</v>
      </c>
      <c r="K777" s="243"/>
      <c r="L777" s="240" t="s">
        <v>219</v>
      </c>
      <c r="M777" s="244">
        <v>2</v>
      </c>
      <c r="N777" s="245">
        <v>40</v>
      </c>
      <c r="O777" s="243">
        <v>80</v>
      </c>
      <c r="P777" s="243"/>
      <c r="Q777" s="180" t="str">
        <f>IF(PEDIDOS[[#This Row],[Valor do item pago]]=PEDIDOS[[#This Row],[Total Item ]],"PAGO", "")</f>
        <v/>
      </c>
    </row>
    <row r="778" spans="1:17" s="216" customFormat="1" ht="39.950000000000003" customHeight="1" x14ac:dyDescent="0.25">
      <c r="A778" s="231"/>
      <c r="B778" s="240">
        <v>1056</v>
      </c>
      <c r="C778" s="241">
        <v>43678</v>
      </c>
      <c r="D778" s="242" t="s">
        <v>49</v>
      </c>
      <c r="E778" s="240" t="s">
        <v>615</v>
      </c>
      <c r="F778" s="240" t="s">
        <v>1242</v>
      </c>
      <c r="G778" s="240" t="s">
        <v>1392</v>
      </c>
      <c r="H778" s="240" t="s">
        <v>1205</v>
      </c>
      <c r="I778" s="243" t="s">
        <v>735</v>
      </c>
      <c r="J778" s="243"/>
      <c r="K778" s="243"/>
      <c r="L778" s="240" t="s">
        <v>3</v>
      </c>
      <c r="M778" s="244">
        <v>1</v>
      </c>
      <c r="N778" s="245">
        <v>40</v>
      </c>
      <c r="O778" s="243">
        <v>40</v>
      </c>
      <c r="P778" s="243">
        <v>40</v>
      </c>
      <c r="Q778" s="180" t="str">
        <f>IF(PEDIDOS[[#This Row],[Valor do item pago]]=PEDIDOS[[#This Row],[Total Item ]],"PAGO", "")</f>
        <v>PAGO</v>
      </c>
    </row>
    <row r="779" spans="1:17" s="216" customFormat="1" ht="39.950000000000003" customHeight="1" x14ac:dyDescent="0.25">
      <c r="A779" s="231"/>
      <c r="B779" s="240">
        <v>1056</v>
      </c>
      <c r="C779" s="241">
        <v>43678</v>
      </c>
      <c r="D779" s="242" t="s">
        <v>49</v>
      </c>
      <c r="E779" s="240" t="s">
        <v>615</v>
      </c>
      <c r="F779" s="240" t="s">
        <v>1242</v>
      </c>
      <c r="G779" s="240" t="s">
        <v>1392</v>
      </c>
      <c r="H779" s="240" t="s">
        <v>1205</v>
      </c>
      <c r="I779" s="243" t="s">
        <v>735</v>
      </c>
      <c r="J779" s="243"/>
      <c r="K779" s="243"/>
      <c r="L779" s="240" t="s">
        <v>219</v>
      </c>
      <c r="M779" s="244">
        <v>1</v>
      </c>
      <c r="N779" s="245">
        <v>40</v>
      </c>
      <c r="O779" s="243">
        <v>40</v>
      </c>
      <c r="P779" s="243">
        <v>40</v>
      </c>
      <c r="Q779" s="180" t="str">
        <f>IF(PEDIDOS[[#This Row],[Valor do item pago]]=PEDIDOS[[#This Row],[Total Item ]],"PAGO", "")</f>
        <v>PAGO</v>
      </c>
    </row>
    <row r="780" spans="1:17" s="216" customFormat="1" ht="39.950000000000003" customHeight="1" x14ac:dyDescent="0.25">
      <c r="A780" s="231"/>
      <c r="B780" s="240">
        <v>1056</v>
      </c>
      <c r="C780" s="241">
        <v>43678</v>
      </c>
      <c r="D780" s="242" t="s">
        <v>49</v>
      </c>
      <c r="E780" s="240" t="s">
        <v>615</v>
      </c>
      <c r="F780" s="240" t="s">
        <v>1242</v>
      </c>
      <c r="G780" s="240" t="s">
        <v>1392</v>
      </c>
      <c r="H780" s="240" t="s">
        <v>1205</v>
      </c>
      <c r="I780" s="243" t="s">
        <v>735</v>
      </c>
      <c r="J780" s="243"/>
      <c r="K780" s="243"/>
      <c r="L780" s="240" t="s">
        <v>1</v>
      </c>
      <c r="M780" s="244">
        <v>1</v>
      </c>
      <c r="N780" s="245">
        <v>40</v>
      </c>
      <c r="O780" s="243">
        <v>40</v>
      </c>
      <c r="P780" s="243">
        <v>40</v>
      </c>
      <c r="Q780" s="180" t="str">
        <f>IF(PEDIDOS[[#This Row],[Valor do item pago]]=PEDIDOS[[#This Row],[Total Item ]],"PAGO", "")</f>
        <v>PAGO</v>
      </c>
    </row>
    <row r="781" spans="1:17" s="216" customFormat="1" ht="39.950000000000003" customHeight="1" x14ac:dyDescent="0.25">
      <c r="A781" s="231"/>
      <c r="B781" s="240">
        <v>1055</v>
      </c>
      <c r="C781" s="241">
        <v>43678</v>
      </c>
      <c r="D781" s="242" t="s">
        <v>49</v>
      </c>
      <c r="E781" s="240" t="s">
        <v>614</v>
      </c>
      <c r="F781" s="240" t="s">
        <v>1220</v>
      </c>
      <c r="G781" s="240" t="s">
        <v>1363</v>
      </c>
      <c r="H781" s="240" t="s">
        <v>393</v>
      </c>
      <c r="I781" s="243" t="s">
        <v>423</v>
      </c>
      <c r="J781" s="243"/>
      <c r="K781" s="243"/>
      <c r="L781" s="240" t="s">
        <v>219</v>
      </c>
      <c r="M781" s="244">
        <v>1</v>
      </c>
      <c r="N781" s="245">
        <v>40</v>
      </c>
      <c r="O781" s="243">
        <v>40</v>
      </c>
      <c r="P781" s="243">
        <v>40</v>
      </c>
      <c r="Q781" s="180" t="str">
        <f>IF(PEDIDOS[[#This Row],[Valor do item pago]]=PEDIDOS[[#This Row],[Total Item ]],"PAGO", "")</f>
        <v>PAGO</v>
      </c>
    </row>
    <row r="782" spans="1:17" s="216" customFormat="1" ht="39.950000000000003" customHeight="1" x14ac:dyDescent="0.25">
      <c r="A782" s="231"/>
      <c r="B782" s="240">
        <v>1054</v>
      </c>
      <c r="C782" s="241">
        <v>43678</v>
      </c>
      <c r="D782" s="242" t="s">
        <v>49</v>
      </c>
      <c r="E782" s="240" t="s">
        <v>611</v>
      </c>
      <c r="F782" s="240" t="s">
        <v>1225</v>
      </c>
      <c r="G782" s="240" t="s">
        <v>1429</v>
      </c>
      <c r="H782" s="240" t="s">
        <v>390</v>
      </c>
      <c r="I782" s="243" t="s">
        <v>253</v>
      </c>
      <c r="J782" s="243"/>
      <c r="K782" s="243"/>
      <c r="L782" s="240" t="s">
        <v>3</v>
      </c>
      <c r="M782" s="244">
        <v>1</v>
      </c>
      <c r="N782" s="245">
        <v>40</v>
      </c>
      <c r="O782" s="243">
        <v>40</v>
      </c>
      <c r="P782" s="243">
        <v>40</v>
      </c>
      <c r="Q782" s="180" t="str">
        <f>IF(PEDIDOS[[#This Row],[Valor do item pago]]=PEDIDOS[[#This Row],[Total Item ]],"PAGO", "")</f>
        <v>PAGO</v>
      </c>
    </row>
    <row r="783" spans="1:17" s="216" customFormat="1" ht="39.950000000000003" customHeight="1" x14ac:dyDescent="0.25">
      <c r="A783" s="231"/>
      <c r="B783" s="240">
        <v>1053</v>
      </c>
      <c r="C783" s="241">
        <v>43678</v>
      </c>
      <c r="D783" s="242" t="s">
        <v>24</v>
      </c>
      <c r="E783" s="240" t="s">
        <v>25</v>
      </c>
      <c r="F783" s="240" t="s">
        <v>1222</v>
      </c>
      <c r="G783" s="240" t="s">
        <v>1411</v>
      </c>
      <c r="H783" s="240" t="s">
        <v>406</v>
      </c>
      <c r="I783" s="243" t="s">
        <v>329</v>
      </c>
      <c r="J783" s="243"/>
      <c r="K783" s="243"/>
      <c r="L783" s="240" t="s">
        <v>219</v>
      </c>
      <c r="M783" s="244">
        <v>1</v>
      </c>
      <c r="N783" s="245">
        <v>40</v>
      </c>
      <c r="O783" s="243">
        <v>40</v>
      </c>
      <c r="P783" s="243"/>
      <c r="Q783" s="180" t="str">
        <f>IF(PEDIDOS[[#This Row],[Valor do item pago]]=PEDIDOS[[#This Row],[Total Item ]],"PAGO", "")</f>
        <v/>
      </c>
    </row>
    <row r="784" spans="1:17" s="216" customFormat="1" ht="39.950000000000003" customHeight="1" x14ac:dyDescent="0.25">
      <c r="A784" s="231"/>
      <c r="B784" s="240">
        <v>1052</v>
      </c>
      <c r="C784" s="241">
        <v>43678</v>
      </c>
      <c r="D784" s="242" t="s">
        <v>24</v>
      </c>
      <c r="E784" s="240" t="s">
        <v>23</v>
      </c>
      <c r="F784" s="240">
        <v>0</v>
      </c>
      <c r="G784" s="240">
        <v>0</v>
      </c>
      <c r="H784" s="240">
        <v>0</v>
      </c>
      <c r="I784" s="243"/>
      <c r="J784" s="243" t="s">
        <v>1523</v>
      </c>
      <c r="K784" s="243" t="s">
        <v>40</v>
      </c>
      <c r="L784" s="240" t="s">
        <v>219</v>
      </c>
      <c r="M784" s="244">
        <v>2</v>
      </c>
      <c r="N784" s="245">
        <v>40</v>
      </c>
      <c r="O784" s="243">
        <v>80</v>
      </c>
      <c r="P784" s="243"/>
      <c r="Q784" s="180" t="str">
        <f>IF(PEDIDOS[[#This Row],[Valor do item pago]]=PEDIDOS[[#This Row],[Total Item ]],"PAGO", "")</f>
        <v/>
      </c>
    </row>
    <row r="785" spans="1:17" s="216" customFormat="1" ht="39.950000000000003" customHeight="1" x14ac:dyDescent="0.25">
      <c r="A785" s="231"/>
      <c r="B785" s="240">
        <v>1051</v>
      </c>
      <c r="C785" s="241">
        <v>43678</v>
      </c>
      <c r="D785" s="242" t="s">
        <v>804</v>
      </c>
      <c r="E785" s="240" t="s">
        <v>804</v>
      </c>
      <c r="F785" s="240" t="s">
        <v>803</v>
      </c>
      <c r="G785" s="240">
        <v>0</v>
      </c>
      <c r="H785" s="240">
        <v>0</v>
      </c>
      <c r="I785" s="243"/>
      <c r="J785" s="243"/>
      <c r="K785" s="243" t="s">
        <v>804</v>
      </c>
      <c r="L785" s="240" t="s">
        <v>3</v>
      </c>
      <c r="M785" s="244">
        <v>1</v>
      </c>
      <c r="N785" s="245">
        <v>40</v>
      </c>
      <c r="O785" s="243">
        <v>40</v>
      </c>
      <c r="P785" s="243"/>
      <c r="Q785" s="180" t="str">
        <f>IF(PEDIDOS[[#This Row],[Valor do item pago]]=PEDIDOS[[#This Row],[Total Item ]],"PAGO", "")</f>
        <v/>
      </c>
    </row>
    <row r="786" spans="1:17" s="216" customFormat="1" ht="39.950000000000003" customHeight="1" x14ac:dyDescent="0.25">
      <c r="A786" s="231"/>
      <c r="B786" s="240">
        <v>1050</v>
      </c>
      <c r="C786" s="241">
        <v>43678</v>
      </c>
      <c r="D786" s="242" t="s">
        <v>1134</v>
      </c>
      <c r="E786" s="240" t="s">
        <v>1538</v>
      </c>
      <c r="F786" s="240" t="s">
        <v>1239</v>
      </c>
      <c r="G786" s="240" t="s">
        <v>1539</v>
      </c>
      <c r="H786" s="240" t="s">
        <v>1263</v>
      </c>
      <c r="I786" s="243" t="s">
        <v>1540</v>
      </c>
      <c r="J786" s="243"/>
      <c r="K786" s="243"/>
      <c r="L786" s="240" t="s">
        <v>0</v>
      </c>
      <c r="M786" s="244">
        <v>1</v>
      </c>
      <c r="N786" s="245">
        <v>40</v>
      </c>
      <c r="O786" s="243">
        <v>40</v>
      </c>
      <c r="P786" s="243"/>
      <c r="Q786" s="180" t="str">
        <f>IF(PEDIDOS[[#This Row],[Valor do item pago]]=PEDIDOS[[#This Row],[Total Item ]],"PAGO", "")</f>
        <v/>
      </c>
    </row>
    <row r="787" spans="1:17" s="216" customFormat="1" ht="39.950000000000003" customHeight="1" x14ac:dyDescent="0.25">
      <c r="A787" s="231"/>
      <c r="B787" s="240">
        <v>1049</v>
      </c>
      <c r="C787" s="241">
        <v>43678</v>
      </c>
      <c r="D787" s="242" t="s">
        <v>45</v>
      </c>
      <c r="E787" s="240" t="s">
        <v>948</v>
      </c>
      <c r="F787" s="240" t="s">
        <v>951</v>
      </c>
      <c r="G787" s="240" t="s">
        <v>1444</v>
      </c>
      <c r="H787" s="240" t="s">
        <v>520</v>
      </c>
      <c r="I787" s="243" t="s">
        <v>950</v>
      </c>
      <c r="J787" s="243"/>
      <c r="K787" s="243"/>
      <c r="L787" s="240" t="s">
        <v>1</v>
      </c>
      <c r="M787" s="244">
        <v>1</v>
      </c>
      <c r="N787" s="245">
        <v>40</v>
      </c>
      <c r="O787" s="243">
        <v>40</v>
      </c>
      <c r="P787" s="243"/>
      <c r="Q787" s="180" t="str">
        <f>IF(PEDIDOS[[#This Row],[Valor do item pago]]=PEDIDOS[[#This Row],[Total Item ]],"PAGO", "")</f>
        <v/>
      </c>
    </row>
    <row r="788" spans="1:17" s="216" customFormat="1" ht="39.950000000000003" customHeight="1" x14ac:dyDescent="0.25">
      <c r="A788" s="231"/>
      <c r="B788" s="240">
        <v>1048</v>
      </c>
      <c r="C788" s="241">
        <v>43678</v>
      </c>
      <c r="D788" s="242" t="s">
        <v>229</v>
      </c>
      <c r="E788" s="240" t="s">
        <v>229</v>
      </c>
      <c r="F788" s="240">
        <v>0</v>
      </c>
      <c r="G788" s="240">
        <v>0</v>
      </c>
      <c r="H788" s="240">
        <v>0</v>
      </c>
      <c r="I788" s="243"/>
      <c r="J788" s="243"/>
      <c r="K788" s="243" t="s">
        <v>229</v>
      </c>
      <c r="L788" s="240" t="s">
        <v>219</v>
      </c>
      <c r="M788" s="244">
        <v>1</v>
      </c>
      <c r="N788" s="245">
        <v>40</v>
      </c>
      <c r="O788" s="243">
        <v>40</v>
      </c>
      <c r="P788" s="243"/>
      <c r="Q788" s="180" t="str">
        <f>IF(PEDIDOS[[#This Row],[Valor do item pago]]=PEDIDOS[[#This Row],[Total Item ]],"PAGO", "")</f>
        <v/>
      </c>
    </row>
    <row r="789" spans="1:17" s="216" customFormat="1" ht="39.950000000000003" customHeight="1" x14ac:dyDescent="0.25">
      <c r="A789" s="231"/>
      <c r="B789" s="240">
        <v>1048</v>
      </c>
      <c r="C789" s="241">
        <v>43678</v>
      </c>
      <c r="D789" s="242" t="s">
        <v>229</v>
      </c>
      <c r="E789" s="240" t="s">
        <v>229</v>
      </c>
      <c r="F789" s="240">
        <v>0</v>
      </c>
      <c r="G789" s="240">
        <v>0</v>
      </c>
      <c r="H789" s="240">
        <v>0</v>
      </c>
      <c r="I789" s="243"/>
      <c r="J789" s="243"/>
      <c r="K789" s="243" t="s">
        <v>229</v>
      </c>
      <c r="L789" s="240" t="s">
        <v>1</v>
      </c>
      <c r="M789" s="244">
        <v>2</v>
      </c>
      <c r="N789" s="245">
        <v>40</v>
      </c>
      <c r="O789" s="243">
        <v>80</v>
      </c>
      <c r="P789" s="243"/>
      <c r="Q789" s="180" t="str">
        <f>IF(PEDIDOS[[#This Row],[Valor do item pago]]=PEDIDOS[[#This Row],[Total Item ]],"PAGO", "")</f>
        <v/>
      </c>
    </row>
    <row r="790" spans="1:17" s="216" customFormat="1" ht="39.950000000000003" customHeight="1" x14ac:dyDescent="0.25">
      <c r="A790" s="231"/>
      <c r="B790" s="240">
        <v>1047</v>
      </c>
      <c r="C790" s="241">
        <v>43678</v>
      </c>
      <c r="D790" s="242" t="s">
        <v>916</v>
      </c>
      <c r="E790" s="240" t="s">
        <v>1533</v>
      </c>
      <c r="F790" s="240" t="s">
        <v>1534</v>
      </c>
      <c r="G790" s="240" t="s">
        <v>1535</v>
      </c>
      <c r="H790" s="240" t="s">
        <v>1536</v>
      </c>
      <c r="I790" s="243" t="s">
        <v>1537</v>
      </c>
      <c r="J790" s="243"/>
      <c r="K790" s="243"/>
      <c r="L790" s="240" t="s">
        <v>219</v>
      </c>
      <c r="M790" s="244">
        <v>1</v>
      </c>
      <c r="N790" s="245">
        <v>40</v>
      </c>
      <c r="O790" s="243">
        <v>40</v>
      </c>
      <c r="P790" s="243">
        <v>40</v>
      </c>
      <c r="Q790" s="180" t="str">
        <f>IF(PEDIDOS[[#This Row],[Valor do item pago]]=PEDIDOS[[#This Row],[Total Item ]],"PAGO", "")</f>
        <v>PAGO</v>
      </c>
    </row>
    <row r="791" spans="1:17" s="216" customFormat="1" ht="39.950000000000003" customHeight="1" x14ac:dyDescent="0.25">
      <c r="A791" s="231"/>
      <c r="B791" s="240">
        <v>1046</v>
      </c>
      <c r="C791" s="241">
        <v>43678</v>
      </c>
      <c r="D791" s="242" t="s">
        <v>916</v>
      </c>
      <c r="E791" s="240" t="s">
        <v>732</v>
      </c>
      <c r="F791" s="240" t="s">
        <v>733</v>
      </c>
      <c r="G791" s="240">
        <v>0</v>
      </c>
      <c r="H791" s="240" t="s">
        <v>40</v>
      </c>
      <c r="I791" s="243"/>
      <c r="J791" s="243"/>
      <c r="K791" s="243" t="s">
        <v>40</v>
      </c>
      <c r="L791" s="240" t="s">
        <v>219</v>
      </c>
      <c r="M791" s="244">
        <v>1</v>
      </c>
      <c r="N791" s="245">
        <v>40</v>
      </c>
      <c r="O791" s="243">
        <v>40</v>
      </c>
      <c r="P791" s="243"/>
      <c r="Q791" s="180" t="str">
        <f>IF(PEDIDOS[[#This Row],[Valor do item pago]]=PEDIDOS[[#This Row],[Total Item ]],"PAGO", "")</f>
        <v/>
      </c>
    </row>
    <row r="792" spans="1:17" s="216" customFormat="1" ht="39.950000000000003" customHeight="1" x14ac:dyDescent="0.25">
      <c r="A792" s="231"/>
      <c r="B792" s="240">
        <v>1046</v>
      </c>
      <c r="C792" s="241">
        <v>43678</v>
      </c>
      <c r="D792" s="242" t="s">
        <v>916</v>
      </c>
      <c r="E792" s="240" t="s">
        <v>732</v>
      </c>
      <c r="F792" s="240" t="s">
        <v>733</v>
      </c>
      <c r="G792" s="240">
        <v>0</v>
      </c>
      <c r="H792" s="240" t="s">
        <v>40</v>
      </c>
      <c r="I792" s="243"/>
      <c r="J792" s="243"/>
      <c r="K792" s="243" t="s">
        <v>40</v>
      </c>
      <c r="L792" s="240" t="s">
        <v>1</v>
      </c>
      <c r="M792" s="244">
        <v>2</v>
      </c>
      <c r="N792" s="245">
        <v>40</v>
      </c>
      <c r="O792" s="243">
        <v>80</v>
      </c>
      <c r="P792" s="243"/>
      <c r="Q792" s="180" t="str">
        <f>IF(PEDIDOS[[#This Row],[Valor do item pago]]=PEDIDOS[[#This Row],[Total Item ]],"PAGO", "")</f>
        <v/>
      </c>
    </row>
    <row r="793" spans="1:17" s="216" customFormat="1" ht="39.950000000000003" customHeight="1" x14ac:dyDescent="0.25">
      <c r="A793" s="231"/>
      <c r="B793" s="240">
        <v>1045</v>
      </c>
      <c r="C793" s="241">
        <v>43678</v>
      </c>
      <c r="D793" s="242" t="s">
        <v>40</v>
      </c>
      <c r="E793" s="240" t="s">
        <v>630</v>
      </c>
      <c r="F793" s="240" t="s">
        <v>1245</v>
      </c>
      <c r="G793" s="240" t="s">
        <v>1392</v>
      </c>
      <c r="H793" s="240" t="s">
        <v>1205</v>
      </c>
      <c r="I793" s="243" t="s">
        <v>735</v>
      </c>
      <c r="J793" s="243"/>
      <c r="K793" s="243"/>
      <c r="L793" s="240" t="s">
        <v>1</v>
      </c>
      <c r="M793" s="244">
        <v>1</v>
      </c>
      <c r="N793" s="245">
        <v>40</v>
      </c>
      <c r="O793" s="243">
        <v>40</v>
      </c>
      <c r="P793" s="243">
        <v>40</v>
      </c>
      <c r="Q793" s="180" t="str">
        <f>IF(PEDIDOS[[#This Row],[Valor do item pago]]=PEDIDOS[[#This Row],[Total Item ]],"PAGO", "")</f>
        <v>PAGO</v>
      </c>
    </row>
    <row r="794" spans="1:17" s="216" customFormat="1" ht="39.950000000000003" customHeight="1" x14ac:dyDescent="0.25">
      <c r="A794" s="231"/>
      <c r="B794" s="240">
        <v>1045</v>
      </c>
      <c r="C794" s="241">
        <v>43678</v>
      </c>
      <c r="D794" s="242" t="s">
        <v>40</v>
      </c>
      <c r="E794" s="240" t="s">
        <v>630</v>
      </c>
      <c r="F794" s="240" t="s">
        <v>1245</v>
      </c>
      <c r="G794" s="240" t="s">
        <v>1392</v>
      </c>
      <c r="H794" s="240" t="s">
        <v>1205</v>
      </c>
      <c r="I794" s="243" t="s">
        <v>735</v>
      </c>
      <c r="J794" s="243"/>
      <c r="K794" s="243"/>
      <c r="L794" s="240" t="s">
        <v>0</v>
      </c>
      <c r="M794" s="244">
        <v>1</v>
      </c>
      <c r="N794" s="245">
        <v>40</v>
      </c>
      <c r="O794" s="243">
        <v>40</v>
      </c>
      <c r="P794" s="243">
        <v>40</v>
      </c>
      <c r="Q794" s="180" t="str">
        <f>IF(PEDIDOS[[#This Row],[Valor do item pago]]=PEDIDOS[[#This Row],[Total Item ]],"PAGO", "")</f>
        <v>PAGO</v>
      </c>
    </row>
    <row r="795" spans="1:17" s="216" customFormat="1" ht="39.950000000000003" customHeight="1" x14ac:dyDescent="0.25">
      <c r="A795" s="231"/>
      <c r="B795" s="240">
        <v>1044</v>
      </c>
      <c r="C795" s="241">
        <v>43678</v>
      </c>
      <c r="D795" s="242" t="s">
        <v>40</v>
      </c>
      <c r="E795" s="240" t="s">
        <v>203</v>
      </c>
      <c r="F795" s="240" t="s">
        <v>1238</v>
      </c>
      <c r="G795" s="240" t="s">
        <v>41</v>
      </c>
      <c r="H795" s="240" t="s">
        <v>441</v>
      </c>
      <c r="I795" s="243" t="s">
        <v>442</v>
      </c>
      <c r="J795" s="243"/>
      <c r="K795" s="243" t="s">
        <v>648</v>
      </c>
      <c r="L795" s="240" t="s">
        <v>1</v>
      </c>
      <c r="M795" s="244">
        <v>1</v>
      </c>
      <c r="N795" s="245">
        <v>40</v>
      </c>
      <c r="O795" s="243">
        <v>40</v>
      </c>
      <c r="P795" s="243"/>
      <c r="Q795" s="180" t="str">
        <f>IF(PEDIDOS[[#This Row],[Valor do item pago]]=PEDIDOS[[#This Row],[Total Item ]],"PAGO", "")</f>
        <v/>
      </c>
    </row>
    <row r="796" spans="1:17" s="216" customFormat="1" ht="39.950000000000003" customHeight="1" x14ac:dyDescent="0.25">
      <c r="A796" s="231"/>
      <c r="B796" s="240">
        <v>1044</v>
      </c>
      <c r="C796" s="241">
        <v>43678</v>
      </c>
      <c r="D796" s="242" t="s">
        <v>40</v>
      </c>
      <c r="E796" s="240" t="s">
        <v>203</v>
      </c>
      <c r="F796" s="240" t="s">
        <v>1238</v>
      </c>
      <c r="G796" s="240" t="s">
        <v>41</v>
      </c>
      <c r="H796" s="240" t="s">
        <v>441</v>
      </c>
      <c r="I796" s="243" t="s">
        <v>442</v>
      </c>
      <c r="J796" s="243"/>
      <c r="K796" s="243" t="s">
        <v>648</v>
      </c>
      <c r="L796" s="240" t="s">
        <v>0</v>
      </c>
      <c r="M796" s="244">
        <v>1</v>
      </c>
      <c r="N796" s="245">
        <v>40</v>
      </c>
      <c r="O796" s="243">
        <v>40</v>
      </c>
      <c r="P796" s="243"/>
      <c r="Q796" s="180" t="str">
        <f>IF(PEDIDOS[[#This Row],[Valor do item pago]]=PEDIDOS[[#This Row],[Total Item ]],"PAGO", "")</f>
        <v/>
      </c>
    </row>
    <row r="797" spans="1:17" s="216" customFormat="1" ht="39.950000000000003" customHeight="1" x14ac:dyDescent="0.25">
      <c r="A797" s="231"/>
      <c r="B797" s="240">
        <v>1043</v>
      </c>
      <c r="C797" s="241">
        <v>43678</v>
      </c>
      <c r="D797" s="242" t="s">
        <v>40</v>
      </c>
      <c r="E797" s="240" t="s">
        <v>13</v>
      </c>
      <c r="F797" s="240" t="s">
        <v>1491</v>
      </c>
      <c r="G797" s="240" t="s">
        <v>1492</v>
      </c>
      <c r="H797" s="240" t="s">
        <v>1197</v>
      </c>
      <c r="I797" s="243" t="s">
        <v>1493</v>
      </c>
      <c r="J797" s="243"/>
      <c r="K797" s="243" t="s">
        <v>40</v>
      </c>
      <c r="L797" s="240" t="s">
        <v>3</v>
      </c>
      <c r="M797" s="244">
        <v>1</v>
      </c>
      <c r="N797" s="245">
        <v>40</v>
      </c>
      <c r="O797" s="243">
        <v>40</v>
      </c>
      <c r="P797" s="243"/>
      <c r="Q797" s="180" t="str">
        <f>IF(PEDIDOS[[#This Row],[Valor do item pago]]=PEDIDOS[[#This Row],[Total Item ]],"PAGO", "")</f>
        <v/>
      </c>
    </row>
    <row r="798" spans="1:17" s="216" customFormat="1" ht="39.950000000000003" customHeight="1" x14ac:dyDescent="0.25">
      <c r="A798" s="231"/>
      <c r="B798" s="240">
        <v>1043</v>
      </c>
      <c r="C798" s="241">
        <v>43678</v>
      </c>
      <c r="D798" s="242" t="s">
        <v>40</v>
      </c>
      <c r="E798" s="240" t="s">
        <v>13</v>
      </c>
      <c r="F798" s="240" t="s">
        <v>1491</v>
      </c>
      <c r="G798" s="240" t="s">
        <v>1492</v>
      </c>
      <c r="H798" s="240" t="s">
        <v>1197</v>
      </c>
      <c r="I798" s="243" t="s">
        <v>1493</v>
      </c>
      <c r="J798" s="243"/>
      <c r="K798" s="243" t="s">
        <v>40</v>
      </c>
      <c r="L798" s="240" t="s">
        <v>219</v>
      </c>
      <c r="M798" s="244">
        <v>1</v>
      </c>
      <c r="N798" s="245">
        <v>40</v>
      </c>
      <c r="O798" s="243">
        <v>40</v>
      </c>
      <c r="P798" s="243"/>
      <c r="Q798" s="180" t="str">
        <f>IF(PEDIDOS[[#This Row],[Valor do item pago]]=PEDIDOS[[#This Row],[Total Item ]],"PAGO", "")</f>
        <v/>
      </c>
    </row>
    <row r="799" spans="1:17" s="216" customFormat="1" ht="39.950000000000003" customHeight="1" x14ac:dyDescent="0.25">
      <c r="A799" s="231"/>
      <c r="B799" s="240">
        <v>1042</v>
      </c>
      <c r="C799" s="241">
        <v>43678</v>
      </c>
      <c r="D799" s="242" t="s">
        <v>40</v>
      </c>
      <c r="E799" s="240" t="s">
        <v>1255</v>
      </c>
      <c r="F799" s="240" t="s">
        <v>1210</v>
      </c>
      <c r="G799" s="240">
        <v>0</v>
      </c>
      <c r="H799" s="240">
        <v>0</v>
      </c>
      <c r="I799" s="243"/>
      <c r="J799" s="243"/>
      <c r="K799" s="243" t="s">
        <v>40</v>
      </c>
      <c r="L799" s="240" t="s">
        <v>3</v>
      </c>
      <c r="M799" s="244">
        <v>2</v>
      </c>
      <c r="N799" s="245">
        <v>40</v>
      </c>
      <c r="O799" s="243">
        <v>80</v>
      </c>
      <c r="P799" s="243"/>
      <c r="Q799" s="180" t="str">
        <f>IF(PEDIDOS[[#This Row],[Valor do item pago]]=PEDIDOS[[#This Row],[Total Item ]],"PAGO", "")</f>
        <v/>
      </c>
    </row>
    <row r="800" spans="1:17" s="216" customFormat="1" ht="39.950000000000003" customHeight="1" x14ac:dyDescent="0.25">
      <c r="A800" s="231"/>
      <c r="B800" s="240">
        <v>1041</v>
      </c>
      <c r="C800" s="241">
        <v>43649</v>
      </c>
      <c r="D800" s="242" t="s">
        <v>477</v>
      </c>
      <c r="E800" s="240" t="s">
        <v>11</v>
      </c>
      <c r="F800" s="240" t="s">
        <v>882</v>
      </c>
      <c r="G800" s="240" t="s">
        <v>1382</v>
      </c>
      <c r="H800" s="240" t="s">
        <v>441</v>
      </c>
      <c r="I800" s="243" t="s">
        <v>884</v>
      </c>
      <c r="J800" s="243"/>
      <c r="K800" s="243"/>
      <c r="L800" s="240" t="s">
        <v>219</v>
      </c>
      <c r="M800" s="244">
        <v>2</v>
      </c>
      <c r="N800" s="245">
        <v>40</v>
      </c>
      <c r="O800" s="243">
        <v>80</v>
      </c>
      <c r="P800" s="243"/>
      <c r="Q800" s="180" t="str">
        <f>IF(PEDIDOS[[#This Row],[Valor do item pago]]=PEDIDOS[[#This Row],[Total Item ]],"PAGO", "")</f>
        <v/>
      </c>
    </row>
    <row r="801" spans="1:17" s="216" customFormat="1" ht="39.950000000000003" customHeight="1" x14ac:dyDescent="0.25">
      <c r="A801" s="231"/>
      <c r="B801" s="240">
        <v>1040</v>
      </c>
      <c r="C801" s="241">
        <v>43649</v>
      </c>
      <c r="D801" s="242" t="s">
        <v>229</v>
      </c>
      <c r="E801" s="240" t="s">
        <v>229</v>
      </c>
      <c r="F801" s="240">
        <v>0</v>
      </c>
      <c r="G801" s="240">
        <v>0</v>
      </c>
      <c r="H801" s="240">
        <v>0</v>
      </c>
      <c r="I801" s="243"/>
      <c r="J801" s="243"/>
      <c r="K801" s="243" t="s">
        <v>229</v>
      </c>
      <c r="L801" s="240" t="s">
        <v>3</v>
      </c>
      <c r="M801" s="244">
        <v>1</v>
      </c>
      <c r="N801" s="245">
        <v>40</v>
      </c>
      <c r="O801" s="243">
        <v>40</v>
      </c>
      <c r="P801" s="243"/>
      <c r="Q801" s="180" t="str">
        <f>IF(PEDIDOS[[#This Row],[Valor do item pago]]=PEDIDOS[[#This Row],[Total Item ]],"PAGO", "")</f>
        <v/>
      </c>
    </row>
    <row r="802" spans="1:17" s="216" customFormat="1" ht="39.950000000000003" customHeight="1" x14ac:dyDescent="0.25">
      <c r="A802" s="231"/>
      <c r="B802" s="240">
        <v>1040</v>
      </c>
      <c r="C802" s="241">
        <v>43649</v>
      </c>
      <c r="D802" s="242" t="s">
        <v>229</v>
      </c>
      <c r="E802" s="240" t="s">
        <v>229</v>
      </c>
      <c r="F802" s="240">
        <v>0</v>
      </c>
      <c r="G802" s="240">
        <v>0</v>
      </c>
      <c r="H802" s="240">
        <v>0</v>
      </c>
      <c r="I802" s="243"/>
      <c r="J802" s="243"/>
      <c r="K802" s="243" t="s">
        <v>229</v>
      </c>
      <c r="L802" s="240" t="s">
        <v>219</v>
      </c>
      <c r="M802" s="244">
        <v>1</v>
      </c>
      <c r="N802" s="245">
        <v>40</v>
      </c>
      <c r="O802" s="243">
        <v>40</v>
      </c>
      <c r="P802" s="243"/>
      <c r="Q802" s="180" t="str">
        <f>IF(PEDIDOS[[#This Row],[Valor do item pago]]=PEDIDOS[[#This Row],[Total Item ]],"PAGO", "")</f>
        <v/>
      </c>
    </row>
    <row r="803" spans="1:17" s="216" customFormat="1" ht="39.950000000000003" customHeight="1" x14ac:dyDescent="0.25">
      <c r="A803" s="231"/>
      <c r="B803" s="240">
        <v>1040</v>
      </c>
      <c r="C803" s="241">
        <v>43649</v>
      </c>
      <c r="D803" s="242" t="s">
        <v>229</v>
      </c>
      <c r="E803" s="240" t="s">
        <v>229</v>
      </c>
      <c r="F803" s="240">
        <v>0</v>
      </c>
      <c r="G803" s="240">
        <v>0</v>
      </c>
      <c r="H803" s="240">
        <v>0</v>
      </c>
      <c r="I803" s="243"/>
      <c r="J803" s="243"/>
      <c r="K803" s="243" t="s">
        <v>229</v>
      </c>
      <c r="L803" s="240" t="s">
        <v>1</v>
      </c>
      <c r="M803" s="244">
        <v>4</v>
      </c>
      <c r="N803" s="245">
        <v>40</v>
      </c>
      <c r="O803" s="243">
        <v>160</v>
      </c>
      <c r="P803" s="243"/>
      <c r="Q803" s="180" t="str">
        <f>IF(PEDIDOS[[#This Row],[Valor do item pago]]=PEDIDOS[[#This Row],[Total Item ]],"PAGO", "")</f>
        <v/>
      </c>
    </row>
    <row r="804" spans="1:17" s="216" customFormat="1" ht="39.950000000000003" customHeight="1" x14ac:dyDescent="0.25">
      <c r="A804" s="231"/>
      <c r="B804" s="240">
        <v>1039</v>
      </c>
      <c r="C804" s="241">
        <v>43649</v>
      </c>
      <c r="D804" s="242" t="s">
        <v>477</v>
      </c>
      <c r="E804" s="240" t="s">
        <v>1470</v>
      </c>
      <c r="F804" s="240" t="s">
        <v>1475</v>
      </c>
      <c r="G804" s="240" t="s">
        <v>1480</v>
      </c>
      <c r="H804" s="240" t="s">
        <v>441</v>
      </c>
      <c r="I804" s="243" t="s">
        <v>1487</v>
      </c>
      <c r="J804" s="243"/>
      <c r="K804" s="243" t="s">
        <v>477</v>
      </c>
      <c r="L804" s="240" t="s">
        <v>219</v>
      </c>
      <c r="M804" s="244">
        <v>1</v>
      </c>
      <c r="N804" s="245">
        <v>40</v>
      </c>
      <c r="O804" s="243">
        <v>40</v>
      </c>
      <c r="P804" s="243"/>
      <c r="Q804" s="180" t="str">
        <f>IF(PEDIDOS[[#This Row],[Valor do item pago]]=PEDIDOS[[#This Row],[Total Item ]],"PAGO", "")</f>
        <v/>
      </c>
    </row>
    <row r="805" spans="1:17" s="216" customFormat="1" ht="39.950000000000003" customHeight="1" x14ac:dyDescent="0.25">
      <c r="A805" s="231"/>
      <c r="B805" s="240">
        <v>1039</v>
      </c>
      <c r="C805" s="241">
        <v>43649</v>
      </c>
      <c r="D805" s="242" t="s">
        <v>477</v>
      </c>
      <c r="E805" s="240" t="s">
        <v>1470</v>
      </c>
      <c r="F805" s="240" t="s">
        <v>1475</v>
      </c>
      <c r="G805" s="240" t="s">
        <v>1480</v>
      </c>
      <c r="H805" s="240" t="s">
        <v>441</v>
      </c>
      <c r="I805" s="243" t="s">
        <v>1487</v>
      </c>
      <c r="J805" s="243"/>
      <c r="K805" s="243" t="s">
        <v>477</v>
      </c>
      <c r="L805" s="240" t="s">
        <v>1</v>
      </c>
      <c r="M805" s="244">
        <v>1</v>
      </c>
      <c r="N805" s="245">
        <v>40</v>
      </c>
      <c r="O805" s="243">
        <v>40</v>
      </c>
      <c r="P805" s="243"/>
      <c r="Q805" s="180" t="str">
        <f>IF(PEDIDOS[[#This Row],[Valor do item pago]]=PEDIDOS[[#This Row],[Total Item ]],"PAGO", "")</f>
        <v/>
      </c>
    </row>
    <row r="806" spans="1:17" s="216" customFormat="1" ht="39.950000000000003" customHeight="1" x14ac:dyDescent="0.25">
      <c r="A806" s="231"/>
      <c r="B806" s="240">
        <v>1038</v>
      </c>
      <c r="C806" s="241">
        <v>43649</v>
      </c>
      <c r="D806" s="242" t="s">
        <v>477</v>
      </c>
      <c r="E806" s="240" t="s">
        <v>379</v>
      </c>
      <c r="F806" s="240" t="s">
        <v>1250</v>
      </c>
      <c r="G806" s="240" t="s">
        <v>1425</v>
      </c>
      <c r="H806" s="240" t="s">
        <v>1195</v>
      </c>
      <c r="I806" s="243" t="s">
        <v>257</v>
      </c>
      <c r="J806" s="243"/>
      <c r="K806" s="243"/>
      <c r="L806" s="240" t="s">
        <v>1</v>
      </c>
      <c r="M806" s="244">
        <v>1</v>
      </c>
      <c r="N806" s="245">
        <v>40</v>
      </c>
      <c r="O806" s="243">
        <v>40</v>
      </c>
      <c r="P806" s="243"/>
      <c r="Q806" s="180" t="str">
        <f>IF(PEDIDOS[[#This Row],[Valor do item pago]]=PEDIDOS[[#This Row],[Total Item ]],"PAGO", "")</f>
        <v/>
      </c>
    </row>
    <row r="807" spans="1:17" s="216" customFormat="1" ht="39.950000000000003" customHeight="1" x14ac:dyDescent="0.25">
      <c r="A807" s="231"/>
      <c r="B807" s="240">
        <v>1037</v>
      </c>
      <c r="C807" s="241">
        <v>43649</v>
      </c>
      <c r="D807" s="242" t="s">
        <v>477</v>
      </c>
      <c r="E807" s="240" t="s">
        <v>547</v>
      </c>
      <c r="F807" s="240" t="s">
        <v>521</v>
      </c>
      <c r="G807" s="240" t="s">
        <v>1317</v>
      </c>
      <c r="H807" s="240" t="s">
        <v>1205</v>
      </c>
      <c r="I807" s="243" t="s">
        <v>663</v>
      </c>
      <c r="J807" s="243" t="s">
        <v>1532</v>
      </c>
      <c r="K807" s="243"/>
      <c r="L807" s="240" t="s">
        <v>235</v>
      </c>
      <c r="M807" s="244">
        <v>1</v>
      </c>
      <c r="N807" s="245">
        <v>40</v>
      </c>
      <c r="O807" s="243">
        <v>40</v>
      </c>
      <c r="P807" s="243"/>
      <c r="Q807" s="180" t="str">
        <f>IF(PEDIDOS[[#This Row],[Valor do item pago]]=PEDIDOS[[#This Row],[Total Item ]],"PAGO", "")</f>
        <v/>
      </c>
    </row>
    <row r="808" spans="1:17" s="216" customFormat="1" ht="39.950000000000003" customHeight="1" x14ac:dyDescent="0.25">
      <c r="A808" s="231"/>
      <c r="B808" s="240">
        <v>1036</v>
      </c>
      <c r="C808" s="241">
        <v>43649</v>
      </c>
      <c r="D808" s="242" t="s">
        <v>477</v>
      </c>
      <c r="E808" s="240" t="s">
        <v>1446</v>
      </c>
      <c r="F808" s="240" t="s">
        <v>903</v>
      </c>
      <c r="G808" s="240" t="s">
        <v>1290</v>
      </c>
      <c r="H808" s="240" t="s">
        <v>520</v>
      </c>
      <c r="I808" s="243" t="s">
        <v>905</v>
      </c>
      <c r="J808" s="243"/>
      <c r="K808" s="243"/>
      <c r="L808" s="240" t="s">
        <v>219</v>
      </c>
      <c r="M808" s="244">
        <v>1</v>
      </c>
      <c r="N808" s="245">
        <v>40</v>
      </c>
      <c r="O808" s="243">
        <v>40</v>
      </c>
      <c r="P808" s="243"/>
      <c r="Q808" s="180" t="str">
        <f>IF(PEDIDOS[[#This Row],[Valor do item pago]]=PEDIDOS[[#This Row],[Total Item ]],"PAGO", "")</f>
        <v/>
      </c>
    </row>
    <row r="809" spans="1:17" s="216" customFormat="1" ht="39.950000000000003" customHeight="1" x14ac:dyDescent="0.25">
      <c r="A809" s="231"/>
      <c r="B809" s="240">
        <v>1035</v>
      </c>
      <c r="C809" s="241">
        <v>43649</v>
      </c>
      <c r="D809" s="242" t="s">
        <v>477</v>
      </c>
      <c r="E809" s="240" t="s">
        <v>369</v>
      </c>
      <c r="F809" s="240" t="s">
        <v>1240</v>
      </c>
      <c r="G809" s="240" t="s">
        <v>1420</v>
      </c>
      <c r="H809" s="240" t="s">
        <v>400</v>
      </c>
      <c r="I809" s="243" t="s">
        <v>444</v>
      </c>
      <c r="J809" s="243"/>
      <c r="K809" s="243"/>
      <c r="L809" s="240" t="s">
        <v>219</v>
      </c>
      <c r="M809" s="244">
        <v>1</v>
      </c>
      <c r="N809" s="245">
        <v>40</v>
      </c>
      <c r="O809" s="243">
        <v>40</v>
      </c>
      <c r="P809" s="243"/>
      <c r="Q809" s="180" t="str">
        <f>IF(PEDIDOS[[#This Row],[Valor do item pago]]=PEDIDOS[[#This Row],[Total Item ]],"PAGO", "")</f>
        <v/>
      </c>
    </row>
    <row r="810" spans="1:17" s="216" customFormat="1" ht="39.950000000000003" customHeight="1" x14ac:dyDescent="0.25">
      <c r="A810" s="231"/>
      <c r="B810" s="240">
        <v>1034</v>
      </c>
      <c r="C810" s="241">
        <v>43649</v>
      </c>
      <c r="D810" s="242" t="s">
        <v>477</v>
      </c>
      <c r="E810" s="240" t="s">
        <v>513</v>
      </c>
      <c r="F810" s="240" t="s">
        <v>514</v>
      </c>
      <c r="G810" s="240" t="s">
        <v>1419</v>
      </c>
      <c r="H810" s="240" t="s">
        <v>1455</v>
      </c>
      <c r="I810" s="243" t="s">
        <v>661</v>
      </c>
      <c r="J810" s="243"/>
      <c r="K810" s="243"/>
      <c r="L810" s="240" t="s">
        <v>219</v>
      </c>
      <c r="M810" s="244">
        <v>1</v>
      </c>
      <c r="N810" s="245">
        <v>40</v>
      </c>
      <c r="O810" s="243">
        <v>40</v>
      </c>
      <c r="P810" s="243"/>
      <c r="Q810" s="180" t="str">
        <f>IF(PEDIDOS[[#This Row],[Valor do item pago]]=PEDIDOS[[#This Row],[Total Item ]],"PAGO", "")</f>
        <v/>
      </c>
    </row>
    <row r="811" spans="1:17" s="216" customFormat="1" ht="39.950000000000003" customHeight="1" x14ac:dyDescent="0.25">
      <c r="A811" s="231"/>
      <c r="B811" s="240">
        <v>1034</v>
      </c>
      <c r="C811" s="241">
        <v>43649</v>
      </c>
      <c r="D811" s="242" t="s">
        <v>477</v>
      </c>
      <c r="E811" s="240" t="s">
        <v>513</v>
      </c>
      <c r="F811" s="240" t="s">
        <v>514</v>
      </c>
      <c r="G811" s="240" t="s">
        <v>1419</v>
      </c>
      <c r="H811" s="240" t="s">
        <v>1455</v>
      </c>
      <c r="I811" s="243" t="s">
        <v>661</v>
      </c>
      <c r="J811" s="243"/>
      <c r="K811" s="243"/>
      <c r="L811" s="240" t="s">
        <v>1</v>
      </c>
      <c r="M811" s="244">
        <v>1</v>
      </c>
      <c r="N811" s="245">
        <v>40</v>
      </c>
      <c r="O811" s="243">
        <v>40</v>
      </c>
      <c r="P811" s="243"/>
      <c r="Q811" s="180" t="str">
        <f>IF(PEDIDOS[[#This Row],[Valor do item pago]]=PEDIDOS[[#This Row],[Total Item ]],"PAGO", "")</f>
        <v/>
      </c>
    </row>
    <row r="812" spans="1:17" s="216" customFormat="1" ht="39.950000000000003" customHeight="1" x14ac:dyDescent="0.25">
      <c r="A812" s="231"/>
      <c r="B812" s="240">
        <v>1033</v>
      </c>
      <c r="C812" s="241">
        <v>43649</v>
      </c>
      <c r="D812" s="242" t="s">
        <v>477</v>
      </c>
      <c r="E812" s="240" t="s">
        <v>1278</v>
      </c>
      <c r="F812" s="240" t="s">
        <v>882</v>
      </c>
      <c r="G812" s="240" t="s">
        <v>1382</v>
      </c>
      <c r="H812" s="240" t="s">
        <v>441</v>
      </c>
      <c r="I812" s="243" t="s">
        <v>884</v>
      </c>
      <c r="J812" s="243"/>
      <c r="K812" s="243" t="s">
        <v>477</v>
      </c>
      <c r="L812" s="240" t="s">
        <v>0</v>
      </c>
      <c r="M812" s="244">
        <v>1</v>
      </c>
      <c r="N812" s="245">
        <v>40</v>
      </c>
      <c r="O812" s="243">
        <v>40</v>
      </c>
      <c r="P812" s="243"/>
      <c r="Q812" s="180" t="str">
        <f>IF(PEDIDOS[[#This Row],[Valor do item pago]]=PEDIDOS[[#This Row],[Total Item ]],"PAGO", "")</f>
        <v/>
      </c>
    </row>
    <row r="813" spans="1:17" s="216" customFormat="1" ht="39.950000000000003" customHeight="1" x14ac:dyDescent="0.25">
      <c r="A813" s="231"/>
      <c r="B813" s="240">
        <v>1032</v>
      </c>
      <c r="C813" s="241">
        <v>43649</v>
      </c>
      <c r="D813" s="242" t="s">
        <v>477</v>
      </c>
      <c r="E813" s="240" t="s">
        <v>1262</v>
      </c>
      <c r="F813" s="240">
        <v>0</v>
      </c>
      <c r="G813" s="240">
        <v>0</v>
      </c>
      <c r="H813" s="240">
        <v>0</v>
      </c>
      <c r="I813" s="243"/>
      <c r="J813" s="243"/>
      <c r="K813" s="243"/>
      <c r="L813" s="240" t="s">
        <v>1</v>
      </c>
      <c r="M813" s="244">
        <v>1</v>
      </c>
      <c r="N813" s="245">
        <v>40</v>
      </c>
      <c r="O813" s="243">
        <v>40</v>
      </c>
      <c r="P813" s="243">
        <v>40</v>
      </c>
      <c r="Q813" s="180" t="str">
        <f>IF(PEDIDOS[[#This Row],[Valor do item pago]]=PEDIDOS[[#This Row],[Total Item ]],"PAGO", "")</f>
        <v>PAGO</v>
      </c>
    </row>
    <row r="814" spans="1:17" s="216" customFormat="1" ht="39.950000000000003" customHeight="1" x14ac:dyDescent="0.25">
      <c r="A814" s="231"/>
      <c r="B814" s="240">
        <v>1031</v>
      </c>
      <c r="C814" s="241">
        <v>43649</v>
      </c>
      <c r="D814" s="242" t="s">
        <v>477</v>
      </c>
      <c r="E814" s="240" t="s">
        <v>507</v>
      </c>
      <c r="F814" s="240" t="s">
        <v>497</v>
      </c>
      <c r="G814" s="240" t="s">
        <v>1376</v>
      </c>
      <c r="H814" s="240" t="s">
        <v>461</v>
      </c>
      <c r="I814" s="243" t="s">
        <v>659</v>
      </c>
      <c r="J814" s="243"/>
      <c r="K814" s="243"/>
      <c r="L814" s="240" t="s">
        <v>1</v>
      </c>
      <c r="M814" s="244">
        <v>1</v>
      </c>
      <c r="N814" s="245">
        <v>40</v>
      </c>
      <c r="O814" s="243">
        <v>40</v>
      </c>
      <c r="P814" s="243"/>
      <c r="Q814" s="180" t="str">
        <f>IF(PEDIDOS[[#This Row],[Valor do item pago]]=PEDIDOS[[#This Row],[Total Item ]],"PAGO", "")</f>
        <v/>
      </c>
    </row>
    <row r="815" spans="1:17" s="216" customFormat="1" ht="39.950000000000003" customHeight="1" x14ac:dyDescent="0.25">
      <c r="A815" s="231"/>
      <c r="B815" s="240">
        <v>1030</v>
      </c>
      <c r="C815" s="241">
        <v>43649</v>
      </c>
      <c r="D815" s="242" t="s">
        <v>477</v>
      </c>
      <c r="E815" s="240" t="s">
        <v>1259</v>
      </c>
      <c r="F815" s="240" t="s">
        <v>1226</v>
      </c>
      <c r="G815" s="240" t="s">
        <v>1440</v>
      </c>
      <c r="H815" s="240" t="s">
        <v>390</v>
      </c>
      <c r="I815" s="243" t="s">
        <v>251</v>
      </c>
      <c r="J815" s="243" t="s">
        <v>1522</v>
      </c>
      <c r="K815" s="243"/>
      <c r="L815" s="240" t="s">
        <v>1</v>
      </c>
      <c r="M815" s="244">
        <v>1</v>
      </c>
      <c r="N815" s="245">
        <v>40</v>
      </c>
      <c r="O815" s="243">
        <v>40</v>
      </c>
      <c r="P815" s="243"/>
      <c r="Q815" s="180" t="str">
        <f>IF(PEDIDOS[[#This Row],[Valor do item pago]]=PEDIDOS[[#This Row],[Total Item ]],"PAGO", "")</f>
        <v/>
      </c>
    </row>
    <row r="816" spans="1:17" s="216" customFormat="1" ht="39.950000000000003" customHeight="1" x14ac:dyDescent="0.25">
      <c r="A816" s="231"/>
      <c r="B816" s="240">
        <v>1029</v>
      </c>
      <c r="C816" s="241">
        <v>43649</v>
      </c>
      <c r="D816" s="242" t="s">
        <v>477</v>
      </c>
      <c r="E816" s="240" t="s">
        <v>877</v>
      </c>
      <c r="F816" s="240" t="s">
        <v>876</v>
      </c>
      <c r="G816" s="240" t="s">
        <v>1413</v>
      </c>
      <c r="H816" s="240" t="s">
        <v>441</v>
      </c>
      <c r="I816" s="243" t="s">
        <v>879</v>
      </c>
      <c r="J816" s="243"/>
      <c r="K816" s="243" t="s">
        <v>477</v>
      </c>
      <c r="L816" s="240" t="s">
        <v>1</v>
      </c>
      <c r="M816" s="244">
        <v>1</v>
      </c>
      <c r="N816" s="245">
        <v>40</v>
      </c>
      <c r="O816" s="243">
        <v>40</v>
      </c>
      <c r="P816" s="243"/>
      <c r="Q816" s="180" t="str">
        <f>IF(PEDIDOS[[#This Row],[Valor do item pago]]=PEDIDOS[[#This Row],[Total Item ]],"PAGO", "")</f>
        <v/>
      </c>
    </row>
    <row r="817" spans="1:17" s="216" customFormat="1" ht="39.950000000000003" customHeight="1" x14ac:dyDescent="0.25">
      <c r="A817" s="231"/>
      <c r="B817" s="240">
        <v>1028</v>
      </c>
      <c r="C817" s="241">
        <v>43649</v>
      </c>
      <c r="D817" s="242" t="s">
        <v>477</v>
      </c>
      <c r="E817" s="240" t="s">
        <v>1199</v>
      </c>
      <c r="F817" s="240" t="s">
        <v>969</v>
      </c>
      <c r="G817" s="240" t="s">
        <v>1361</v>
      </c>
      <c r="H817" s="240" t="s">
        <v>52</v>
      </c>
      <c r="I817" s="243" t="s">
        <v>971</v>
      </c>
      <c r="J817" s="243" t="s">
        <v>1531</v>
      </c>
      <c r="K817" s="243"/>
      <c r="L817" s="240"/>
      <c r="M817" s="244"/>
      <c r="N817" s="245">
        <v>40</v>
      </c>
      <c r="O817" s="243">
        <v>40</v>
      </c>
      <c r="P817" s="243"/>
      <c r="Q817" s="180" t="str">
        <f>IF(PEDIDOS[[#This Row],[Valor do item pago]]=PEDIDOS[[#This Row],[Total Item ]],"PAGO", "")</f>
        <v/>
      </c>
    </row>
    <row r="818" spans="1:17" s="216" customFormat="1" ht="39.950000000000003" customHeight="1" x14ac:dyDescent="0.25">
      <c r="A818" s="231"/>
      <c r="B818" s="240">
        <v>1026</v>
      </c>
      <c r="C818" s="241">
        <v>43649</v>
      </c>
      <c r="D818" s="242" t="s">
        <v>477</v>
      </c>
      <c r="E818" s="240" t="s">
        <v>343</v>
      </c>
      <c r="F818" s="240" t="s">
        <v>826</v>
      </c>
      <c r="G818" s="240" t="s">
        <v>1404</v>
      </c>
      <c r="H818" s="240" t="s">
        <v>441</v>
      </c>
      <c r="I818" s="243" t="s">
        <v>874</v>
      </c>
      <c r="J818" s="243"/>
      <c r="K818" s="243" t="s">
        <v>477</v>
      </c>
      <c r="L818" s="240" t="s">
        <v>1</v>
      </c>
      <c r="M818" s="244">
        <v>1</v>
      </c>
      <c r="N818" s="245">
        <v>40</v>
      </c>
      <c r="O818" s="243">
        <v>40</v>
      </c>
      <c r="P818" s="243"/>
      <c r="Q818" s="180" t="str">
        <f>IF(PEDIDOS[[#This Row],[Valor do item pago]]=PEDIDOS[[#This Row],[Total Item ]],"PAGO", "")</f>
        <v/>
      </c>
    </row>
    <row r="819" spans="1:17" s="216" customFormat="1" ht="39.950000000000003" customHeight="1" x14ac:dyDescent="0.25">
      <c r="A819" s="231"/>
      <c r="B819" s="240">
        <v>1025</v>
      </c>
      <c r="C819" s="241">
        <v>43649</v>
      </c>
      <c r="D819" s="242" t="s">
        <v>477</v>
      </c>
      <c r="E819" s="240" t="s">
        <v>340</v>
      </c>
      <c r="F819" s="240" t="s">
        <v>974</v>
      </c>
      <c r="G819" s="240" t="s">
        <v>1462</v>
      </c>
      <c r="H819" s="240" t="s">
        <v>388</v>
      </c>
      <c r="I819" s="243" t="s">
        <v>417</v>
      </c>
      <c r="J819" s="243" t="s">
        <v>1530</v>
      </c>
      <c r="K819" s="243"/>
      <c r="L819" s="240" t="s">
        <v>235</v>
      </c>
      <c r="M819" s="244">
        <v>1</v>
      </c>
      <c r="N819" s="245">
        <v>40</v>
      </c>
      <c r="O819" s="243">
        <v>40</v>
      </c>
      <c r="P819" s="243"/>
      <c r="Q819" s="180" t="str">
        <f>IF(PEDIDOS[[#This Row],[Valor do item pago]]=PEDIDOS[[#This Row],[Total Item ]],"PAGO", "")</f>
        <v/>
      </c>
    </row>
    <row r="820" spans="1:17" s="216" customFormat="1" ht="39.950000000000003" customHeight="1" x14ac:dyDescent="0.25">
      <c r="A820" s="231"/>
      <c r="B820" s="240">
        <v>1024</v>
      </c>
      <c r="C820" s="241">
        <v>43649</v>
      </c>
      <c r="D820" s="242" t="s">
        <v>477</v>
      </c>
      <c r="E820" s="240" t="s">
        <v>338</v>
      </c>
      <c r="F820" s="240" t="s">
        <v>1208</v>
      </c>
      <c r="G820" s="240" t="s">
        <v>1400</v>
      </c>
      <c r="H820" s="240" t="s">
        <v>1254</v>
      </c>
      <c r="I820" s="243" t="s">
        <v>654</v>
      </c>
      <c r="J820" s="243" t="s">
        <v>1529</v>
      </c>
      <c r="K820" s="243"/>
      <c r="L820" s="240" t="s">
        <v>1</v>
      </c>
      <c r="M820" s="244">
        <v>1</v>
      </c>
      <c r="N820" s="245">
        <v>40</v>
      </c>
      <c r="O820" s="243">
        <v>40</v>
      </c>
      <c r="P820" s="243"/>
      <c r="Q820" s="180" t="str">
        <f>IF(PEDIDOS[[#This Row],[Valor do item pago]]=PEDIDOS[[#This Row],[Total Item ]],"PAGO", "")</f>
        <v/>
      </c>
    </row>
    <row r="821" spans="1:17" s="216" customFormat="1" ht="39.950000000000003" customHeight="1" x14ac:dyDescent="0.25">
      <c r="A821" s="231"/>
      <c r="B821" s="240">
        <v>1023</v>
      </c>
      <c r="C821" s="241">
        <v>43649</v>
      </c>
      <c r="D821" s="242" t="s">
        <v>231</v>
      </c>
      <c r="E821" s="240" t="s">
        <v>381</v>
      </c>
      <c r="F821" s="240">
        <v>0</v>
      </c>
      <c r="G821" s="240">
        <v>0</v>
      </c>
      <c r="H821" s="240">
        <v>0</v>
      </c>
      <c r="I821" s="243"/>
      <c r="J821" s="243"/>
      <c r="K821" s="243" t="s">
        <v>231</v>
      </c>
      <c r="L821" s="240" t="s">
        <v>1</v>
      </c>
      <c r="M821" s="244">
        <v>2</v>
      </c>
      <c r="N821" s="245">
        <v>40</v>
      </c>
      <c r="O821" s="243">
        <v>40</v>
      </c>
      <c r="P821" s="243"/>
      <c r="Q821" s="180" t="str">
        <f>IF(PEDIDOS[[#This Row],[Valor do item pago]]=PEDIDOS[[#This Row],[Total Item ]],"PAGO", "")</f>
        <v/>
      </c>
    </row>
    <row r="822" spans="1:17" s="216" customFormat="1" ht="39.950000000000003" customHeight="1" x14ac:dyDescent="0.25">
      <c r="A822" s="231"/>
      <c r="B822" s="240">
        <v>1021</v>
      </c>
      <c r="C822" s="241">
        <v>43649</v>
      </c>
      <c r="D822" s="242" t="s">
        <v>231</v>
      </c>
      <c r="E822" s="240" t="s">
        <v>375</v>
      </c>
      <c r="F822" s="240" t="s">
        <v>1065</v>
      </c>
      <c r="G822" s="240">
        <v>0</v>
      </c>
      <c r="H822" s="240" t="s">
        <v>40</v>
      </c>
      <c r="I822" s="243"/>
      <c r="J822" s="243"/>
      <c r="K822" s="243" t="s">
        <v>231</v>
      </c>
      <c r="L822" s="240" t="s">
        <v>3</v>
      </c>
      <c r="M822" s="244">
        <v>1</v>
      </c>
      <c r="N822" s="245">
        <v>40</v>
      </c>
      <c r="O822" s="243">
        <v>40</v>
      </c>
      <c r="P822" s="243"/>
      <c r="Q822" s="180" t="str">
        <f>IF(PEDIDOS[[#This Row],[Valor do item pago]]=PEDIDOS[[#This Row],[Total Item ]],"PAGO", "")</f>
        <v/>
      </c>
    </row>
    <row r="823" spans="1:17" s="216" customFormat="1" ht="39.950000000000003" customHeight="1" x14ac:dyDescent="0.25">
      <c r="A823" s="231"/>
      <c r="B823" s="240">
        <v>1021</v>
      </c>
      <c r="C823" s="241">
        <v>43649</v>
      </c>
      <c r="D823" s="242" t="s">
        <v>231</v>
      </c>
      <c r="E823" s="240" t="s">
        <v>375</v>
      </c>
      <c r="F823" s="240" t="s">
        <v>1065</v>
      </c>
      <c r="G823" s="240">
        <v>0</v>
      </c>
      <c r="H823" s="240" t="s">
        <v>40</v>
      </c>
      <c r="I823" s="243"/>
      <c r="J823" s="243"/>
      <c r="K823" s="243" t="s">
        <v>231</v>
      </c>
      <c r="L823" s="240" t="s">
        <v>219</v>
      </c>
      <c r="M823" s="244">
        <v>1</v>
      </c>
      <c r="N823" s="245">
        <v>40</v>
      </c>
      <c r="O823" s="243">
        <v>40</v>
      </c>
      <c r="P823" s="243"/>
      <c r="Q823" s="180" t="str">
        <f>IF(PEDIDOS[[#This Row],[Valor do item pago]]=PEDIDOS[[#This Row],[Total Item ]],"PAGO", "")</f>
        <v/>
      </c>
    </row>
    <row r="824" spans="1:17" s="216" customFormat="1" ht="39.950000000000003" customHeight="1" x14ac:dyDescent="0.25">
      <c r="A824" s="231"/>
      <c r="B824" s="240">
        <v>1021</v>
      </c>
      <c r="C824" s="241">
        <v>43649</v>
      </c>
      <c r="D824" s="242" t="s">
        <v>231</v>
      </c>
      <c r="E824" s="240" t="s">
        <v>375</v>
      </c>
      <c r="F824" s="240" t="s">
        <v>1065</v>
      </c>
      <c r="G824" s="240">
        <v>0</v>
      </c>
      <c r="H824" s="240" t="s">
        <v>40</v>
      </c>
      <c r="I824" s="243"/>
      <c r="J824" s="243"/>
      <c r="K824" s="243" t="s">
        <v>231</v>
      </c>
      <c r="L824" s="240" t="s">
        <v>1</v>
      </c>
      <c r="M824" s="244">
        <v>1</v>
      </c>
      <c r="N824" s="245">
        <v>40</v>
      </c>
      <c r="O824" s="243">
        <v>40</v>
      </c>
      <c r="P824" s="243"/>
      <c r="Q824" s="180" t="str">
        <f>IF(PEDIDOS[[#This Row],[Valor do item pago]]=PEDIDOS[[#This Row],[Total Item ]],"PAGO", "")</f>
        <v/>
      </c>
    </row>
    <row r="825" spans="1:17" s="216" customFormat="1" ht="39.950000000000003" customHeight="1" x14ac:dyDescent="0.25">
      <c r="A825" s="231"/>
      <c r="B825" s="240">
        <v>1020</v>
      </c>
      <c r="C825" s="241">
        <v>43649</v>
      </c>
      <c r="D825" s="242" t="s">
        <v>231</v>
      </c>
      <c r="E825" s="240" t="s">
        <v>345</v>
      </c>
      <c r="F825" s="240" t="s">
        <v>1216</v>
      </c>
      <c r="G825" s="240">
        <v>0</v>
      </c>
      <c r="H825" s="240">
        <v>0</v>
      </c>
      <c r="I825" s="243"/>
      <c r="J825" s="243"/>
      <c r="K825" s="243" t="s">
        <v>231</v>
      </c>
      <c r="L825" s="240" t="s">
        <v>219</v>
      </c>
      <c r="M825" s="244">
        <v>1</v>
      </c>
      <c r="N825" s="245">
        <v>40</v>
      </c>
      <c r="O825" s="243">
        <v>40</v>
      </c>
      <c r="P825" s="243"/>
      <c r="Q825" s="180" t="str">
        <f>IF(PEDIDOS[[#This Row],[Valor do item pago]]=PEDIDOS[[#This Row],[Total Item ]],"PAGO", "")</f>
        <v/>
      </c>
    </row>
    <row r="826" spans="1:17" s="216" customFormat="1" ht="39.950000000000003" customHeight="1" x14ac:dyDescent="0.25">
      <c r="A826" s="231"/>
      <c r="B826" s="240">
        <v>1020</v>
      </c>
      <c r="C826" s="241">
        <v>43649</v>
      </c>
      <c r="D826" s="242" t="s">
        <v>231</v>
      </c>
      <c r="E826" s="240" t="s">
        <v>345</v>
      </c>
      <c r="F826" s="240" t="s">
        <v>1216</v>
      </c>
      <c r="G826" s="240">
        <v>0</v>
      </c>
      <c r="H826" s="240">
        <v>0</v>
      </c>
      <c r="I826" s="243"/>
      <c r="J826" s="243"/>
      <c r="K826" s="243" t="s">
        <v>231</v>
      </c>
      <c r="L826" s="240" t="s">
        <v>0</v>
      </c>
      <c r="M826" s="244">
        <v>1</v>
      </c>
      <c r="N826" s="245">
        <v>40</v>
      </c>
      <c r="O826" s="243">
        <v>40</v>
      </c>
      <c r="P826" s="243"/>
      <c r="Q826" s="180" t="str">
        <f>IF(PEDIDOS[[#This Row],[Valor do item pago]]=PEDIDOS[[#This Row],[Total Item ]],"PAGO", "")</f>
        <v/>
      </c>
    </row>
    <row r="827" spans="1:17" s="216" customFormat="1" ht="39.950000000000003" customHeight="1" x14ac:dyDescent="0.25">
      <c r="A827" s="231"/>
      <c r="B827" s="240">
        <v>1019</v>
      </c>
      <c r="C827" s="241">
        <v>43649</v>
      </c>
      <c r="D827" s="242" t="s">
        <v>231</v>
      </c>
      <c r="E827" s="240" t="s">
        <v>90</v>
      </c>
      <c r="F827" s="240" t="s">
        <v>806</v>
      </c>
      <c r="G827" s="240">
        <v>0</v>
      </c>
      <c r="H827" s="240" t="s">
        <v>40</v>
      </c>
      <c r="I827" s="243"/>
      <c r="J827" s="243"/>
      <c r="K827" s="243" t="s">
        <v>90</v>
      </c>
      <c r="L827" s="240" t="s">
        <v>219</v>
      </c>
      <c r="M827" s="244">
        <v>2</v>
      </c>
      <c r="N827" s="245">
        <v>40</v>
      </c>
      <c r="O827" s="243">
        <v>80</v>
      </c>
      <c r="P827" s="243"/>
      <c r="Q827" s="180" t="str">
        <f>IF(PEDIDOS[[#This Row],[Valor do item pago]]=PEDIDOS[[#This Row],[Total Item ]],"PAGO", "")</f>
        <v/>
      </c>
    </row>
    <row r="828" spans="1:17" s="216" customFormat="1" ht="39.950000000000003" customHeight="1" x14ac:dyDescent="0.25">
      <c r="A828" s="231"/>
      <c r="B828" s="240">
        <v>1018</v>
      </c>
      <c r="C828" s="241">
        <v>43649</v>
      </c>
      <c r="D828" s="242" t="s">
        <v>231</v>
      </c>
      <c r="E828" s="240" t="s">
        <v>356</v>
      </c>
      <c r="F828" s="240" t="s">
        <v>700</v>
      </c>
      <c r="G828" s="240" t="s">
        <v>1377</v>
      </c>
      <c r="H828" s="240" t="s">
        <v>1378</v>
      </c>
      <c r="I828" s="243" t="s">
        <v>702</v>
      </c>
      <c r="J828" s="243" t="s">
        <v>1527</v>
      </c>
      <c r="K828" s="243"/>
      <c r="L828" s="240" t="s">
        <v>219</v>
      </c>
      <c r="M828" s="244">
        <v>1</v>
      </c>
      <c r="N828" s="245">
        <v>40</v>
      </c>
      <c r="O828" s="243">
        <v>40</v>
      </c>
      <c r="P828" s="243">
        <v>40</v>
      </c>
      <c r="Q828" s="180" t="str">
        <f>IF(PEDIDOS[[#This Row],[Valor do item pago]]=PEDIDOS[[#This Row],[Total Item ]],"PAGO", "")</f>
        <v>PAGO</v>
      </c>
    </row>
    <row r="829" spans="1:17" s="216" customFormat="1" ht="39.950000000000003" customHeight="1" x14ac:dyDescent="0.25">
      <c r="A829" s="231"/>
      <c r="B829" s="240">
        <v>1017</v>
      </c>
      <c r="C829" s="241">
        <v>43649</v>
      </c>
      <c r="D829" s="242" t="s">
        <v>44</v>
      </c>
      <c r="E829" s="240" t="s">
        <v>1524</v>
      </c>
      <c r="F829" s="240" t="s">
        <v>751</v>
      </c>
      <c r="G829" s="240" t="s">
        <v>1525</v>
      </c>
      <c r="H829" s="240" t="s">
        <v>1282</v>
      </c>
      <c r="I829" s="243" t="s">
        <v>1526</v>
      </c>
      <c r="J829" s="243"/>
      <c r="K829" s="243"/>
      <c r="L829" s="240" t="s">
        <v>1</v>
      </c>
      <c r="M829" s="244">
        <v>1</v>
      </c>
      <c r="N829" s="245">
        <v>40</v>
      </c>
      <c r="O829" s="243">
        <v>40</v>
      </c>
      <c r="P829" s="243"/>
      <c r="Q829" s="180" t="str">
        <f>IF(PEDIDOS[[#This Row],[Valor do item pago]]=PEDIDOS[[#This Row],[Total Item ]],"PAGO", "")</f>
        <v/>
      </c>
    </row>
    <row r="830" spans="1:17" s="216" customFormat="1" ht="39.950000000000003" customHeight="1" x14ac:dyDescent="0.25">
      <c r="A830" s="231"/>
      <c r="B830" s="240">
        <v>1016</v>
      </c>
      <c r="C830" s="241">
        <v>43649</v>
      </c>
      <c r="D830" s="242" t="s">
        <v>44</v>
      </c>
      <c r="E830" s="240" t="s">
        <v>374</v>
      </c>
      <c r="F830" s="240" t="s">
        <v>1246</v>
      </c>
      <c r="G830" s="240" t="s">
        <v>1422</v>
      </c>
      <c r="H830" s="240" t="s">
        <v>402</v>
      </c>
      <c r="I830" s="243" t="s">
        <v>658</v>
      </c>
      <c r="J830" s="243"/>
      <c r="K830" s="243"/>
      <c r="L830" s="240" t="s">
        <v>1</v>
      </c>
      <c r="M830" s="244">
        <v>1</v>
      </c>
      <c r="N830" s="245">
        <v>40</v>
      </c>
      <c r="O830" s="243">
        <v>40</v>
      </c>
      <c r="P830" s="243"/>
      <c r="Q830" s="180" t="str">
        <f>IF(PEDIDOS[[#This Row],[Valor do item pago]]=PEDIDOS[[#This Row],[Total Item ]],"PAGO", "")</f>
        <v/>
      </c>
    </row>
    <row r="831" spans="1:17" s="216" customFormat="1" ht="39.950000000000003" customHeight="1" x14ac:dyDescent="0.25">
      <c r="A831" s="231"/>
      <c r="B831" s="240">
        <v>1016</v>
      </c>
      <c r="C831" s="241">
        <v>43649</v>
      </c>
      <c r="D831" s="242" t="s">
        <v>44</v>
      </c>
      <c r="E831" s="240" t="s">
        <v>374</v>
      </c>
      <c r="F831" s="240" t="s">
        <v>1246</v>
      </c>
      <c r="G831" s="240" t="s">
        <v>1422</v>
      </c>
      <c r="H831" s="240" t="s">
        <v>402</v>
      </c>
      <c r="I831" s="243" t="s">
        <v>658</v>
      </c>
      <c r="J831" s="243"/>
      <c r="K831" s="243"/>
      <c r="L831" s="240" t="s">
        <v>0</v>
      </c>
      <c r="M831" s="244">
        <v>1</v>
      </c>
      <c r="N831" s="245">
        <v>40</v>
      </c>
      <c r="O831" s="243">
        <v>40</v>
      </c>
      <c r="P831" s="243"/>
      <c r="Q831" s="180" t="str">
        <f>IF(PEDIDOS[[#This Row],[Valor do item pago]]=PEDIDOS[[#This Row],[Total Item ]],"PAGO", "")</f>
        <v/>
      </c>
    </row>
    <row r="832" spans="1:17" s="216" customFormat="1" ht="39.950000000000003" customHeight="1" x14ac:dyDescent="0.25">
      <c r="A832" s="231"/>
      <c r="B832" s="240">
        <v>1015</v>
      </c>
      <c r="C832" s="241">
        <v>43649</v>
      </c>
      <c r="D832" s="242" t="s">
        <v>44</v>
      </c>
      <c r="E832" s="240" t="s">
        <v>25</v>
      </c>
      <c r="F832" s="240" t="s">
        <v>1222</v>
      </c>
      <c r="G832" s="240" t="s">
        <v>1411</v>
      </c>
      <c r="H832" s="240" t="s">
        <v>406</v>
      </c>
      <c r="I832" s="243" t="s">
        <v>329</v>
      </c>
      <c r="J832" s="243" t="s">
        <v>1175</v>
      </c>
      <c r="K832" s="243"/>
      <c r="L832" s="240" t="s">
        <v>219</v>
      </c>
      <c r="M832" s="244">
        <v>2</v>
      </c>
      <c r="N832" s="245">
        <v>40</v>
      </c>
      <c r="O832" s="243">
        <v>80</v>
      </c>
      <c r="P832" s="243"/>
      <c r="Q832" s="180" t="str">
        <f>IF(PEDIDOS[[#This Row],[Valor do item pago]]=PEDIDOS[[#This Row],[Total Item ]],"PAGO", "")</f>
        <v/>
      </c>
    </row>
    <row r="833" spans="1:17" s="216" customFormat="1" ht="39.950000000000003" customHeight="1" x14ac:dyDescent="0.25">
      <c r="A833" s="231"/>
      <c r="B833" s="240">
        <v>1014</v>
      </c>
      <c r="C833" s="241">
        <v>43649</v>
      </c>
      <c r="D833" s="242" t="s">
        <v>804</v>
      </c>
      <c r="E833" s="240" t="s">
        <v>804</v>
      </c>
      <c r="F833" s="240" t="s">
        <v>803</v>
      </c>
      <c r="G833" s="240">
        <v>0</v>
      </c>
      <c r="H833" s="240">
        <v>0</v>
      </c>
      <c r="I833" s="243"/>
      <c r="J833" s="243"/>
      <c r="K833" s="243"/>
      <c r="L833" s="240" t="s">
        <v>3</v>
      </c>
      <c r="M833" s="244">
        <v>1</v>
      </c>
      <c r="N833" s="245">
        <v>40</v>
      </c>
      <c r="O833" s="243">
        <v>40</v>
      </c>
      <c r="P833" s="243"/>
      <c r="Q833" s="180" t="str">
        <f>IF(PEDIDOS[[#This Row],[Valor do item pago]]=PEDIDOS[[#This Row],[Total Item ]],"PAGO", "")</f>
        <v/>
      </c>
    </row>
    <row r="834" spans="1:17" s="216" customFormat="1" ht="39.950000000000003" customHeight="1" x14ac:dyDescent="0.25">
      <c r="A834" s="231"/>
      <c r="B834" s="240">
        <v>1014</v>
      </c>
      <c r="C834" s="241">
        <v>43649</v>
      </c>
      <c r="D834" s="242" t="s">
        <v>804</v>
      </c>
      <c r="E834" s="240" t="s">
        <v>804</v>
      </c>
      <c r="F834" s="240" t="s">
        <v>803</v>
      </c>
      <c r="G834" s="240">
        <v>0</v>
      </c>
      <c r="H834" s="240">
        <v>0</v>
      </c>
      <c r="I834" s="243"/>
      <c r="J834" s="243"/>
      <c r="K834" s="243"/>
      <c r="L834" s="240" t="s">
        <v>1</v>
      </c>
      <c r="M834" s="244">
        <v>1</v>
      </c>
      <c r="N834" s="245">
        <v>40</v>
      </c>
      <c r="O834" s="243">
        <v>40</v>
      </c>
      <c r="P834" s="243"/>
      <c r="Q834" s="180" t="str">
        <f>IF(PEDIDOS[[#This Row],[Valor do item pago]]=PEDIDOS[[#This Row],[Total Item ]],"PAGO", "")</f>
        <v/>
      </c>
    </row>
    <row r="835" spans="1:17" s="216" customFormat="1" ht="39.950000000000003" customHeight="1" x14ac:dyDescent="0.25">
      <c r="A835" s="231"/>
      <c r="B835" s="240">
        <v>1013</v>
      </c>
      <c r="C835" s="241">
        <v>43649</v>
      </c>
      <c r="D835" s="242" t="s">
        <v>24</v>
      </c>
      <c r="E835" s="240" t="s">
        <v>23</v>
      </c>
      <c r="F835" s="240">
        <v>0</v>
      </c>
      <c r="G835" s="240">
        <v>0</v>
      </c>
      <c r="H835" s="240">
        <v>0</v>
      </c>
      <c r="I835" s="243"/>
      <c r="J835" s="243" t="s">
        <v>1523</v>
      </c>
      <c r="K835" s="243"/>
      <c r="L835" s="240" t="s">
        <v>219</v>
      </c>
      <c r="M835" s="244">
        <v>2</v>
      </c>
      <c r="N835" s="245">
        <v>40</v>
      </c>
      <c r="O835" s="243">
        <v>80</v>
      </c>
      <c r="P835" s="243"/>
      <c r="Q835" s="180" t="str">
        <f>IF(PEDIDOS[[#This Row],[Valor do item pago]]=PEDIDOS[[#This Row],[Total Item ]],"PAGO", "")</f>
        <v/>
      </c>
    </row>
    <row r="836" spans="1:17" s="216" customFormat="1" ht="39.950000000000003" customHeight="1" x14ac:dyDescent="0.25">
      <c r="A836" s="231"/>
      <c r="B836" s="240">
        <v>1012</v>
      </c>
      <c r="C836" s="241">
        <v>43649</v>
      </c>
      <c r="D836" s="242" t="s">
        <v>34</v>
      </c>
      <c r="E836" s="240" t="s">
        <v>1316</v>
      </c>
      <c r="F836" s="240" t="s">
        <v>717</v>
      </c>
      <c r="G836" s="240" t="s">
        <v>1394</v>
      </c>
      <c r="H836" s="240" t="s">
        <v>112</v>
      </c>
      <c r="I836" s="243" t="s">
        <v>720</v>
      </c>
      <c r="J836" s="243"/>
      <c r="K836" s="243"/>
      <c r="L836" s="240" t="s">
        <v>3</v>
      </c>
      <c r="M836" s="244">
        <v>3</v>
      </c>
      <c r="N836" s="245">
        <v>40</v>
      </c>
      <c r="O836" s="243">
        <v>120</v>
      </c>
      <c r="P836" s="243"/>
      <c r="Q836" s="180" t="str">
        <f>IF(PEDIDOS[[#This Row],[Valor do item pago]]=PEDIDOS[[#This Row],[Total Item ]],"PAGO", "")</f>
        <v/>
      </c>
    </row>
    <row r="837" spans="1:17" s="216" customFormat="1" ht="39.950000000000003" customHeight="1" x14ac:dyDescent="0.25">
      <c r="A837" s="231"/>
      <c r="B837" s="240">
        <v>1011</v>
      </c>
      <c r="C837" s="241">
        <v>43649</v>
      </c>
      <c r="D837" s="242" t="s">
        <v>40</v>
      </c>
      <c r="E837" s="240" t="s">
        <v>13</v>
      </c>
      <c r="F837" s="240" t="s">
        <v>1491</v>
      </c>
      <c r="G837" s="240" t="s">
        <v>1492</v>
      </c>
      <c r="H837" s="240" t="s">
        <v>1197</v>
      </c>
      <c r="I837" s="243" t="s">
        <v>1493</v>
      </c>
      <c r="J837" s="243"/>
      <c r="K837" s="243" t="s">
        <v>24</v>
      </c>
      <c r="L837" s="240" t="s">
        <v>3</v>
      </c>
      <c r="M837" s="244">
        <v>1</v>
      </c>
      <c r="N837" s="245">
        <v>40</v>
      </c>
      <c r="O837" s="243">
        <v>40</v>
      </c>
      <c r="P837" s="243"/>
      <c r="Q837" s="180" t="str">
        <f>IF(PEDIDOS[[#This Row],[Valor do item pago]]=PEDIDOS[[#This Row],[Total Item ]],"PAGO", "")</f>
        <v/>
      </c>
    </row>
    <row r="838" spans="1:17" s="216" customFormat="1" ht="39.950000000000003" customHeight="1" x14ac:dyDescent="0.25">
      <c r="A838" s="231"/>
      <c r="B838" s="240">
        <v>1011</v>
      </c>
      <c r="C838" s="241">
        <v>43649</v>
      </c>
      <c r="D838" s="242" t="s">
        <v>40</v>
      </c>
      <c r="E838" s="240" t="s">
        <v>13</v>
      </c>
      <c r="F838" s="240" t="s">
        <v>1491</v>
      </c>
      <c r="G838" s="240" t="s">
        <v>1492</v>
      </c>
      <c r="H838" s="240" t="s">
        <v>1197</v>
      </c>
      <c r="I838" s="243" t="s">
        <v>1493</v>
      </c>
      <c r="J838" s="243"/>
      <c r="K838" s="243" t="s">
        <v>24</v>
      </c>
      <c r="L838" s="240" t="s">
        <v>219</v>
      </c>
      <c r="M838" s="244">
        <v>1</v>
      </c>
      <c r="N838" s="245">
        <v>40</v>
      </c>
      <c r="O838" s="243">
        <v>40</v>
      </c>
      <c r="P838" s="243"/>
      <c r="Q838" s="180" t="str">
        <f>IF(PEDIDOS[[#This Row],[Valor do item pago]]=PEDIDOS[[#This Row],[Total Item ]],"PAGO", "")</f>
        <v/>
      </c>
    </row>
    <row r="839" spans="1:17" s="216" customFormat="1" ht="39.950000000000003" customHeight="1" x14ac:dyDescent="0.25">
      <c r="A839" s="231"/>
      <c r="B839" s="240">
        <v>1010</v>
      </c>
      <c r="C839" s="241">
        <v>43649</v>
      </c>
      <c r="D839" s="242" t="s">
        <v>40</v>
      </c>
      <c r="E839" s="240" t="s">
        <v>1255</v>
      </c>
      <c r="F839" s="240" t="s">
        <v>1210</v>
      </c>
      <c r="G839" s="240">
        <v>0</v>
      </c>
      <c r="H839" s="240">
        <v>0</v>
      </c>
      <c r="I839" s="243"/>
      <c r="J839" s="243"/>
      <c r="K839" s="243" t="s">
        <v>24</v>
      </c>
      <c r="L839" s="240" t="s">
        <v>3</v>
      </c>
      <c r="M839" s="244">
        <v>2</v>
      </c>
      <c r="N839" s="245">
        <v>40</v>
      </c>
      <c r="O839" s="243">
        <v>80</v>
      </c>
      <c r="P839" s="243"/>
      <c r="Q839" s="180" t="str">
        <f>IF(PEDIDOS[[#This Row],[Valor do item pago]]=PEDIDOS[[#This Row],[Total Item ]],"PAGO", "")</f>
        <v/>
      </c>
    </row>
    <row r="840" spans="1:17" s="216" customFormat="1" ht="39.950000000000003" customHeight="1" x14ac:dyDescent="0.25">
      <c r="A840" s="231"/>
      <c r="B840" s="240">
        <v>1009</v>
      </c>
      <c r="C840" s="241">
        <v>43649</v>
      </c>
      <c r="D840" s="242" t="s">
        <v>40</v>
      </c>
      <c r="E840" s="240" t="s">
        <v>203</v>
      </c>
      <c r="F840" s="240" t="s">
        <v>1238</v>
      </c>
      <c r="G840" s="240" t="s">
        <v>41</v>
      </c>
      <c r="H840" s="240" t="s">
        <v>441</v>
      </c>
      <c r="I840" s="243" t="s">
        <v>442</v>
      </c>
      <c r="J840" s="243"/>
      <c r="K840" s="243" t="s">
        <v>648</v>
      </c>
      <c r="L840" s="240" t="s">
        <v>1</v>
      </c>
      <c r="M840" s="244">
        <v>1</v>
      </c>
      <c r="N840" s="245">
        <v>40</v>
      </c>
      <c r="O840" s="243">
        <v>40</v>
      </c>
      <c r="P840" s="243"/>
      <c r="Q840" s="180" t="str">
        <f>IF(PEDIDOS[[#This Row],[Valor do item pago]]=PEDIDOS[[#This Row],[Total Item ]],"PAGO", "")</f>
        <v/>
      </c>
    </row>
    <row r="841" spans="1:17" s="216" customFormat="1" ht="39.950000000000003" customHeight="1" x14ac:dyDescent="0.25">
      <c r="A841" s="231"/>
      <c r="B841" s="240">
        <v>1009</v>
      </c>
      <c r="C841" s="241">
        <v>43649</v>
      </c>
      <c r="D841" s="242" t="s">
        <v>40</v>
      </c>
      <c r="E841" s="240" t="s">
        <v>203</v>
      </c>
      <c r="F841" s="240" t="s">
        <v>1238</v>
      </c>
      <c r="G841" s="240" t="s">
        <v>41</v>
      </c>
      <c r="H841" s="240" t="s">
        <v>441</v>
      </c>
      <c r="I841" s="243" t="s">
        <v>442</v>
      </c>
      <c r="J841" s="243"/>
      <c r="K841" s="243" t="s">
        <v>648</v>
      </c>
      <c r="L841" s="240" t="s">
        <v>0</v>
      </c>
      <c r="M841" s="244">
        <v>1</v>
      </c>
      <c r="N841" s="245">
        <v>40</v>
      </c>
      <c r="O841" s="243">
        <v>40</v>
      </c>
      <c r="P841" s="243"/>
      <c r="Q841" s="180" t="str">
        <f>IF(PEDIDOS[[#This Row],[Valor do item pago]]=PEDIDOS[[#This Row],[Total Item ]],"PAGO", "")</f>
        <v/>
      </c>
    </row>
    <row r="842" spans="1:17" s="216" customFormat="1" ht="39.950000000000003" customHeight="1" x14ac:dyDescent="0.25">
      <c r="A842" s="231"/>
      <c r="B842" s="240">
        <v>1008</v>
      </c>
      <c r="C842" s="241">
        <v>43649</v>
      </c>
      <c r="D842" s="242" t="s">
        <v>49</v>
      </c>
      <c r="E842" s="240" t="s">
        <v>611</v>
      </c>
      <c r="F842" s="240" t="s">
        <v>1225</v>
      </c>
      <c r="G842" s="240" t="s">
        <v>1429</v>
      </c>
      <c r="H842" s="240" t="s">
        <v>390</v>
      </c>
      <c r="I842" s="243" t="s">
        <v>253</v>
      </c>
      <c r="J842" s="243"/>
      <c r="K842" s="243"/>
      <c r="L842" s="240" t="s">
        <v>3</v>
      </c>
      <c r="M842" s="244">
        <v>1</v>
      </c>
      <c r="N842" s="245">
        <v>40</v>
      </c>
      <c r="O842" s="243">
        <v>40</v>
      </c>
      <c r="P842" s="243">
        <v>40</v>
      </c>
      <c r="Q842" s="180" t="str">
        <f>IF(PEDIDOS[[#This Row],[Valor do item pago]]=PEDIDOS[[#This Row],[Total Item ]],"PAGO", "")</f>
        <v>PAGO</v>
      </c>
    </row>
    <row r="843" spans="1:17" s="216" customFormat="1" ht="39.950000000000003" customHeight="1" x14ac:dyDescent="0.25">
      <c r="A843" s="231"/>
      <c r="B843" s="240">
        <v>1007</v>
      </c>
      <c r="C843" s="241">
        <v>43649</v>
      </c>
      <c r="D843" s="242" t="s">
        <v>49</v>
      </c>
      <c r="E843" s="240" t="s">
        <v>614</v>
      </c>
      <c r="F843" s="240" t="s">
        <v>1220</v>
      </c>
      <c r="G843" s="240" t="s">
        <v>1363</v>
      </c>
      <c r="H843" s="240" t="s">
        <v>393</v>
      </c>
      <c r="I843" s="243" t="s">
        <v>423</v>
      </c>
      <c r="J843" s="243"/>
      <c r="K843" s="243"/>
      <c r="L843" s="240" t="s">
        <v>219</v>
      </c>
      <c r="M843" s="244">
        <v>1</v>
      </c>
      <c r="N843" s="245">
        <v>40</v>
      </c>
      <c r="O843" s="243">
        <v>40</v>
      </c>
      <c r="P843" s="243">
        <v>40</v>
      </c>
      <c r="Q843" s="180" t="str">
        <f>IF(PEDIDOS[[#This Row],[Valor do item pago]]=PEDIDOS[[#This Row],[Total Item ]],"PAGO", "")</f>
        <v>PAGO</v>
      </c>
    </row>
    <row r="844" spans="1:17" s="216" customFormat="1" ht="39.950000000000003" customHeight="1" x14ac:dyDescent="0.25">
      <c r="A844" s="231"/>
      <c r="B844" s="240">
        <v>1006</v>
      </c>
      <c r="C844" s="241">
        <v>43649</v>
      </c>
      <c r="D844" s="242" t="s">
        <v>49</v>
      </c>
      <c r="E844" s="240" t="s">
        <v>615</v>
      </c>
      <c r="F844" s="240" t="s">
        <v>1242</v>
      </c>
      <c r="G844" s="240" t="s">
        <v>1392</v>
      </c>
      <c r="H844" s="240" t="s">
        <v>1205</v>
      </c>
      <c r="I844" s="243" t="s">
        <v>735</v>
      </c>
      <c r="J844" s="243"/>
      <c r="K844" s="243"/>
      <c r="L844" s="240" t="s">
        <v>3</v>
      </c>
      <c r="M844" s="244">
        <v>1</v>
      </c>
      <c r="N844" s="245">
        <v>40</v>
      </c>
      <c r="O844" s="243">
        <v>40</v>
      </c>
      <c r="P844" s="243">
        <v>40</v>
      </c>
      <c r="Q844" s="180" t="str">
        <f>IF(PEDIDOS[[#This Row],[Valor do item pago]]=PEDIDOS[[#This Row],[Total Item ]],"PAGO", "")</f>
        <v>PAGO</v>
      </c>
    </row>
    <row r="845" spans="1:17" s="216" customFormat="1" ht="39.950000000000003" customHeight="1" x14ac:dyDescent="0.25">
      <c r="A845" s="231"/>
      <c r="B845" s="240">
        <v>1006</v>
      </c>
      <c r="C845" s="241">
        <v>43649</v>
      </c>
      <c r="D845" s="242" t="s">
        <v>49</v>
      </c>
      <c r="E845" s="240" t="s">
        <v>615</v>
      </c>
      <c r="F845" s="240" t="s">
        <v>1242</v>
      </c>
      <c r="G845" s="240" t="s">
        <v>1392</v>
      </c>
      <c r="H845" s="240" t="s">
        <v>1205</v>
      </c>
      <c r="I845" s="243" t="s">
        <v>735</v>
      </c>
      <c r="J845" s="243"/>
      <c r="K845" s="243"/>
      <c r="L845" s="240" t="s">
        <v>1</v>
      </c>
      <c r="M845" s="244">
        <v>1</v>
      </c>
      <c r="N845" s="245">
        <v>40</v>
      </c>
      <c r="O845" s="243">
        <v>40</v>
      </c>
      <c r="P845" s="243">
        <v>40</v>
      </c>
      <c r="Q845" s="180" t="str">
        <f>IF(PEDIDOS[[#This Row],[Valor do item pago]]=PEDIDOS[[#This Row],[Total Item ]],"PAGO", "")</f>
        <v>PAGO</v>
      </c>
    </row>
    <row r="846" spans="1:17" s="216" customFormat="1" ht="39.950000000000003" customHeight="1" x14ac:dyDescent="0.25">
      <c r="A846" s="231"/>
      <c r="B846" s="240">
        <v>1005</v>
      </c>
      <c r="C846" s="241">
        <v>43649</v>
      </c>
      <c r="D846" s="242" t="s">
        <v>40</v>
      </c>
      <c r="E846" s="240" t="s">
        <v>630</v>
      </c>
      <c r="F846" s="240" t="s">
        <v>1245</v>
      </c>
      <c r="G846" s="240" t="s">
        <v>1392</v>
      </c>
      <c r="H846" s="240" t="s">
        <v>1205</v>
      </c>
      <c r="I846" s="243" t="s">
        <v>735</v>
      </c>
      <c r="J846" s="243"/>
      <c r="K846" s="243"/>
      <c r="L846" s="240" t="s">
        <v>1</v>
      </c>
      <c r="M846" s="244">
        <v>1</v>
      </c>
      <c r="N846" s="245">
        <v>40</v>
      </c>
      <c r="O846" s="243">
        <v>40</v>
      </c>
      <c r="P846" s="243">
        <v>40</v>
      </c>
      <c r="Q846" s="180" t="str">
        <f>IF(PEDIDOS[[#This Row],[Valor do item pago]]=PEDIDOS[[#This Row],[Total Item ]],"PAGO", "")</f>
        <v>PAGO</v>
      </c>
    </row>
    <row r="847" spans="1:17" s="216" customFormat="1" ht="39.950000000000003" customHeight="1" x14ac:dyDescent="0.25">
      <c r="A847" s="231"/>
      <c r="B847" s="240">
        <v>1005</v>
      </c>
      <c r="C847" s="241">
        <v>43649</v>
      </c>
      <c r="D847" s="242" t="s">
        <v>40</v>
      </c>
      <c r="E847" s="240" t="s">
        <v>630</v>
      </c>
      <c r="F847" s="240" t="s">
        <v>1245</v>
      </c>
      <c r="G847" s="240" t="s">
        <v>1392</v>
      </c>
      <c r="H847" s="240" t="s">
        <v>1205</v>
      </c>
      <c r="I847" s="243" t="s">
        <v>735</v>
      </c>
      <c r="J847" s="243"/>
      <c r="K847" s="243"/>
      <c r="L847" s="240" t="s">
        <v>0</v>
      </c>
      <c r="M847" s="244">
        <v>1</v>
      </c>
      <c r="N847" s="245">
        <v>40</v>
      </c>
      <c r="O847" s="243">
        <v>40</v>
      </c>
      <c r="P847" s="243">
        <v>40</v>
      </c>
      <c r="Q847" s="180" t="str">
        <f>IF(PEDIDOS[[#This Row],[Valor do item pago]]=PEDIDOS[[#This Row],[Total Item ]],"PAGO", "")</f>
        <v>PAGO</v>
      </c>
    </row>
    <row r="848" spans="1:17" s="216" customFormat="1" ht="39.950000000000003" customHeight="1" x14ac:dyDescent="0.25">
      <c r="A848" s="231"/>
      <c r="B848" s="240">
        <v>1004</v>
      </c>
      <c r="C848" s="241">
        <v>43649</v>
      </c>
      <c r="D848" s="242" t="s">
        <v>1134</v>
      </c>
      <c r="E848" s="240" t="s">
        <v>1507</v>
      </c>
      <c r="F848" s="240" t="s">
        <v>1508</v>
      </c>
      <c r="G848" s="240" t="s">
        <v>1509</v>
      </c>
      <c r="H848" s="240" t="s">
        <v>112</v>
      </c>
      <c r="I848" s="243" t="s">
        <v>435</v>
      </c>
      <c r="J848" s="243" t="s">
        <v>1522</v>
      </c>
      <c r="K848" s="243"/>
      <c r="L848" s="240" t="s">
        <v>1</v>
      </c>
      <c r="M848" s="244">
        <v>1</v>
      </c>
      <c r="N848" s="245">
        <v>40</v>
      </c>
      <c r="O848" s="243">
        <v>40</v>
      </c>
      <c r="P848" s="243"/>
      <c r="Q848" s="180" t="str">
        <f>IF(PEDIDOS[[#This Row],[Valor do item pago]]=PEDIDOS[[#This Row],[Total Item ]],"PAGO", "")</f>
        <v/>
      </c>
    </row>
    <row r="849" spans="1:17" s="216" customFormat="1" ht="39.950000000000003" customHeight="1" x14ac:dyDescent="0.25">
      <c r="A849" s="231"/>
      <c r="B849" s="240">
        <v>1003</v>
      </c>
      <c r="C849" s="241">
        <v>43649</v>
      </c>
      <c r="D849" s="242" t="s">
        <v>411</v>
      </c>
      <c r="E849" s="240" t="s">
        <v>1451</v>
      </c>
      <c r="F849" s="240" t="s">
        <v>627</v>
      </c>
      <c r="G849" s="240" t="s">
        <v>1190</v>
      </c>
      <c r="H849" s="240" t="s">
        <v>1450</v>
      </c>
      <c r="I849" s="243" t="s">
        <v>1182</v>
      </c>
      <c r="J849" s="243"/>
      <c r="K849" s="243"/>
      <c r="L849" s="240" t="s">
        <v>219</v>
      </c>
      <c r="M849" s="244">
        <v>1</v>
      </c>
      <c r="N849" s="245">
        <v>40</v>
      </c>
      <c r="O849" s="243">
        <v>40</v>
      </c>
      <c r="P849" s="243"/>
      <c r="Q849" s="180" t="str">
        <f>IF(PEDIDOS[[#This Row],[Valor do item pago]]=PEDIDOS[[#This Row],[Total Item ]],"PAGO", "")</f>
        <v/>
      </c>
    </row>
    <row r="850" spans="1:17" s="216" customFormat="1" ht="39.950000000000003" customHeight="1" x14ac:dyDescent="0.25">
      <c r="A850" s="231"/>
      <c r="B850" s="240">
        <v>1002</v>
      </c>
      <c r="C850" s="241">
        <v>43649</v>
      </c>
      <c r="D850" s="242" t="s">
        <v>411</v>
      </c>
      <c r="E850" s="240" t="s">
        <v>25</v>
      </c>
      <c r="F850" s="240" t="s">
        <v>1222</v>
      </c>
      <c r="G850" s="240" t="s">
        <v>1411</v>
      </c>
      <c r="H850" s="240" t="s">
        <v>406</v>
      </c>
      <c r="I850" s="243" t="s">
        <v>329</v>
      </c>
      <c r="J850" s="243" t="s">
        <v>1460</v>
      </c>
      <c r="K850" s="243"/>
      <c r="L850" s="240" t="s">
        <v>219</v>
      </c>
      <c r="M850" s="244">
        <v>5</v>
      </c>
      <c r="N850" s="245">
        <v>40</v>
      </c>
      <c r="O850" s="243">
        <v>200</v>
      </c>
      <c r="P850" s="243"/>
      <c r="Q850" s="180" t="str">
        <f>IF(PEDIDOS[[#This Row],[Valor do item pago]]=PEDIDOS[[#This Row],[Total Item ]],"PAGO", "")</f>
        <v/>
      </c>
    </row>
    <row r="851" spans="1:17" s="216" customFormat="1" ht="39.950000000000003" customHeight="1" x14ac:dyDescent="0.25">
      <c r="A851" s="231"/>
      <c r="B851" s="240">
        <v>1001</v>
      </c>
      <c r="C851" s="241">
        <v>43649</v>
      </c>
      <c r="D851" s="242" t="s">
        <v>411</v>
      </c>
      <c r="E851" s="240" t="s">
        <v>1496</v>
      </c>
      <c r="F851" s="240" t="s">
        <v>1497</v>
      </c>
      <c r="G851" s="240" t="s">
        <v>1505</v>
      </c>
      <c r="H851" s="240" t="s">
        <v>1450</v>
      </c>
      <c r="I851" s="243" t="s">
        <v>1504</v>
      </c>
      <c r="J851" s="243"/>
      <c r="K851" s="243"/>
      <c r="L851" s="240" t="s">
        <v>219</v>
      </c>
      <c r="M851" s="244">
        <v>1</v>
      </c>
      <c r="N851" s="245">
        <v>40</v>
      </c>
      <c r="O851" s="243">
        <v>40</v>
      </c>
      <c r="P851" s="243"/>
      <c r="Q851" s="180" t="str">
        <f>IF(PEDIDOS[[#This Row],[Valor do item pago]]=PEDIDOS[[#This Row],[Total Item ]],"PAGO", "")</f>
        <v/>
      </c>
    </row>
    <row r="852" spans="1:17" s="216" customFormat="1" ht="39.950000000000003" customHeight="1" x14ac:dyDescent="0.25">
      <c r="A852" s="231"/>
      <c r="B852" s="240">
        <v>1000</v>
      </c>
      <c r="C852" s="241">
        <v>43649</v>
      </c>
      <c r="D852" s="242" t="s">
        <v>411</v>
      </c>
      <c r="E852" s="240" t="s">
        <v>1461</v>
      </c>
      <c r="F852" s="240" t="s">
        <v>1180</v>
      </c>
      <c r="G852" s="240" t="s">
        <v>1276</v>
      </c>
      <c r="H852" s="240" t="s">
        <v>398</v>
      </c>
      <c r="I852" s="243" t="s">
        <v>1181</v>
      </c>
      <c r="J852" s="243"/>
      <c r="K852" s="243"/>
      <c r="L852" s="240" t="s">
        <v>1</v>
      </c>
      <c r="M852" s="244">
        <v>1</v>
      </c>
      <c r="N852" s="245">
        <v>40</v>
      </c>
      <c r="O852" s="243">
        <v>40</v>
      </c>
      <c r="P852" s="243"/>
      <c r="Q852" s="180" t="str">
        <f>IF(PEDIDOS[[#This Row],[Valor do item pago]]=PEDIDOS[[#This Row],[Total Item ]],"PAGO", "")</f>
        <v/>
      </c>
    </row>
    <row r="853" spans="1:17" s="216" customFormat="1" ht="39.950000000000003" customHeight="1" x14ac:dyDescent="0.25">
      <c r="A853" s="231"/>
      <c r="B853" s="240">
        <v>999</v>
      </c>
      <c r="C853" s="241">
        <v>43649</v>
      </c>
      <c r="D853" s="242" t="s">
        <v>411</v>
      </c>
      <c r="E853" s="240" t="s">
        <v>35</v>
      </c>
      <c r="F853" s="240">
        <v>0</v>
      </c>
      <c r="G853" s="240" t="s">
        <v>1386</v>
      </c>
      <c r="H853" s="240">
        <v>0</v>
      </c>
      <c r="I853" s="243"/>
      <c r="J853" s="243"/>
      <c r="K853" s="243" t="s">
        <v>40</v>
      </c>
      <c r="L853" s="240" t="s">
        <v>219</v>
      </c>
      <c r="M853" s="244">
        <v>1</v>
      </c>
      <c r="N853" s="245">
        <v>40</v>
      </c>
      <c r="O853" s="243">
        <v>40</v>
      </c>
      <c r="P853" s="243"/>
      <c r="Q853" s="180" t="str">
        <f>IF(PEDIDOS[[#This Row],[Valor do item pago]]=PEDIDOS[[#This Row],[Total Item ]],"PAGO", "")</f>
        <v/>
      </c>
    </row>
    <row r="854" spans="1:17" s="216" customFormat="1" ht="39.950000000000003" customHeight="1" x14ac:dyDescent="0.25">
      <c r="A854" s="231"/>
      <c r="B854" s="240">
        <v>998</v>
      </c>
      <c r="C854" s="241">
        <v>43649</v>
      </c>
      <c r="D854" s="242" t="s">
        <v>45</v>
      </c>
      <c r="E854" s="240" t="s">
        <v>478</v>
      </c>
      <c r="F854" s="240" t="s">
        <v>1229</v>
      </c>
      <c r="G854" s="240">
        <v>0</v>
      </c>
      <c r="H854" s="240">
        <v>0</v>
      </c>
      <c r="I854" s="243"/>
      <c r="J854" s="243"/>
      <c r="K854" s="243" t="s">
        <v>40</v>
      </c>
      <c r="L854" s="240" t="s">
        <v>1</v>
      </c>
      <c r="M854" s="244">
        <v>1</v>
      </c>
      <c r="N854" s="245">
        <v>40</v>
      </c>
      <c r="O854" s="243">
        <v>40</v>
      </c>
      <c r="P854" s="243"/>
      <c r="Q854" s="180" t="str">
        <f>IF(PEDIDOS[[#This Row],[Valor do item pago]]=PEDIDOS[[#This Row],[Total Item ]],"PAGO", "")</f>
        <v/>
      </c>
    </row>
    <row r="855" spans="1:17" s="216" customFormat="1" ht="39.950000000000003" customHeight="1" x14ac:dyDescent="0.25">
      <c r="A855" s="231"/>
      <c r="B855" s="240">
        <v>997</v>
      </c>
      <c r="C855" s="241">
        <v>43649</v>
      </c>
      <c r="D855" s="242" t="s">
        <v>45</v>
      </c>
      <c r="E855" s="240" t="s">
        <v>1269</v>
      </c>
      <c r="F855" s="240">
        <v>0</v>
      </c>
      <c r="G855" s="240">
        <v>0</v>
      </c>
      <c r="H855" s="240">
        <v>0</v>
      </c>
      <c r="I855" s="243"/>
      <c r="J855" s="243"/>
      <c r="K855" s="243"/>
      <c r="L855" s="240" t="s">
        <v>219</v>
      </c>
      <c r="M855" s="244">
        <v>1</v>
      </c>
      <c r="N855" s="245">
        <v>40</v>
      </c>
      <c r="O855" s="243">
        <v>40</v>
      </c>
      <c r="P855" s="243"/>
      <c r="Q855" s="180" t="str">
        <f>IF(PEDIDOS[[#This Row],[Valor do item pago]]=PEDIDOS[[#This Row],[Total Item ]],"PAGO", "")</f>
        <v/>
      </c>
    </row>
    <row r="856" spans="1:17" s="216" customFormat="1" ht="39.950000000000003" customHeight="1" x14ac:dyDescent="0.25">
      <c r="A856" s="231"/>
      <c r="B856" s="240">
        <v>996</v>
      </c>
      <c r="C856" s="241">
        <v>43649</v>
      </c>
      <c r="D856" s="242" t="s">
        <v>966</v>
      </c>
      <c r="E856" s="240" t="s">
        <v>966</v>
      </c>
      <c r="F856" s="240" t="s">
        <v>1073</v>
      </c>
      <c r="G856" s="240">
        <v>0</v>
      </c>
      <c r="H856" s="240" t="s">
        <v>40</v>
      </c>
      <c r="I856" s="243"/>
      <c r="J856" s="243"/>
      <c r="K856" s="243" t="s">
        <v>24</v>
      </c>
      <c r="L856" s="240" t="s">
        <v>3</v>
      </c>
      <c r="M856" s="244">
        <v>2</v>
      </c>
      <c r="N856" s="245">
        <v>40</v>
      </c>
      <c r="O856" s="243">
        <v>80</v>
      </c>
      <c r="P856" s="243"/>
      <c r="Q856" s="180" t="str">
        <f>IF(PEDIDOS[[#This Row],[Valor do item pago]]=PEDIDOS[[#This Row],[Total Item ]],"PAGO", "")</f>
        <v/>
      </c>
    </row>
    <row r="857" spans="1:17" s="216" customFormat="1" ht="39.950000000000003" customHeight="1" x14ac:dyDescent="0.25">
      <c r="A857" s="231"/>
      <c r="B857" s="240">
        <v>996</v>
      </c>
      <c r="C857" s="241">
        <v>43649</v>
      </c>
      <c r="D857" s="242" t="s">
        <v>966</v>
      </c>
      <c r="E857" s="240" t="s">
        <v>966</v>
      </c>
      <c r="F857" s="240" t="s">
        <v>1073</v>
      </c>
      <c r="G857" s="240">
        <v>0</v>
      </c>
      <c r="H857" s="240" t="s">
        <v>40</v>
      </c>
      <c r="I857" s="243"/>
      <c r="J857" s="243"/>
      <c r="K857" s="243" t="s">
        <v>24</v>
      </c>
      <c r="L857" s="240" t="s">
        <v>219</v>
      </c>
      <c r="M857" s="244">
        <v>1</v>
      </c>
      <c r="N857" s="245">
        <v>40</v>
      </c>
      <c r="O857" s="243">
        <v>40</v>
      </c>
      <c r="P857" s="243"/>
      <c r="Q857" s="180" t="str">
        <f>IF(PEDIDOS[[#This Row],[Valor do item pago]]=PEDIDOS[[#This Row],[Total Item ]],"PAGO", "")</f>
        <v/>
      </c>
    </row>
    <row r="858" spans="1:17" s="216" customFormat="1" ht="39.950000000000003" customHeight="1" x14ac:dyDescent="0.25">
      <c r="A858" s="231"/>
      <c r="B858" s="240">
        <v>996</v>
      </c>
      <c r="C858" s="241">
        <v>43649</v>
      </c>
      <c r="D858" s="242" t="s">
        <v>966</v>
      </c>
      <c r="E858" s="240" t="s">
        <v>966</v>
      </c>
      <c r="F858" s="240" t="s">
        <v>1073</v>
      </c>
      <c r="G858" s="240">
        <v>0</v>
      </c>
      <c r="H858" s="240" t="s">
        <v>40</v>
      </c>
      <c r="I858" s="243"/>
      <c r="J858" s="243"/>
      <c r="K858" s="243" t="s">
        <v>24</v>
      </c>
      <c r="L858" s="240" t="s">
        <v>1</v>
      </c>
      <c r="M858" s="244">
        <v>2</v>
      </c>
      <c r="N858" s="245">
        <v>40</v>
      </c>
      <c r="O858" s="243">
        <v>80</v>
      </c>
      <c r="P858" s="243"/>
      <c r="Q858" s="180" t="str">
        <f>IF(PEDIDOS[[#This Row],[Valor do item pago]]=PEDIDOS[[#This Row],[Total Item ]],"PAGO", "")</f>
        <v/>
      </c>
    </row>
    <row r="859" spans="1:17" s="216" customFormat="1" ht="39.950000000000003" customHeight="1" x14ac:dyDescent="0.25">
      <c r="A859" s="231"/>
      <c r="B859" s="240">
        <v>996</v>
      </c>
      <c r="C859" s="241">
        <v>43649</v>
      </c>
      <c r="D859" s="242" t="s">
        <v>966</v>
      </c>
      <c r="E859" s="240" t="s">
        <v>966</v>
      </c>
      <c r="F859" s="240" t="s">
        <v>1073</v>
      </c>
      <c r="G859" s="240">
        <v>0</v>
      </c>
      <c r="H859" s="240" t="s">
        <v>40</v>
      </c>
      <c r="I859" s="243"/>
      <c r="J859" s="243"/>
      <c r="K859" s="243" t="s">
        <v>24</v>
      </c>
      <c r="L859" s="240" t="s">
        <v>0</v>
      </c>
      <c r="M859" s="244">
        <v>1</v>
      </c>
      <c r="N859" s="245">
        <v>40</v>
      </c>
      <c r="O859" s="243">
        <v>40</v>
      </c>
      <c r="P859" s="243"/>
      <c r="Q859" s="180" t="str">
        <f>IF(PEDIDOS[[#This Row],[Valor do item pago]]=PEDIDOS[[#This Row],[Total Item ]],"PAGO", "")</f>
        <v/>
      </c>
    </row>
    <row r="860" spans="1:17" s="216" customFormat="1" ht="39.950000000000003" customHeight="1" x14ac:dyDescent="0.25">
      <c r="A860" s="231"/>
      <c r="B860" s="240">
        <v>995</v>
      </c>
      <c r="C860" s="241">
        <v>43649</v>
      </c>
      <c r="D860" s="242" t="s">
        <v>473</v>
      </c>
      <c r="E860" s="240" t="s">
        <v>1192</v>
      </c>
      <c r="F860" s="240" t="s">
        <v>1247</v>
      </c>
      <c r="G860" s="240">
        <v>0</v>
      </c>
      <c r="H860" s="240">
        <v>0</v>
      </c>
      <c r="I860" s="243"/>
      <c r="J860" s="243"/>
      <c r="K860" s="243"/>
      <c r="L860" s="240" t="s">
        <v>1</v>
      </c>
      <c r="M860" s="244">
        <v>1</v>
      </c>
      <c r="N860" s="245">
        <v>40</v>
      </c>
      <c r="O860" s="243">
        <v>40</v>
      </c>
      <c r="P860" s="243"/>
      <c r="Q860" s="180" t="str">
        <f>IF(PEDIDOS[[#This Row],[Valor do item pago]]=PEDIDOS[[#This Row],[Total Item ]],"PAGO", "")</f>
        <v/>
      </c>
    </row>
    <row r="861" spans="1:17" s="216" customFormat="1" ht="39.950000000000003" customHeight="1" x14ac:dyDescent="0.25">
      <c r="A861" s="231"/>
      <c r="B861" s="240">
        <v>994</v>
      </c>
      <c r="C861" s="241">
        <v>43649</v>
      </c>
      <c r="D861" s="242" t="s">
        <v>916</v>
      </c>
      <c r="E861" s="240" t="s">
        <v>732</v>
      </c>
      <c r="F861" s="240" t="s">
        <v>733</v>
      </c>
      <c r="G861" s="240">
        <v>0</v>
      </c>
      <c r="H861" s="240" t="s">
        <v>40</v>
      </c>
      <c r="I861" s="243"/>
      <c r="J861" s="243"/>
      <c r="K861" s="243"/>
      <c r="L861" s="240" t="s">
        <v>1</v>
      </c>
      <c r="M861" s="244">
        <v>1</v>
      </c>
      <c r="N861" s="245">
        <v>40</v>
      </c>
      <c r="O861" s="243">
        <v>40</v>
      </c>
      <c r="P861" s="243"/>
      <c r="Q861" s="180" t="str">
        <f>IF(PEDIDOS[[#This Row],[Valor do item pago]]=PEDIDOS[[#This Row],[Total Item ]],"PAGO", "")</f>
        <v/>
      </c>
    </row>
    <row r="862" spans="1:17" s="216" customFormat="1" ht="39.950000000000003" customHeight="1" x14ac:dyDescent="0.25">
      <c r="A862" s="231"/>
      <c r="B862" s="240">
        <v>993</v>
      </c>
      <c r="C862" s="241">
        <v>43615</v>
      </c>
      <c r="D862" s="242" t="s">
        <v>477</v>
      </c>
      <c r="E862" s="240" t="s">
        <v>1518</v>
      </c>
      <c r="F862" s="240" t="s">
        <v>1519</v>
      </c>
      <c r="G862" s="240" t="s">
        <v>1520</v>
      </c>
      <c r="H862" s="240" t="s">
        <v>406</v>
      </c>
      <c r="I862" s="243" t="s">
        <v>1521</v>
      </c>
      <c r="J862" s="243"/>
      <c r="K862" s="243"/>
      <c r="L862" s="240" t="s">
        <v>219</v>
      </c>
      <c r="M862" s="244">
        <v>3</v>
      </c>
      <c r="N862" s="245">
        <v>40</v>
      </c>
      <c r="O862" s="243">
        <v>120</v>
      </c>
      <c r="P862" s="243">
        <v>120</v>
      </c>
      <c r="Q862" s="180" t="str">
        <f>IF(PEDIDOS[[#This Row],[Valor do item pago]]=PEDIDOS[[#This Row],[Total Item ]],"PAGO", "")</f>
        <v>PAGO</v>
      </c>
    </row>
    <row r="863" spans="1:17" s="216" customFormat="1" ht="39.950000000000003" customHeight="1" x14ac:dyDescent="0.25">
      <c r="A863" s="231"/>
      <c r="B863" s="240">
        <v>992</v>
      </c>
      <c r="C863" s="241">
        <v>43615</v>
      </c>
      <c r="D863" s="242" t="s">
        <v>477</v>
      </c>
      <c r="E863" s="240" t="s">
        <v>1517</v>
      </c>
      <c r="F863" s="240">
        <v>0</v>
      </c>
      <c r="G863" s="240">
        <v>0</v>
      </c>
      <c r="H863" s="240">
        <v>0</v>
      </c>
      <c r="I863" s="243"/>
      <c r="J863" s="243"/>
      <c r="K863" s="243" t="s">
        <v>477</v>
      </c>
      <c r="L863" s="240" t="s">
        <v>1</v>
      </c>
      <c r="M863" s="244">
        <v>1</v>
      </c>
      <c r="N863" s="245">
        <v>40</v>
      </c>
      <c r="O863" s="243">
        <v>40</v>
      </c>
      <c r="P863" s="243"/>
      <c r="Q863" s="180" t="str">
        <f>IF(PEDIDOS[[#This Row],[Valor do item pago]]=PEDIDOS[[#This Row],[Total Item ]],"PAGO", "")</f>
        <v/>
      </c>
    </row>
    <row r="864" spans="1:17" s="216" customFormat="1" ht="39.950000000000003" customHeight="1" x14ac:dyDescent="0.25">
      <c r="A864" s="231"/>
      <c r="B864" s="240">
        <v>991</v>
      </c>
      <c r="C864" s="241">
        <v>43615</v>
      </c>
      <c r="D864" s="242" t="s">
        <v>477</v>
      </c>
      <c r="E864" s="240" t="s">
        <v>1469</v>
      </c>
      <c r="F864" s="240" t="s">
        <v>1474</v>
      </c>
      <c r="G864" s="240" t="s">
        <v>1479</v>
      </c>
      <c r="H864" s="240" t="s">
        <v>441</v>
      </c>
      <c r="I864" s="243" t="s">
        <v>884</v>
      </c>
      <c r="J864" s="243" t="s">
        <v>1516</v>
      </c>
      <c r="K864" s="243" t="s">
        <v>477</v>
      </c>
      <c r="L864" s="240" t="s">
        <v>219</v>
      </c>
      <c r="M864" s="244">
        <v>1</v>
      </c>
      <c r="N864" s="245">
        <v>40</v>
      </c>
      <c r="O864" s="243">
        <v>40</v>
      </c>
      <c r="P864" s="243"/>
      <c r="Q864" s="180" t="str">
        <f>IF(PEDIDOS[[#This Row],[Valor do item pago]]=PEDIDOS[[#This Row],[Total Item ]],"PAGO", "")</f>
        <v/>
      </c>
    </row>
    <row r="865" spans="1:17" s="216" customFormat="1" ht="39.950000000000003" customHeight="1" x14ac:dyDescent="0.25">
      <c r="A865" s="231"/>
      <c r="B865" s="240">
        <v>990</v>
      </c>
      <c r="C865" s="241">
        <v>43615</v>
      </c>
      <c r="D865" s="242" t="s">
        <v>477</v>
      </c>
      <c r="E865" s="240" t="s">
        <v>1278</v>
      </c>
      <c r="F865" s="240" t="s">
        <v>882</v>
      </c>
      <c r="G865" s="240" t="s">
        <v>1382</v>
      </c>
      <c r="H865" s="240" t="s">
        <v>441</v>
      </c>
      <c r="I865" s="243" t="s">
        <v>884</v>
      </c>
      <c r="J865" s="243"/>
      <c r="K865" s="243" t="s">
        <v>477</v>
      </c>
      <c r="L865" s="240" t="s">
        <v>0</v>
      </c>
      <c r="M865" s="244">
        <v>1</v>
      </c>
      <c r="N865" s="245">
        <v>40</v>
      </c>
      <c r="O865" s="243">
        <v>40</v>
      </c>
      <c r="P865" s="243"/>
      <c r="Q865" s="180" t="str">
        <f>IF(PEDIDOS[[#This Row],[Valor do item pago]]=PEDIDOS[[#This Row],[Total Item ]],"PAGO", "")</f>
        <v/>
      </c>
    </row>
    <row r="866" spans="1:17" s="216" customFormat="1" ht="39.950000000000003" customHeight="1" x14ac:dyDescent="0.25">
      <c r="A866" s="231"/>
      <c r="B866" s="240">
        <v>989</v>
      </c>
      <c r="C866" s="241">
        <v>43615</v>
      </c>
      <c r="D866" s="242" t="s">
        <v>477</v>
      </c>
      <c r="E866" s="240" t="s">
        <v>343</v>
      </c>
      <c r="F866" s="240" t="s">
        <v>826</v>
      </c>
      <c r="G866" s="240" t="s">
        <v>1404</v>
      </c>
      <c r="H866" s="240" t="s">
        <v>441</v>
      </c>
      <c r="I866" s="243" t="s">
        <v>874</v>
      </c>
      <c r="J866" s="243"/>
      <c r="K866" s="243" t="s">
        <v>477</v>
      </c>
      <c r="L866" s="240" t="s">
        <v>1</v>
      </c>
      <c r="M866" s="244">
        <v>1</v>
      </c>
      <c r="N866" s="245">
        <v>40</v>
      </c>
      <c r="O866" s="243">
        <v>40</v>
      </c>
      <c r="P866" s="243"/>
      <c r="Q866" s="180" t="str">
        <f>IF(PEDIDOS[[#This Row],[Valor do item pago]]=PEDIDOS[[#This Row],[Total Item ]],"PAGO", "")</f>
        <v/>
      </c>
    </row>
    <row r="867" spans="1:17" s="216" customFormat="1" ht="39.950000000000003" customHeight="1" x14ac:dyDescent="0.25">
      <c r="A867" s="231"/>
      <c r="B867" s="240">
        <v>988</v>
      </c>
      <c r="C867" s="241">
        <v>43615</v>
      </c>
      <c r="D867" s="242" t="s">
        <v>477</v>
      </c>
      <c r="E867" s="240" t="s">
        <v>11</v>
      </c>
      <c r="F867" s="240" t="s">
        <v>882</v>
      </c>
      <c r="G867" s="240" t="s">
        <v>1382</v>
      </c>
      <c r="H867" s="240" t="s">
        <v>441</v>
      </c>
      <c r="I867" s="243" t="s">
        <v>884</v>
      </c>
      <c r="J867" s="243"/>
      <c r="K867" s="243" t="s">
        <v>477</v>
      </c>
      <c r="L867" s="240" t="s">
        <v>1</v>
      </c>
      <c r="M867" s="244">
        <v>1</v>
      </c>
      <c r="N867" s="245">
        <v>40</v>
      </c>
      <c r="O867" s="243">
        <v>40</v>
      </c>
      <c r="P867" s="243"/>
      <c r="Q867" s="180" t="str">
        <f>IF(PEDIDOS[[#This Row],[Valor do item pago]]=PEDIDOS[[#This Row],[Total Item ]],"PAGO", "")</f>
        <v/>
      </c>
    </row>
    <row r="868" spans="1:17" s="216" customFormat="1" ht="39.950000000000003" customHeight="1" x14ac:dyDescent="0.25">
      <c r="A868" s="231"/>
      <c r="B868" s="240">
        <v>987</v>
      </c>
      <c r="C868" s="241">
        <v>43615</v>
      </c>
      <c r="D868" s="242" t="s">
        <v>477</v>
      </c>
      <c r="E868" s="240" t="s">
        <v>1514</v>
      </c>
      <c r="F868" s="240" t="s">
        <v>1513</v>
      </c>
      <c r="G868" s="240" t="s">
        <v>1511</v>
      </c>
      <c r="H868" s="240" t="s">
        <v>461</v>
      </c>
      <c r="I868" s="243" t="s">
        <v>1512</v>
      </c>
      <c r="J868" s="243" t="s">
        <v>1095</v>
      </c>
      <c r="K868" s="243"/>
      <c r="L868" s="240" t="s">
        <v>219</v>
      </c>
      <c r="M868" s="244">
        <v>1</v>
      </c>
      <c r="N868" s="245">
        <v>40</v>
      </c>
      <c r="O868" s="243">
        <v>40</v>
      </c>
      <c r="P868" s="243">
        <v>40</v>
      </c>
      <c r="Q868" s="180" t="str">
        <f>IF(PEDIDOS[[#This Row],[Valor do item pago]]=PEDIDOS[[#This Row],[Total Item ]],"PAGO", "")</f>
        <v>PAGO</v>
      </c>
    </row>
    <row r="869" spans="1:17" s="216" customFormat="1" ht="39.950000000000003" customHeight="1" x14ac:dyDescent="0.25">
      <c r="A869" s="231"/>
      <c r="B869" s="240">
        <v>986</v>
      </c>
      <c r="C869" s="241">
        <v>43615</v>
      </c>
      <c r="D869" s="242" t="s">
        <v>477</v>
      </c>
      <c r="E869" s="240" t="s">
        <v>1262</v>
      </c>
      <c r="F869" s="240">
        <v>0</v>
      </c>
      <c r="G869" s="240">
        <v>0</v>
      </c>
      <c r="H869" s="240">
        <v>0</v>
      </c>
      <c r="I869" s="243"/>
      <c r="J869" s="243"/>
      <c r="K869" s="243" t="s">
        <v>40</v>
      </c>
      <c r="L869" s="240" t="s">
        <v>1</v>
      </c>
      <c r="M869" s="244">
        <v>1</v>
      </c>
      <c r="N869" s="245">
        <v>40</v>
      </c>
      <c r="O869" s="243">
        <v>40</v>
      </c>
      <c r="P869" s="243">
        <v>40</v>
      </c>
      <c r="Q869" s="180" t="str">
        <f>IF(PEDIDOS[[#This Row],[Valor do item pago]]=PEDIDOS[[#This Row],[Total Item ]],"PAGO", "")</f>
        <v>PAGO</v>
      </c>
    </row>
    <row r="870" spans="1:17" s="216" customFormat="1" ht="39.950000000000003" customHeight="1" x14ac:dyDescent="0.25">
      <c r="A870" s="231"/>
      <c r="B870" s="240">
        <v>985</v>
      </c>
      <c r="C870" s="241">
        <v>43615</v>
      </c>
      <c r="D870" s="242" t="s">
        <v>477</v>
      </c>
      <c r="E870" s="240" t="s">
        <v>367</v>
      </c>
      <c r="F870" s="240" t="s">
        <v>1237</v>
      </c>
      <c r="G870" s="240" t="s">
        <v>1418</v>
      </c>
      <c r="H870" s="240" t="s">
        <v>392</v>
      </c>
      <c r="I870" s="243" t="s">
        <v>656</v>
      </c>
      <c r="J870" s="243"/>
      <c r="K870" s="243"/>
      <c r="L870" s="240" t="s">
        <v>0</v>
      </c>
      <c r="M870" s="244">
        <v>1</v>
      </c>
      <c r="N870" s="245">
        <v>40</v>
      </c>
      <c r="O870" s="243">
        <v>40</v>
      </c>
      <c r="P870" s="243"/>
      <c r="Q870" s="180" t="str">
        <f>IF(PEDIDOS[[#This Row],[Valor do item pago]]=PEDIDOS[[#This Row],[Total Item ]],"PAGO", "")</f>
        <v/>
      </c>
    </row>
    <row r="871" spans="1:17" s="216" customFormat="1" ht="39.950000000000003" customHeight="1" x14ac:dyDescent="0.25">
      <c r="A871" s="231"/>
      <c r="B871" s="240">
        <v>984</v>
      </c>
      <c r="C871" s="241">
        <v>43615</v>
      </c>
      <c r="D871" s="242" t="s">
        <v>477</v>
      </c>
      <c r="E871" s="240" t="s">
        <v>369</v>
      </c>
      <c r="F871" s="240" t="s">
        <v>1240</v>
      </c>
      <c r="G871" s="240" t="s">
        <v>1420</v>
      </c>
      <c r="H871" s="240" t="s">
        <v>400</v>
      </c>
      <c r="I871" s="243" t="s">
        <v>444</v>
      </c>
      <c r="J871" s="243"/>
      <c r="K871" s="243"/>
      <c r="L871" s="240" t="s">
        <v>219</v>
      </c>
      <c r="M871" s="244">
        <v>1</v>
      </c>
      <c r="N871" s="245">
        <v>40</v>
      </c>
      <c r="O871" s="243">
        <v>40</v>
      </c>
      <c r="P871" s="243"/>
      <c r="Q871" s="180" t="str">
        <f>IF(PEDIDOS[[#This Row],[Valor do item pago]]=PEDIDOS[[#This Row],[Total Item ]],"PAGO", "")</f>
        <v/>
      </c>
    </row>
    <row r="872" spans="1:17" s="216" customFormat="1" ht="39.950000000000003" customHeight="1" x14ac:dyDescent="0.25">
      <c r="A872" s="231"/>
      <c r="B872" s="240">
        <v>983</v>
      </c>
      <c r="C872" s="241">
        <v>43615</v>
      </c>
      <c r="D872" s="242" t="s">
        <v>477</v>
      </c>
      <c r="E872" s="240" t="s">
        <v>513</v>
      </c>
      <c r="F872" s="240" t="s">
        <v>514</v>
      </c>
      <c r="G872" s="240" t="s">
        <v>1419</v>
      </c>
      <c r="H872" s="240" t="s">
        <v>1455</v>
      </c>
      <c r="I872" s="243" t="s">
        <v>661</v>
      </c>
      <c r="J872" s="243"/>
      <c r="K872" s="243"/>
      <c r="L872" s="240" t="s">
        <v>219</v>
      </c>
      <c r="M872" s="244">
        <v>1</v>
      </c>
      <c r="N872" s="245">
        <v>40</v>
      </c>
      <c r="O872" s="243">
        <v>40</v>
      </c>
      <c r="P872" s="243"/>
      <c r="Q872" s="180" t="str">
        <f>IF(PEDIDOS[[#This Row],[Valor do item pago]]=PEDIDOS[[#This Row],[Total Item ]],"PAGO", "")</f>
        <v/>
      </c>
    </row>
    <row r="873" spans="1:17" s="216" customFormat="1" ht="39.950000000000003" customHeight="1" x14ac:dyDescent="0.25">
      <c r="A873" s="231"/>
      <c r="B873" s="240">
        <v>983</v>
      </c>
      <c r="C873" s="241">
        <v>43615</v>
      </c>
      <c r="D873" s="242" t="s">
        <v>477</v>
      </c>
      <c r="E873" s="240" t="s">
        <v>513</v>
      </c>
      <c r="F873" s="240" t="s">
        <v>514</v>
      </c>
      <c r="G873" s="240" t="s">
        <v>1419</v>
      </c>
      <c r="H873" s="240" t="s">
        <v>1455</v>
      </c>
      <c r="I873" s="243" t="s">
        <v>661</v>
      </c>
      <c r="J873" s="243"/>
      <c r="K873" s="243"/>
      <c r="L873" s="240" t="s">
        <v>1</v>
      </c>
      <c r="M873" s="244">
        <v>1</v>
      </c>
      <c r="N873" s="245">
        <v>40</v>
      </c>
      <c r="O873" s="243">
        <v>40</v>
      </c>
      <c r="P873" s="243"/>
      <c r="Q873" s="180" t="str">
        <f>IF(PEDIDOS[[#This Row],[Valor do item pago]]=PEDIDOS[[#This Row],[Total Item ]],"PAGO", "")</f>
        <v/>
      </c>
    </row>
    <row r="874" spans="1:17" s="216" customFormat="1" ht="39.950000000000003" customHeight="1" x14ac:dyDescent="0.25">
      <c r="A874" s="231"/>
      <c r="B874" s="240">
        <v>982</v>
      </c>
      <c r="C874" s="241">
        <v>43615</v>
      </c>
      <c r="D874" s="242" t="s">
        <v>477</v>
      </c>
      <c r="E874" s="240" t="s">
        <v>506</v>
      </c>
      <c r="F874" s="240" t="s">
        <v>503</v>
      </c>
      <c r="G874" s="240" t="s">
        <v>1416</v>
      </c>
      <c r="H874" s="240" t="s">
        <v>505</v>
      </c>
      <c r="I874" s="243" t="s">
        <v>660</v>
      </c>
      <c r="J874" s="243"/>
      <c r="K874" s="243"/>
      <c r="L874" s="240" t="s">
        <v>1</v>
      </c>
      <c r="M874" s="244">
        <v>2</v>
      </c>
      <c r="N874" s="245">
        <v>40</v>
      </c>
      <c r="O874" s="243">
        <v>80</v>
      </c>
      <c r="P874" s="243">
        <v>80</v>
      </c>
      <c r="Q874" s="180" t="str">
        <f>IF(PEDIDOS[[#This Row],[Valor do item pago]]=PEDIDOS[[#This Row],[Total Item ]],"PAGO", "")</f>
        <v>PAGO</v>
      </c>
    </row>
    <row r="875" spans="1:17" s="216" customFormat="1" ht="39.950000000000003" customHeight="1" x14ac:dyDescent="0.25">
      <c r="A875" s="231"/>
      <c r="B875" s="240">
        <v>981</v>
      </c>
      <c r="C875" s="241">
        <v>43615</v>
      </c>
      <c r="D875" s="242" t="s">
        <v>477</v>
      </c>
      <c r="E875" s="240" t="s">
        <v>507</v>
      </c>
      <c r="F875" s="240" t="s">
        <v>497</v>
      </c>
      <c r="G875" s="240" t="s">
        <v>1376</v>
      </c>
      <c r="H875" s="240" t="s">
        <v>461</v>
      </c>
      <c r="I875" s="243" t="s">
        <v>659</v>
      </c>
      <c r="J875" s="243"/>
      <c r="K875" s="243"/>
      <c r="L875" s="240" t="s">
        <v>1</v>
      </c>
      <c r="M875" s="244">
        <v>1</v>
      </c>
      <c r="N875" s="245">
        <v>40</v>
      </c>
      <c r="O875" s="243">
        <v>40</v>
      </c>
      <c r="P875" s="243"/>
      <c r="Q875" s="180" t="str">
        <f>IF(PEDIDOS[[#This Row],[Valor do item pago]]=PEDIDOS[[#This Row],[Total Item ]],"PAGO", "")</f>
        <v/>
      </c>
    </row>
    <row r="876" spans="1:17" s="216" customFormat="1" ht="39.950000000000003" customHeight="1" x14ac:dyDescent="0.25">
      <c r="A876" s="231"/>
      <c r="B876" s="240">
        <v>980</v>
      </c>
      <c r="C876" s="241">
        <v>43615</v>
      </c>
      <c r="D876" s="242" t="s">
        <v>477</v>
      </c>
      <c r="E876" s="240" t="s">
        <v>1272</v>
      </c>
      <c r="F876" s="240" t="s">
        <v>1227</v>
      </c>
      <c r="G876" s="240" t="s">
        <v>1273</v>
      </c>
      <c r="H876" s="240" t="s">
        <v>1196</v>
      </c>
      <c r="I876" s="243" t="s">
        <v>652</v>
      </c>
      <c r="J876" s="243"/>
      <c r="K876" s="243"/>
      <c r="L876" s="240" t="s">
        <v>1</v>
      </c>
      <c r="M876" s="244">
        <v>1</v>
      </c>
      <c r="N876" s="245">
        <v>40</v>
      </c>
      <c r="O876" s="243">
        <v>40</v>
      </c>
      <c r="P876" s="243"/>
      <c r="Q876" s="180" t="str">
        <f>IF(PEDIDOS[[#This Row],[Valor do item pago]]=PEDIDOS[[#This Row],[Total Item ]],"PAGO", "")</f>
        <v/>
      </c>
    </row>
    <row r="877" spans="1:17" s="216" customFormat="1" ht="39.950000000000003" customHeight="1" x14ac:dyDescent="0.25">
      <c r="A877" s="231"/>
      <c r="B877" s="240">
        <v>979</v>
      </c>
      <c r="C877" s="241">
        <v>43615</v>
      </c>
      <c r="D877" s="242" t="s">
        <v>477</v>
      </c>
      <c r="E877" s="240" t="s">
        <v>1188</v>
      </c>
      <c r="F877" s="240" t="s">
        <v>1241</v>
      </c>
      <c r="G877" s="240" t="s">
        <v>1350</v>
      </c>
      <c r="H877" s="240" t="s">
        <v>401</v>
      </c>
      <c r="I877" s="243" t="s">
        <v>445</v>
      </c>
      <c r="J877" s="243"/>
      <c r="K877" s="243"/>
      <c r="L877" s="240" t="s">
        <v>3</v>
      </c>
      <c r="M877" s="244">
        <v>1</v>
      </c>
      <c r="N877" s="245">
        <v>40</v>
      </c>
      <c r="O877" s="243">
        <v>40</v>
      </c>
      <c r="P877" s="243"/>
      <c r="Q877" s="180" t="str">
        <f>IF(PEDIDOS[[#This Row],[Valor do item pago]]=PEDIDOS[[#This Row],[Total Item ]],"PAGO", "")</f>
        <v/>
      </c>
    </row>
    <row r="878" spans="1:17" s="216" customFormat="1" ht="39.950000000000003" customHeight="1" x14ac:dyDescent="0.25">
      <c r="A878" s="231"/>
      <c r="B878" s="240">
        <v>978</v>
      </c>
      <c r="C878" s="241">
        <v>43615</v>
      </c>
      <c r="D878" s="242" t="s">
        <v>477</v>
      </c>
      <c r="E878" s="240" t="s">
        <v>1259</v>
      </c>
      <c r="F878" s="240" t="s">
        <v>1226</v>
      </c>
      <c r="G878" s="240" t="s">
        <v>1440</v>
      </c>
      <c r="H878" s="240" t="s">
        <v>390</v>
      </c>
      <c r="I878" s="243" t="s">
        <v>251</v>
      </c>
      <c r="J878" s="243"/>
      <c r="K878" s="243"/>
      <c r="L878" s="240" t="s">
        <v>3</v>
      </c>
      <c r="M878" s="244">
        <v>1</v>
      </c>
      <c r="N878" s="245">
        <v>40</v>
      </c>
      <c r="O878" s="243">
        <v>40</v>
      </c>
      <c r="P878" s="243"/>
      <c r="Q878" s="180" t="str">
        <f>IF(PEDIDOS[[#This Row],[Valor do item pago]]=PEDIDOS[[#This Row],[Total Item ]],"PAGO", "")</f>
        <v/>
      </c>
    </row>
    <row r="879" spans="1:17" s="216" customFormat="1" ht="39.950000000000003" customHeight="1" x14ac:dyDescent="0.25">
      <c r="A879" s="231"/>
      <c r="B879" s="240">
        <v>977</v>
      </c>
      <c r="C879" s="241">
        <v>43615</v>
      </c>
      <c r="D879" s="242" t="s">
        <v>477</v>
      </c>
      <c r="E879" s="240" t="s">
        <v>25</v>
      </c>
      <c r="F879" s="240" t="s">
        <v>1222</v>
      </c>
      <c r="G879" s="240" t="s">
        <v>1411</v>
      </c>
      <c r="H879" s="240" t="s">
        <v>406</v>
      </c>
      <c r="I879" s="243" t="s">
        <v>329</v>
      </c>
      <c r="J879" s="243"/>
      <c r="K879" s="243"/>
      <c r="L879" s="240" t="s">
        <v>219</v>
      </c>
      <c r="M879" s="244">
        <v>3</v>
      </c>
      <c r="N879" s="245">
        <v>40</v>
      </c>
      <c r="O879" s="243">
        <v>120</v>
      </c>
      <c r="P879" s="243">
        <v>120</v>
      </c>
      <c r="Q879" s="180" t="str">
        <f>IF(PEDIDOS[[#This Row],[Valor do item pago]]=PEDIDOS[[#This Row],[Total Item ]],"PAGO", "")</f>
        <v>PAGO</v>
      </c>
    </row>
    <row r="880" spans="1:17" s="216" customFormat="1" ht="39.950000000000003" customHeight="1" x14ac:dyDescent="0.25">
      <c r="A880" s="231"/>
      <c r="B880" s="240">
        <v>976</v>
      </c>
      <c r="C880" s="241">
        <v>43615</v>
      </c>
      <c r="D880" s="242" t="s">
        <v>804</v>
      </c>
      <c r="E880" s="240" t="s">
        <v>804</v>
      </c>
      <c r="F880" s="240" t="s">
        <v>803</v>
      </c>
      <c r="G880" s="240">
        <v>0</v>
      </c>
      <c r="H880" s="240">
        <v>0</v>
      </c>
      <c r="I880" s="243"/>
      <c r="J880" s="243"/>
      <c r="K880" s="243" t="s">
        <v>804</v>
      </c>
      <c r="L880" s="240" t="s">
        <v>3</v>
      </c>
      <c r="M880" s="244">
        <v>1</v>
      </c>
      <c r="N880" s="245">
        <v>40</v>
      </c>
      <c r="O880" s="243">
        <v>40</v>
      </c>
      <c r="P880" s="243"/>
      <c r="Q880" s="180" t="str">
        <f>IF(PEDIDOS[[#This Row],[Valor do item pago]]=PEDIDOS[[#This Row],[Total Item ]],"PAGO", "")</f>
        <v/>
      </c>
    </row>
    <row r="881" spans="1:17" s="216" customFormat="1" ht="39.950000000000003" customHeight="1" x14ac:dyDescent="0.25">
      <c r="A881" s="231"/>
      <c r="B881" s="240">
        <v>975</v>
      </c>
      <c r="C881" s="241">
        <v>43615</v>
      </c>
      <c r="D881" s="242" t="s">
        <v>411</v>
      </c>
      <c r="E881" s="240" t="s">
        <v>618</v>
      </c>
      <c r="F881" s="240" t="s">
        <v>619</v>
      </c>
      <c r="G881" s="240" t="s">
        <v>1410</v>
      </c>
      <c r="H881" s="240" t="s">
        <v>84</v>
      </c>
      <c r="I881" s="243" t="s">
        <v>453</v>
      </c>
      <c r="J881" s="243"/>
      <c r="K881" s="243"/>
      <c r="L881" s="240" t="s">
        <v>219</v>
      </c>
      <c r="M881" s="244">
        <v>1</v>
      </c>
      <c r="N881" s="245">
        <v>40</v>
      </c>
      <c r="O881" s="243">
        <v>40</v>
      </c>
      <c r="P881" s="243"/>
      <c r="Q881" s="180" t="str">
        <f>IF(PEDIDOS[[#This Row],[Valor do item pago]]=PEDIDOS[[#This Row],[Total Item ]],"PAGO", "")</f>
        <v/>
      </c>
    </row>
    <row r="882" spans="1:17" s="216" customFormat="1" ht="39.950000000000003" customHeight="1" x14ac:dyDescent="0.25">
      <c r="A882" s="231"/>
      <c r="B882" s="240">
        <v>974</v>
      </c>
      <c r="C882" s="241">
        <v>43615</v>
      </c>
      <c r="D882" s="242" t="s">
        <v>44</v>
      </c>
      <c r="E882" s="240" t="s">
        <v>374</v>
      </c>
      <c r="F882" s="240" t="s">
        <v>1246</v>
      </c>
      <c r="G882" s="240" t="s">
        <v>1422</v>
      </c>
      <c r="H882" s="240" t="s">
        <v>402</v>
      </c>
      <c r="I882" s="243" t="s">
        <v>658</v>
      </c>
      <c r="J882" s="243"/>
      <c r="K882" s="243"/>
      <c r="L882" s="240" t="s">
        <v>1</v>
      </c>
      <c r="M882" s="244">
        <v>1</v>
      </c>
      <c r="N882" s="245">
        <v>40</v>
      </c>
      <c r="O882" s="243">
        <v>40</v>
      </c>
      <c r="P882" s="243"/>
      <c r="Q882" s="180" t="str">
        <f>IF(PEDIDOS[[#This Row],[Valor do item pago]]=PEDIDOS[[#This Row],[Total Item ]],"PAGO", "")</f>
        <v/>
      </c>
    </row>
    <row r="883" spans="1:17" s="216" customFormat="1" ht="39.950000000000003" customHeight="1" x14ac:dyDescent="0.25">
      <c r="A883" s="231"/>
      <c r="B883" s="240">
        <v>974</v>
      </c>
      <c r="C883" s="241">
        <v>43615</v>
      </c>
      <c r="D883" s="242" t="s">
        <v>44</v>
      </c>
      <c r="E883" s="240" t="s">
        <v>374</v>
      </c>
      <c r="F883" s="240" t="s">
        <v>1246</v>
      </c>
      <c r="G883" s="240" t="s">
        <v>1422</v>
      </c>
      <c r="H883" s="240" t="s">
        <v>402</v>
      </c>
      <c r="I883" s="243" t="s">
        <v>658</v>
      </c>
      <c r="J883" s="243"/>
      <c r="K883" s="243"/>
      <c r="L883" s="240" t="s">
        <v>0</v>
      </c>
      <c r="M883" s="244">
        <v>1</v>
      </c>
      <c r="N883" s="245">
        <v>40</v>
      </c>
      <c r="O883" s="243">
        <v>40</v>
      </c>
      <c r="P883" s="243"/>
      <c r="Q883" s="180" t="str">
        <f>IF(PEDIDOS[[#This Row],[Valor do item pago]]=PEDIDOS[[#This Row],[Total Item ]],"PAGO", "")</f>
        <v/>
      </c>
    </row>
    <row r="884" spans="1:17" s="216" customFormat="1" ht="39.950000000000003" customHeight="1" x14ac:dyDescent="0.25">
      <c r="A884" s="231"/>
      <c r="B884" s="240">
        <v>973</v>
      </c>
      <c r="C884" s="241">
        <v>43615</v>
      </c>
      <c r="D884" s="242" t="s">
        <v>44</v>
      </c>
      <c r="E884" s="240" t="s">
        <v>25</v>
      </c>
      <c r="F884" s="240" t="s">
        <v>1222</v>
      </c>
      <c r="G884" s="240" t="s">
        <v>1411</v>
      </c>
      <c r="H884" s="240" t="s">
        <v>406</v>
      </c>
      <c r="I884" s="243" t="s">
        <v>329</v>
      </c>
      <c r="J884" s="243"/>
      <c r="K884" s="243"/>
      <c r="L884" s="240" t="s">
        <v>219</v>
      </c>
      <c r="M884" s="244">
        <v>2</v>
      </c>
      <c r="N884" s="245">
        <v>40</v>
      </c>
      <c r="O884" s="243">
        <v>80</v>
      </c>
      <c r="P884" s="243"/>
      <c r="Q884" s="180" t="str">
        <f>IF(PEDIDOS[[#This Row],[Valor do item pago]]=PEDIDOS[[#This Row],[Total Item ]],"PAGO", "")</f>
        <v/>
      </c>
    </row>
    <row r="885" spans="1:17" s="216" customFormat="1" ht="39.950000000000003" customHeight="1" x14ac:dyDescent="0.25">
      <c r="A885" s="231"/>
      <c r="B885" s="240">
        <v>972</v>
      </c>
      <c r="C885" s="241">
        <v>43614</v>
      </c>
      <c r="D885" s="242" t="s">
        <v>231</v>
      </c>
      <c r="E885" s="240" t="s">
        <v>381</v>
      </c>
      <c r="F885" s="240">
        <v>0</v>
      </c>
      <c r="G885" s="240">
        <v>0</v>
      </c>
      <c r="H885" s="240">
        <v>0</v>
      </c>
      <c r="I885" s="243"/>
      <c r="J885" s="243"/>
      <c r="K885" s="243" t="s">
        <v>231</v>
      </c>
      <c r="L885" s="240" t="s">
        <v>1</v>
      </c>
      <c r="M885" s="244">
        <v>1</v>
      </c>
      <c r="N885" s="245">
        <v>40</v>
      </c>
      <c r="O885" s="243">
        <v>40</v>
      </c>
      <c r="P885" s="243"/>
      <c r="Q885" s="180" t="str">
        <f>IF(PEDIDOS[[#This Row],[Valor do item pago]]=PEDIDOS[[#This Row],[Total Item ]],"PAGO", "")</f>
        <v/>
      </c>
    </row>
    <row r="886" spans="1:17" s="216" customFormat="1" ht="39.950000000000003" customHeight="1" x14ac:dyDescent="0.25">
      <c r="A886" s="231"/>
      <c r="B886" s="240">
        <v>971</v>
      </c>
      <c r="C886" s="241">
        <v>43614</v>
      </c>
      <c r="D886" s="242" t="s">
        <v>231</v>
      </c>
      <c r="E886" s="240" t="s">
        <v>375</v>
      </c>
      <c r="F886" s="240" t="s">
        <v>1065</v>
      </c>
      <c r="G886" s="240">
        <v>0</v>
      </c>
      <c r="H886" s="240" t="s">
        <v>40</v>
      </c>
      <c r="I886" s="243"/>
      <c r="J886" s="243"/>
      <c r="K886" s="243" t="s">
        <v>231</v>
      </c>
      <c r="L886" s="240" t="s">
        <v>3</v>
      </c>
      <c r="M886" s="244">
        <v>1</v>
      </c>
      <c r="N886" s="245">
        <v>40</v>
      </c>
      <c r="O886" s="243">
        <v>40</v>
      </c>
      <c r="P886" s="243"/>
      <c r="Q886" s="180" t="str">
        <f>IF(PEDIDOS[[#This Row],[Valor do item pago]]=PEDIDOS[[#This Row],[Total Item ]],"PAGO", "")</f>
        <v/>
      </c>
    </row>
    <row r="887" spans="1:17" s="216" customFormat="1" ht="39.950000000000003" customHeight="1" x14ac:dyDescent="0.25">
      <c r="A887" s="231"/>
      <c r="B887" s="240">
        <v>971</v>
      </c>
      <c r="C887" s="241">
        <v>43614</v>
      </c>
      <c r="D887" s="242" t="s">
        <v>231</v>
      </c>
      <c r="E887" s="240" t="s">
        <v>375</v>
      </c>
      <c r="F887" s="240" t="s">
        <v>1065</v>
      </c>
      <c r="G887" s="240">
        <v>0</v>
      </c>
      <c r="H887" s="240" t="s">
        <v>40</v>
      </c>
      <c r="I887" s="243"/>
      <c r="J887" s="243"/>
      <c r="K887" s="243" t="s">
        <v>231</v>
      </c>
      <c r="L887" s="240" t="s">
        <v>219</v>
      </c>
      <c r="M887" s="244">
        <v>1</v>
      </c>
      <c r="N887" s="245">
        <v>40</v>
      </c>
      <c r="O887" s="243">
        <v>40</v>
      </c>
      <c r="P887" s="243"/>
      <c r="Q887" s="180" t="str">
        <f>IF(PEDIDOS[[#This Row],[Valor do item pago]]=PEDIDOS[[#This Row],[Total Item ]],"PAGO", "")</f>
        <v/>
      </c>
    </row>
    <row r="888" spans="1:17" s="216" customFormat="1" ht="39.950000000000003" customHeight="1" x14ac:dyDescent="0.25">
      <c r="A888" s="231"/>
      <c r="B888" s="240">
        <v>971</v>
      </c>
      <c r="C888" s="241">
        <v>43614</v>
      </c>
      <c r="D888" s="242" t="s">
        <v>231</v>
      </c>
      <c r="E888" s="240" t="s">
        <v>375</v>
      </c>
      <c r="F888" s="240" t="s">
        <v>1065</v>
      </c>
      <c r="G888" s="240">
        <v>0</v>
      </c>
      <c r="H888" s="240" t="s">
        <v>40</v>
      </c>
      <c r="I888" s="243"/>
      <c r="J888" s="243"/>
      <c r="K888" s="243" t="s">
        <v>231</v>
      </c>
      <c r="L888" s="240" t="s">
        <v>1</v>
      </c>
      <c r="M888" s="244">
        <v>1</v>
      </c>
      <c r="N888" s="245">
        <v>40</v>
      </c>
      <c r="O888" s="243">
        <v>40</v>
      </c>
      <c r="P888" s="243"/>
      <c r="Q888" s="180" t="str">
        <f>IF(PEDIDOS[[#This Row],[Valor do item pago]]=PEDIDOS[[#This Row],[Total Item ]],"PAGO", "")</f>
        <v/>
      </c>
    </row>
    <row r="889" spans="1:17" s="216" customFormat="1" ht="39.950000000000003" customHeight="1" x14ac:dyDescent="0.25">
      <c r="A889" s="231"/>
      <c r="B889" s="240">
        <v>970</v>
      </c>
      <c r="C889" s="241">
        <v>43614</v>
      </c>
      <c r="D889" s="242" t="s">
        <v>231</v>
      </c>
      <c r="E889" s="240" t="s">
        <v>345</v>
      </c>
      <c r="F889" s="240" t="s">
        <v>1216</v>
      </c>
      <c r="G889" s="240">
        <v>0</v>
      </c>
      <c r="H889" s="240">
        <v>0</v>
      </c>
      <c r="I889" s="243"/>
      <c r="J889" s="243"/>
      <c r="K889" s="243" t="s">
        <v>231</v>
      </c>
      <c r="L889" s="240" t="s">
        <v>219</v>
      </c>
      <c r="M889" s="244">
        <v>1</v>
      </c>
      <c r="N889" s="245">
        <v>40</v>
      </c>
      <c r="O889" s="243">
        <v>40</v>
      </c>
      <c r="P889" s="243"/>
      <c r="Q889" s="180" t="str">
        <f>IF(PEDIDOS[[#This Row],[Valor do item pago]]=PEDIDOS[[#This Row],[Total Item ]],"PAGO", "")</f>
        <v/>
      </c>
    </row>
    <row r="890" spans="1:17" s="216" customFormat="1" ht="39.950000000000003" customHeight="1" x14ac:dyDescent="0.25">
      <c r="A890" s="231"/>
      <c r="B890" s="240">
        <v>970</v>
      </c>
      <c r="C890" s="241">
        <v>43614</v>
      </c>
      <c r="D890" s="242" t="s">
        <v>231</v>
      </c>
      <c r="E890" s="240" t="s">
        <v>345</v>
      </c>
      <c r="F890" s="240" t="s">
        <v>1216</v>
      </c>
      <c r="G890" s="240">
        <v>0</v>
      </c>
      <c r="H890" s="240">
        <v>0</v>
      </c>
      <c r="I890" s="243"/>
      <c r="J890" s="243"/>
      <c r="K890" s="243" t="s">
        <v>231</v>
      </c>
      <c r="L890" s="240" t="s">
        <v>0</v>
      </c>
      <c r="M890" s="244">
        <v>1</v>
      </c>
      <c r="N890" s="245">
        <v>40</v>
      </c>
      <c r="O890" s="243">
        <v>40</v>
      </c>
      <c r="P890" s="243"/>
      <c r="Q890" s="180" t="str">
        <f>IF(PEDIDOS[[#This Row],[Valor do item pago]]=PEDIDOS[[#This Row],[Total Item ]],"PAGO", "")</f>
        <v/>
      </c>
    </row>
    <row r="891" spans="1:17" s="216" customFormat="1" ht="39.950000000000003" customHeight="1" x14ac:dyDescent="0.25">
      <c r="A891" s="231"/>
      <c r="B891" s="240">
        <v>969</v>
      </c>
      <c r="C891" s="241">
        <v>43614</v>
      </c>
      <c r="D891" s="242" t="s">
        <v>231</v>
      </c>
      <c r="E891" s="240" t="s">
        <v>362</v>
      </c>
      <c r="F891" s="240">
        <v>0</v>
      </c>
      <c r="G891" s="240" t="s">
        <v>1381</v>
      </c>
      <c r="H891" s="240" t="s">
        <v>398</v>
      </c>
      <c r="I891" s="243" t="s">
        <v>431</v>
      </c>
      <c r="J891" s="243"/>
      <c r="K891" s="243" t="s">
        <v>40</v>
      </c>
      <c r="L891" s="240" t="s">
        <v>219</v>
      </c>
      <c r="M891" s="244">
        <v>1</v>
      </c>
      <c r="N891" s="245">
        <v>40</v>
      </c>
      <c r="O891" s="243">
        <v>40</v>
      </c>
      <c r="P891" s="243"/>
      <c r="Q891" s="180" t="str">
        <f>IF(PEDIDOS[[#This Row],[Valor do item pago]]=PEDIDOS[[#This Row],[Total Item ]],"PAGO", "")</f>
        <v/>
      </c>
    </row>
    <row r="892" spans="1:17" s="216" customFormat="1" ht="39.950000000000003" customHeight="1" x14ac:dyDescent="0.25">
      <c r="A892" s="231"/>
      <c r="B892" s="240">
        <v>968</v>
      </c>
      <c r="C892" s="241">
        <v>43614</v>
      </c>
      <c r="D892" s="242" t="s">
        <v>231</v>
      </c>
      <c r="E892" s="240" t="s">
        <v>90</v>
      </c>
      <c r="F892" s="240" t="s">
        <v>806</v>
      </c>
      <c r="G892" s="240">
        <v>0</v>
      </c>
      <c r="H892" s="240" t="s">
        <v>40</v>
      </c>
      <c r="I892" s="243"/>
      <c r="J892" s="243"/>
      <c r="K892" s="243"/>
      <c r="L892" s="240" t="s">
        <v>219</v>
      </c>
      <c r="M892" s="244">
        <v>2</v>
      </c>
      <c r="N892" s="245">
        <v>40</v>
      </c>
      <c r="O892" s="243">
        <v>80</v>
      </c>
      <c r="P892" s="243"/>
      <c r="Q892" s="180" t="str">
        <f>IF(PEDIDOS[[#This Row],[Valor do item pago]]=PEDIDOS[[#This Row],[Total Item ]],"PAGO", "")</f>
        <v/>
      </c>
    </row>
    <row r="893" spans="1:17" s="216" customFormat="1" ht="39.950000000000003" customHeight="1" x14ac:dyDescent="0.25">
      <c r="A893" s="231"/>
      <c r="B893" s="240">
        <v>967</v>
      </c>
      <c r="C893" s="241">
        <v>43614</v>
      </c>
      <c r="D893" s="242" t="s">
        <v>231</v>
      </c>
      <c r="E893" s="240" t="s">
        <v>356</v>
      </c>
      <c r="F893" s="240" t="s">
        <v>700</v>
      </c>
      <c r="G893" s="240" t="s">
        <v>1377</v>
      </c>
      <c r="H893" s="240" t="s">
        <v>1378</v>
      </c>
      <c r="I893" s="243" t="s">
        <v>702</v>
      </c>
      <c r="J893" s="243"/>
      <c r="K893" s="243"/>
      <c r="L893" s="240" t="s">
        <v>219</v>
      </c>
      <c r="M893" s="244">
        <v>1</v>
      </c>
      <c r="N893" s="245">
        <v>40</v>
      </c>
      <c r="O893" s="243">
        <v>40</v>
      </c>
      <c r="P893" s="243">
        <v>40</v>
      </c>
      <c r="Q893" s="180" t="str">
        <f>IF(PEDIDOS[[#This Row],[Valor do item pago]]=PEDIDOS[[#This Row],[Total Item ]],"PAGO", "")</f>
        <v>PAGO</v>
      </c>
    </row>
    <row r="894" spans="1:17" s="216" customFormat="1" ht="39.950000000000003" customHeight="1" x14ac:dyDescent="0.25">
      <c r="A894" s="231"/>
      <c r="B894" s="240">
        <v>966</v>
      </c>
      <c r="C894" s="241">
        <v>43614</v>
      </c>
      <c r="D894" s="242" t="s">
        <v>49</v>
      </c>
      <c r="E894" s="240" t="s">
        <v>615</v>
      </c>
      <c r="F894" s="240" t="s">
        <v>1242</v>
      </c>
      <c r="G894" s="240" t="s">
        <v>1392</v>
      </c>
      <c r="H894" s="240" t="s">
        <v>1205</v>
      </c>
      <c r="I894" s="243" t="s">
        <v>735</v>
      </c>
      <c r="J894" s="243"/>
      <c r="K894" s="243"/>
      <c r="L894" s="240" t="s">
        <v>3</v>
      </c>
      <c r="M894" s="244">
        <v>1</v>
      </c>
      <c r="N894" s="245">
        <v>40</v>
      </c>
      <c r="O894" s="243">
        <v>40</v>
      </c>
      <c r="P894" s="243">
        <v>40</v>
      </c>
      <c r="Q894" s="180" t="str">
        <f>IF(PEDIDOS[[#This Row],[Valor do item pago]]=PEDIDOS[[#This Row],[Total Item ]],"PAGO", "")</f>
        <v>PAGO</v>
      </c>
    </row>
    <row r="895" spans="1:17" s="216" customFormat="1" ht="39.950000000000003" customHeight="1" x14ac:dyDescent="0.25">
      <c r="A895" s="231"/>
      <c r="B895" s="240">
        <v>966</v>
      </c>
      <c r="C895" s="241">
        <v>43614</v>
      </c>
      <c r="D895" s="242" t="s">
        <v>49</v>
      </c>
      <c r="E895" s="240" t="s">
        <v>615</v>
      </c>
      <c r="F895" s="240" t="s">
        <v>1242</v>
      </c>
      <c r="G895" s="240" t="s">
        <v>1392</v>
      </c>
      <c r="H895" s="240" t="s">
        <v>1205</v>
      </c>
      <c r="I895" s="243" t="s">
        <v>735</v>
      </c>
      <c r="J895" s="243"/>
      <c r="K895" s="243"/>
      <c r="L895" s="240" t="s">
        <v>1</v>
      </c>
      <c r="M895" s="244">
        <v>1</v>
      </c>
      <c r="N895" s="245">
        <v>40</v>
      </c>
      <c r="O895" s="243">
        <v>40</v>
      </c>
      <c r="P895" s="243">
        <v>40</v>
      </c>
      <c r="Q895" s="180" t="str">
        <f>IF(PEDIDOS[[#This Row],[Valor do item pago]]=PEDIDOS[[#This Row],[Total Item ]],"PAGO", "")</f>
        <v>PAGO</v>
      </c>
    </row>
    <row r="896" spans="1:17" s="216" customFormat="1" ht="39.950000000000003" customHeight="1" x14ac:dyDescent="0.25">
      <c r="A896" s="231"/>
      <c r="B896" s="240">
        <v>965</v>
      </c>
      <c r="C896" s="241">
        <v>43614</v>
      </c>
      <c r="D896" s="242" t="s">
        <v>49</v>
      </c>
      <c r="E896" s="240" t="s">
        <v>611</v>
      </c>
      <c r="F896" s="240" t="s">
        <v>1225</v>
      </c>
      <c r="G896" s="240" t="s">
        <v>1392</v>
      </c>
      <c r="H896" s="240" t="s">
        <v>1205</v>
      </c>
      <c r="I896" s="243" t="s">
        <v>735</v>
      </c>
      <c r="J896" s="243"/>
      <c r="K896" s="243"/>
      <c r="L896" s="240" t="s">
        <v>3</v>
      </c>
      <c r="M896" s="244">
        <v>1</v>
      </c>
      <c r="N896" s="245">
        <v>40</v>
      </c>
      <c r="O896" s="243">
        <v>40</v>
      </c>
      <c r="P896" s="243">
        <v>40</v>
      </c>
      <c r="Q896" s="180" t="str">
        <f>IF(PEDIDOS[[#This Row],[Valor do item pago]]=PEDIDOS[[#This Row],[Total Item ]],"PAGO", "")</f>
        <v>PAGO</v>
      </c>
    </row>
    <row r="897" spans="1:17" s="216" customFormat="1" ht="39.950000000000003" customHeight="1" x14ac:dyDescent="0.25">
      <c r="A897" s="231"/>
      <c r="B897" s="240">
        <v>964</v>
      </c>
      <c r="C897" s="241">
        <v>43614</v>
      </c>
      <c r="D897" s="242" t="s">
        <v>49</v>
      </c>
      <c r="E897" s="240" t="s">
        <v>614</v>
      </c>
      <c r="F897" s="240" t="s">
        <v>1220</v>
      </c>
      <c r="G897" s="240" t="s">
        <v>1363</v>
      </c>
      <c r="H897" s="240" t="s">
        <v>393</v>
      </c>
      <c r="I897" s="243" t="s">
        <v>423</v>
      </c>
      <c r="J897" s="243"/>
      <c r="K897" s="243"/>
      <c r="L897" s="240" t="s">
        <v>219</v>
      </c>
      <c r="M897" s="244">
        <v>1</v>
      </c>
      <c r="N897" s="245">
        <v>40</v>
      </c>
      <c r="O897" s="243">
        <v>40</v>
      </c>
      <c r="P897" s="243">
        <v>40</v>
      </c>
      <c r="Q897" s="180" t="str">
        <f>IF(PEDIDOS[[#This Row],[Valor do item pago]]=PEDIDOS[[#This Row],[Total Item ]],"PAGO", "")</f>
        <v>PAGO</v>
      </c>
    </row>
    <row r="898" spans="1:17" s="216" customFormat="1" ht="39.950000000000003" customHeight="1" x14ac:dyDescent="0.25">
      <c r="A898" s="231"/>
      <c r="B898" s="240">
        <v>963</v>
      </c>
      <c r="C898" s="241">
        <v>43614</v>
      </c>
      <c r="D898" s="242" t="s">
        <v>40</v>
      </c>
      <c r="E898" s="240" t="s">
        <v>203</v>
      </c>
      <c r="F898" s="240" t="s">
        <v>1238</v>
      </c>
      <c r="G898" s="240" t="s">
        <v>41</v>
      </c>
      <c r="H898" s="240" t="s">
        <v>441</v>
      </c>
      <c r="I898" s="243" t="s">
        <v>442</v>
      </c>
      <c r="J898" s="243"/>
      <c r="K898" s="243" t="s">
        <v>648</v>
      </c>
      <c r="L898" s="240" t="s">
        <v>1</v>
      </c>
      <c r="M898" s="244">
        <v>1</v>
      </c>
      <c r="N898" s="245">
        <v>40</v>
      </c>
      <c r="O898" s="243">
        <v>40</v>
      </c>
      <c r="P898" s="243"/>
      <c r="Q898" s="180" t="str">
        <f>IF(PEDIDOS[[#This Row],[Valor do item pago]]=PEDIDOS[[#This Row],[Total Item ]],"PAGO", "")</f>
        <v/>
      </c>
    </row>
    <row r="899" spans="1:17" s="216" customFormat="1" ht="39.950000000000003" customHeight="1" x14ac:dyDescent="0.25">
      <c r="A899" s="231"/>
      <c r="B899" s="240">
        <v>963</v>
      </c>
      <c r="C899" s="241">
        <v>43614</v>
      </c>
      <c r="D899" s="242" t="s">
        <v>40</v>
      </c>
      <c r="E899" s="240" t="s">
        <v>203</v>
      </c>
      <c r="F899" s="240" t="s">
        <v>1238</v>
      </c>
      <c r="G899" s="240" t="s">
        <v>41</v>
      </c>
      <c r="H899" s="240" t="s">
        <v>441</v>
      </c>
      <c r="I899" s="243" t="s">
        <v>442</v>
      </c>
      <c r="J899" s="243"/>
      <c r="K899" s="243" t="s">
        <v>648</v>
      </c>
      <c r="L899" s="240" t="s">
        <v>0</v>
      </c>
      <c r="M899" s="244">
        <v>1</v>
      </c>
      <c r="N899" s="245">
        <v>40</v>
      </c>
      <c r="O899" s="243">
        <v>40</v>
      </c>
      <c r="P899" s="243"/>
      <c r="Q899" s="180" t="str">
        <f>IF(PEDIDOS[[#This Row],[Valor do item pago]]=PEDIDOS[[#This Row],[Total Item ]],"PAGO", "")</f>
        <v/>
      </c>
    </row>
    <row r="900" spans="1:17" s="216" customFormat="1" ht="39.950000000000003" customHeight="1" x14ac:dyDescent="0.25">
      <c r="A900" s="231"/>
      <c r="B900" s="240">
        <v>962</v>
      </c>
      <c r="C900" s="241">
        <v>43614</v>
      </c>
      <c r="D900" s="242" t="s">
        <v>40</v>
      </c>
      <c r="E900" s="240" t="s">
        <v>630</v>
      </c>
      <c r="F900" s="240" t="s">
        <v>1245</v>
      </c>
      <c r="G900" s="240" t="s">
        <v>1392</v>
      </c>
      <c r="H900" s="240" t="s">
        <v>1205</v>
      </c>
      <c r="I900" s="243" t="s">
        <v>735</v>
      </c>
      <c r="J900" s="243"/>
      <c r="K900" s="243"/>
      <c r="L900" s="240" t="s">
        <v>1</v>
      </c>
      <c r="M900" s="244">
        <v>1</v>
      </c>
      <c r="N900" s="245">
        <v>40</v>
      </c>
      <c r="O900" s="243">
        <v>40</v>
      </c>
      <c r="P900" s="243">
        <v>40</v>
      </c>
      <c r="Q900" s="180" t="str">
        <f>IF(PEDIDOS[[#This Row],[Valor do item pago]]=PEDIDOS[[#This Row],[Total Item ]],"PAGO", "")</f>
        <v>PAGO</v>
      </c>
    </row>
    <row r="901" spans="1:17" s="216" customFormat="1" ht="39.950000000000003" customHeight="1" x14ac:dyDescent="0.25">
      <c r="A901" s="231"/>
      <c r="B901" s="240">
        <v>962</v>
      </c>
      <c r="C901" s="241">
        <v>43614</v>
      </c>
      <c r="D901" s="242" t="s">
        <v>40</v>
      </c>
      <c r="E901" s="240" t="s">
        <v>630</v>
      </c>
      <c r="F901" s="240" t="s">
        <v>1245</v>
      </c>
      <c r="G901" s="240" t="s">
        <v>1392</v>
      </c>
      <c r="H901" s="240" t="s">
        <v>1205</v>
      </c>
      <c r="I901" s="243" t="s">
        <v>735</v>
      </c>
      <c r="J901" s="243"/>
      <c r="K901" s="243"/>
      <c r="L901" s="240" t="s">
        <v>0</v>
      </c>
      <c r="M901" s="244">
        <v>1</v>
      </c>
      <c r="N901" s="245">
        <v>40</v>
      </c>
      <c r="O901" s="243">
        <v>40</v>
      </c>
      <c r="P901" s="243">
        <v>40</v>
      </c>
      <c r="Q901" s="180" t="str">
        <f>IF(PEDIDOS[[#This Row],[Valor do item pago]]=PEDIDOS[[#This Row],[Total Item ]],"PAGO", "")</f>
        <v>PAGO</v>
      </c>
    </row>
    <row r="902" spans="1:17" s="216" customFormat="1" ht="39.950000000000003" customHeight="1" x14ac:dyDescent="0.25">
      <c r="A902" s="231"/>
      <c r="B902" s="240">
        <v>961</v>
      </c>
      <c r="C902" s="241">
        <v>43614</v>
      </c>
      <c r="D902" s="242" t="s">
        <v>40</v>
      </c>
      <c r="E902" s="240" t="s">
        <v>13</v>
      </c>
      <c r="F902" s="240" t="s">
        <v>1491</v>
      </c>
      <c r="G902" s="240" t="s">
        <v>1492</v>
      </c>
      <c r="H902" s="240" t="s">
        <v>1197</v>
      </c>
      <c r="I902" s="243" t="s">
        <v>1493</v>
      </c>
      <c r="J902" s="243"/>
      <c r="K902" s="243"/>
      <c r="L902" s="240" t="s">
        <v>3</v>
      </c>
      <c r="M902" s="244">
        <v>1</v>
      </c>
      <c r="N902" s="245">
        <v>40</v>
      </c>
      <c r="O902" s="243">
        <v>40</v>
      </c>
      <c r="P902" s="243"/>
      <c r="Q902" s="180" t="str">
        <f>IF(PEDIDOS[[#This Row],[Valor do item pago]]=PEDIDOS[[#This Row],[Total Item ]],"PAGO", "")</f>
        <v/>
      </c>
    </row>
    <row r="903" spans="1:17" s="216" customFormat="1" ht="39.950000000000003" customHeight="1" x14ac:dyDescent="0.25">
      <c r="A903" s="231"/>
      <c r="B903" s="240">
        <v>961</v>
      </c>
      <c r="C903" s="241">
        <v>43614</v>
      </c>
      <c r="D903" s="242" t="s">
        <v>40</v>
      </c>
      <c r="E903" s="240" t="s">
        <v>13</v>
      </c>
      <c r="F903" s="240" t="s">
        <v>1491</v>
      </c>
      <c r="G903" s="240" t="s">
        <v>1492</v>
      </c>
      <c r="H903" s="240" t="s">
        <v>1197</v>
      </c>
      <c r="I903" s="243" t="s">
        <v>1493</v>
      </c>
      <c r="J903" s="243"/>
      <c r="K903" s="243"/>
      <c r="L903" s="240" t="s">
        <v>219</v>
      </c>
      <c r="M903" s="244">
        <v>1</v>
      </c>
      <c r="N903" s="245">
        <v>40</v>
      </c>
      <c r="O903" s="243">
        <v>40</v>
      </c>
      <c r="P903" s="243"/>
      <c r="Q903" s="180" t="str">
        <f>IF(PEDIDOS[[#This Row],[Valor do item pago]]=PEDIDOS[[#This Row],[Total Item ]],"PAGO", "")</f>
        <v/>
      </c>
    </row>
    <row r="904" spans="1:17" s="216" customFormat="1" ht="39.950000000000003" customHeight="1" x14ac:dyDescent="0.25">
      <c r="A904" s="231"/>
      <c r="B904" s="240">
        <v>960</v>
      </c>
      <c r="C904" s="241">
        <v>43614</v>
      </c>
      <c r="D904" s="242" t="s">
        <v>40</v>
      </c>
      <c r="E904" s="240" t="s">
        <v>1255</v>
      </c>
      <c r="F904" s="240" t="s">
        <v>1210</v>
      </c>
      <c r="G904" s="240">
        <v>0</v>
      </c>
      <c r="H904" s="240">
        <v>0</v>
      </c>
      <c r="I904" s="243"/>
      <c r="J904" s="243"/>
      <c r="K904" s="243"/>
      <c r="L904" s="240" t="s">
        <v>3</v>
      </c>
      <c r="M904" s="244">
        <v>2</v>
      </c>
      <c r="N904" s="245">
        <v>40</v>
      </c>
      <c r="O904" s="243">
        <v>80</v>
      </c>
      <c r="P904" s="243"/>
      <c r="Q904" s="180" t="str">
        <f>IF(PEDIDOS[[#This Row],[Valor do item pago]]=PEDIDOS[[#This Row],[Total Item ]],"PAGO", "")</f>
        <v/>
      </c>
    </row>
    <row r="905" spans="1:17" s="216" customFormat="1" ht="39.950000000000003" customHeight="1" x14ac:dyDescent="0.25">
      <c r="A905" s="231"/>
      <c r="B905" s="240">
        <v>959</v>
      </c>
      <c r="C905" s="241">
        <v>43614</v>
      </c>
      <c r="D905" s="242" t="s">
        <v>229</v>
      </c>
      <c r="E905" s="240" t="s">
        <v>229</v>
      </c>
      <c r="F905" s="240">
        <v>0</v>
      </c>
      <c r="G905" s="240">
        <v>0</v>
      </c>
      <c r="H905" s="240">
        <v>0</v>
      </c>
      <c r="I905" s="243"/>
      <c r="J905" s="243"/>
      <c r="K905" s="243" t="s">
        <v>229</v>
      </c>
      <c r="L905" s="240" t="s">
        <v>3</v>
      </c>
      <c r="M905" s="244">
        <v>2</v>
      </c>
      <c r="N905" s="245">
        <v>40</v>
      </c>
      <c r="O905" s="243">
        <v>80</v>
      </c>
      <c r="P905" s="243"/>
      <c r="Q905" s="180" t="str">
        <f>IF(PEDIDOS[[#This Row],[Valor do item pago]]=PEDIDOS[[#This Row],[Total Item ]],"PAGO", "")</f>
        <v/>
      </c>
    </row>
    <row r="906" spans="1:17" s="216" customFormat="1" ht="39.950000000000003" customHeight="1" x14ac:dyDescent="0.25">
      <c r="A906" s="231"/>
      <c r="B906" s="240">
        <v>959</v>
      </c>
      <c r="C906" s="241">
        <v>43614</v>
      </c>
      <c r="D906" s="242" t="s">
        <v>229</v>
      </c>
      <c r="E906" s="240" t="s">
        <v>229</v>
      </c>
      <c r="F906" s="240">
        <v>0</v>
      </c>
      <c r="G906" s="240">
        <v>0</v>
      </c>
      <c r="H906" s="240">
        <v>0</v>
      </c>
      <c r="I906" s="243"/>
      <c r="J906" s="243"/>
      <c r="K906" s="243" t="s">
        <v>229</v>
      </c>
      <c r="L906" s="240" t="s">
        <v>219</v>
      </c>
      <c r="M906" s="244">
        <v>1</v>
      </c>
      <c r="N906" s="245">
        <v>40</v>
      </c>
      <c r="O906" s="243">
        <v>40</v>
      </c>
      <c r="P906" s="243"/>
      <c r="Q906" s="180" t="str">
        <f>IF(PEDIDOS[[#This Row],[Valor do item pago]]=PEDIDOS[[#This Row],[Total Item ]],"PAGO", "")</f>
        <v/>
      </c>
    </row>
    <row r="907" spans="1:17" s="216" customFormat="1" ht="39.950000000000003" customHeight="1" x14ac:dyDescent="0.25">
      <c r="A907" s="231"/>
      <c r="B907" s="240">
        <v>959</v>
      </c>
      <c r="C907" s="241">
        <v>43614</v>
      </c>
      <c r="D907" s="242" t="s">
        <v>229</v>
      </c>
      <c r="E907" s="240" t="s">
        <v>229</v>
      </c>
      <c r="F907" s="240">
        <v>0</v>
      </c>
      <c r="G907" s="240">
        <v>0</v>
      </c>
      <c r="H907" s="240">
        <v>0</v>
      </c>
      <c r="I907" s="243"/>
      <c r="J907" s="243"/>
      <c r="K907" s="243" t="s">
        <v>229</v>
      </c>
      <c r="L907" s="240" t="s">
        <v>1</v>
      </c>
      <c r="M907" s="244">
        <v>2</v>
      </c>
      <c r="N907" s="245">
        <v>40</v>
      </c>
      <c r="O907" s="243">
        <v>80</v>
      </c>
      <c r="P907" s="243"/>
      <c r="Q907" s="180" t="str">
        <f>IF(PEDIDOS[[#This Row],[Valor do item pago]]=PEDIDOS[[#This Row],[Total Item ]],"PAGO", "")</f>
        <v/>
      </c>
    </row>
    <row r="908" spans="1:17" s="216" customFormat="1" ht="39.950000000000003" customHeight="1" x14ac:dyDescent="0.25">
      <c r="A908" s="231"/>
      <c r="B908" s="240">
        <v>958</v>
      </c>
      <c r="C908" s="241">
        <v>43614</v>
      </c>
      <c r="D908" s="242" t="s">
        <v>1134</v>
      </c>
      <c r="E908" s="240" t="s">
        <v>1285</v>
      </c>
      <c r="F908" s="240" t="s">
        <v>641</v>
      </c>
      <c r="G908" s="240" t="s">
        <v>633</v>
      </c>
      <c r="H908" s="240" t="s">
        <v>461</v>
      </c>
      <c r="I908" s="243" t="s">
        <v>656</v>
      </c>
      <c r="J908" s="243" t="s">
        <v>1510</v>
      </c>
      <c r="K908" s="243" t="s">
        <v>1134</v>
      </c>
      <c r="L908" s="240" t="s">
        <v>3</v>
      </c>
      <c r="M908" s="244">
        <v>1</v>
      </c>
      <c r="N908" s="245">
        <v>40</v>
      </c>
      <c r="O908" s="243">
        <v>40</v>
      </c>
      <c r="P908" s="243"/>
      <c r="Q908" s="180" t="str">
        <f>IF(PEDIDOS[[#This Row],[Valor do item pago]]=PEDIDOS[[#This Row],[Total Item ]],"PAGO", "")</f>
        <v/>
      </c>
    </row>
    <row r="909" spans="1:17" s="216" customFormat="1" ht="39.950000000000003" customHeight="1" x14ac:dyDescent="0.25">
      <c r="A909" s="231"/>
      <c r="B909" s="240">
        <v>958</v>
      </c>
      <c r="C909" s="241">
        <v>43614</v>
      </c>
      <c r="D909" s="242" t="s">
        <v>1134</v>
      </c>
      <c r="E909" s="240" t="s">
        <v>1285</v>
      </c>
      <c r="F909" s="240" t="s">
        <v>641</v>
      </c>
      <c r="G909" s="240" t="s">
        <v>633</v>
      </c>
      <c r="H909" s="240" t="s">
        <v>461</v>
      </c>
      <c r="I909" s="243" t="s">
        <v>656</v>
      </c>
      <c r="J909" s="243" t="s">
        <v>1510</v>
      </c>
      <c r="K909" s="243" t="s">
        <v>1134</v>
      </c>
      <c r="L909" s="240" t="s">
        <v>0</v>
      </c>
      <c r="M909" s="244">
        <v>1</v>
      </c>
      <c r="N909" s="245">
        <v>40</v>
      </c>
      <c r="O909" s="243">
        <v>40</v>
      </c>
      <c r="P909" s="243"/>
      <c r="Q909" s="180" t="str">
        <f>IF(PEDIDOS[[#This Row],[Valor do item pago]]=PEDIDOS[[#This Row],[Total Item ]],"PAGO", "")</f>
        <v/>
      </c>
    </row>
    <row r="910" spans="1:17" s="216" customFormat="1" ht="39.950000000000003" customHeight="1" x14ac:dyDescent="0.25">
      <c r="A910" s="231"/>
      <c r="B910" s="240">
        <v>957</v>
      </c>
      <c r="C910" s="241">
        <v>43614</v>
      </c>
      <c r="D910" s="242" t="s">
        <v>1134</v>
      </c>
      <c r="E910" s="240" t="s">
        <v>1371</v>
      </c>
      <c r="F910" s="240" t="s">
        <v>1108</v>
      </c>
      <c r="G910" s="240">
        <v>0</v>
      </c>
      <c r="H910" s="240" t="s">
        <v>40</v>
      </c>
      <c r="I910" s="243"/>
      <c r="J910" s="243"/>
      <c r="K910" s="243" t="s">
        <v>40</v>
      </c>
      <c r="L910" s="240" t="s">
        <v>219</v>
      </c>
      <c r="M910" s="244">
        <v>1</v>
      </c>
      <c r="N910" s="245">
        <v>40</v>
      </c>
      <c r="O910" s="243">
        <v>40</v>
      </c>
      <c r="P910" s="243"/>
      <c r="Q910" s="180" t="str">
        <f>IF(PEDIDOS[[#This Row],[Valor do item pago]]=PEDIDOS[[#This Row],[Total Item ]],"PAGO", "")</f>
        <v/>
      </c>
    </row>
    <row r="911" spans="1:17" s="216" customFormat="1" ht="39.950000000000003" customHeight="1" x14ac:dyDescent="0.25">
      <c r="A911" s="231"/>
      <c r="B911" s="240">
        <v>956</v>
      </c>
      <c r="C911" s="241">
        <v>43614</v>
      </c>
      <c r="D911" s="242" t="s">
        <v>1134</v>
      </c>
      <c r="E911" s="240" t="s">
        <v>1507</v>
      </c>
      <c r="F911" s="240" t="s">
        <v>1508</v>
      </c>
      <c r="G911" s="240" t="s">
        <v>1509</v>
      </c>
      <c r="H911" s="240" t="s">
        <v>112</v>
      </c>
      <c r="I911" s="243" t="s">
        <v>435</v>
      </c>
      <c r="J911" s="243"/>
      <c r="K911" s="243"/>
      <c r="L911" s="240" t="s">
        <v>1</v>
      </c>
      <c r="M911" s="244">
        <v>1</v>
      </c>
      <c r="N911" s="245">
        <v>40</v>
      </c>
      <c r="O911" s="243">
        <v>40</v>
      </c>
      <c r="P911" s="243"/>
      <c r="Q911" s="180" t="str">
        <f>IF(PEDIDOS[[#This Row],[Valor do item pago]]=PEDIDOS[[#This Row],[Total Item ]],"PAGO", "")</f>
        <v/>
      </c>
    </row>
    <row r="912" spans="1:17" s="216" customFormat="1" ht="39.950000000000003" customHeight="1" x14ac:dyDescent="0.25">
      <c r="A912" s="231"/>
      <c r="B912" s="240">
        <v>955</v>
      </c>
      <c r="C912" s="241">
        <v>43614</v>
      </c>
      <c r="D912" s="242" t="s">
        <v>966</v>
      </c>
      <c r="E912" s="240" t="s">
        <v>966</v>
      </c>
      <c r="F912" s="240" t="s">
        <v>1073</v>
      </c>
      <c r="G912" s="240">
        <v>0</v>
      </c>
      <c r="H912" s="240" t="s">
        <v>40</v>
      </c>
      <c r="I912" s="243"/>
      <c r="J912" s="243"/>
      <c r="K912" s="243"/>
      <c r="L912" s="240" t="s">
        <v>3</v>
      </c>
      <c r="M912" s="244">
        <v>1</v>
      </c>
      <c r="N912" s="245">
        <v>40</v>
      </c>
      <c r="O912" s="243">
        <v>40</v>
      </c>
      <c r="P912" s="243"/>
      <c r="Q912" s="180" t="str">
        <f>IF(PEDIDOS[[#This Row],[Valor do item pago]]=PEDIDOS[[#This Row],[Total Item ]],"PAGO", "")</f>
        <v/>
      </c>
    </row>
    <row r="913" spans="1:17" s="216" customFormat="1" ht="39.950000000000003" customHeight="1" x14ac:dyDescent="0.25">
      <c r="A913" s="231"/>
      <c r="B913" s="240">
        <v>955</v>
      </c>
      <c r="C913" s="241">
        <v>43614</v>
      </c>
      <c r="D913" s="242" t="s">
        <v>966</v>
      </c>
      <c r="E913" s="240" t="s">
        <v>966</v>
      </c>
      <c r="F913" s="240" t="s">
        <v>1073</v>
      </c>
      <c r="G913" s="240">
        <v>0</v>
      </c>
      <c r="H913" s="240" t="s">
        <v>40</v>
      </c>
      <c r="I913" s="243"/>
      <c r="J913" s="243"/>
      <c r="K913" s="243"/>
      <c r="L913" s="240" t="s">
        <v>219</v>
      </c>
      <c r="M913" s="244">
        <v>1</v>
      </c>
      <c r="N913" s="245">
        <v>40</v>
      </c>
      <c r="O913" s="243">
        <v>40</v>
      </c>
      <c r="P913" s="243"/>
      <c r="Q913" s="180" t="str">
        <f>IF(PEDIDOS[[#This Row],[Valor do item pago]]=PEDIDOS[[#This Row],[Total Item ]],"PAGO", "")</f>
        <v/>
      </c>
    </row>
    <row r="914" spans="1:17" s="216" customFormat="1" ht="39.950000000000003" customHeight="1" x14ac:dyDescent="0.25">
      <c r="A914" s="231"/>
      <c r="B914" s="240">
        <v>955</v>
      </c>
      <c r="C914" s="241">
        <v>43614</v>
      </c>
      <c r="D914" s="242" t="s">
        <v>966</v>
      </c>
      <c r="E914" s="240" t="s">
        <v>966</v>
      </c>
      <c r="F914" s="240" t="s">
        <v>1073</v>
      </c>
      <c r="G914" s="240">
        <v>0</v>
      </c>
      <c r="H914" s="240" t="s">
        <v>40</v>
      </c>
      <c r="I914" s="243"/>
      <c r="J914" s="243"/>
      <c r="K914" s="243"/>
      <c r="L914" s="240" t="s">
        <v>1</v>
      </c>
      <c r="M914" s="244">
        <v>1</v>
      </c>
      <c r="N914" s="245">
        <v>40</v>
      </c>
      <c r="O914" s="243">
        <v>40</v>
      </c>
      <c r="P914" s="243"/>
      <c r="Q914" s="180" t="str">
        <f>IF(PEDIDOS[[#This Row],[Valor do item pago]]=PEDIDOS[[#This Row],[Total Item ]],"PAGO", "")</f>
        <v/>
      </c>
    </row>
    <row r="915" spans="1:17" s="216" customFormat="1" ht="39.950000000000003" customHeight="1" x14ac:dyDescent="0.25">
      <c r="A915" s="231"/>
      <c r="B915" s="240">
        <v>955</v>
      </c>
      <c r="C915" s="241">
        <v>43614</v>
      </c>
      <c r="D915" s="242" t="s">
        <v>966</v>
      </c>
      <c r="E915" s="240" t="s">
        <v>966</v>
      </c>
      <c r="F915" s="240" t="s">
        <v>1073</v>
      </c>
      <c r="G915" s="240">
        <v>0</v>
      </c>
      <c r="H915" s="240" t="s">
        <v>40</v>
      </c>
      <c r="I915" s="243"/>
      <c r="J915" s="243"/>
      <c r="K915" s="243"/>
      <c r="L915" s="240" t="s">
        <v>0</v>
      </c>
      <c r="M915" s="244">
        <v>1</v>
      </c>
      <c r="N915" s="245">
        <v>40</v>
      </c>
      <c r="O915" s="243">
        <v>40</v>
      </c>
      <c r="P915" s="243"/>
      <c r="Q915" s="180" t="str">
        <f>IF(PEDIDOS[[#This Row],[Valor do item pago]]=PEDIDOS[[#This Row],[Total Item ]],"PAGO", "")</f>
        <v/>
      </c>
    </row>
    <row r="916" spans="1:17" s="216" customFormat="1" ht="39.950000000000003" customHeight="1" x14ac:dyDescent="0.25">
      <c r="A916" s="231"/>
      <c r="B916" s="240">
        <v>954</v>
      </c>
      <c r="C916" s="241">
        <v>43614</v>
      </c>
      <c r="D916" s="242" t="s">
        <v>411</v>
      </c>
      <c r="E916" s="240" t="s">
        <v>35</v>
      </c>
      <c r="F916" s="240">
        <v>0</v>
      </c>
      <c r="G916" s="240" t="s">
        <v>1386</v>
      </c>
      <c r="H916" s="240">
        <v>0</v>
      </c>
      <c r="I916" s="243"/>
      <c r="J916" s="243"/>
      <c r="K916" s="243"/>
      <c r="L916" s="240" t="s">
        <v>219</v>
      </c>
      <c r="M916" s="244">
        <v>1</v>
      </c>
      <c r="N916" s="245">
        <v>40</v>
      </c>
      <c r="O916" s="243">
        <v>40</v>
      </c>
      <c r="P916" s="243"/>
      <c r="Q916" s="180" t="str">
        <f>IF(PEDIDOS[[#This Row],[Valor do item pago]]=PEDIDOS[[#This Row],[Total Item ]],"PAGO", "")</f>
        <v/>
      </c>
    </row>
    <row r="917" spans="1:17" s="216" customFormat="1" ht="39.950000000000003" customHeight="1" x14ac:dyDescent="0.25">
      <c r="A917" s="231"/>
      <c r="B917" s="240">
        <v>953</v>
      </c>
      <c r="C917" s="241">
        <v>43614</v>
      </c>
      <c r="D917" s="242" t="s">
        <v>411</v>
      </c>
      <c r="E917" s="240" t="s">
        <v>1451</v>
      </c>
      <c r="F917" s="240" t="s">
        <v>627</v>
      </c>
      <c r="G917" s="240" t="s">
        <v>1190</v>
      </c>
      <c r="H917" s="240" t="s">
        <v>1450</v>
      </c>
      <c r="I917" s="243" t="s">
        <v>1182</v>
      </c>
      <c r="J917" s="243"/>
      <c r="K917" s="243"/>
      <c r="L917" s="240" t="s">
        <v>219</v>
      </c>
      <c r="M917" s="244">
        <v>1</v>
      </c>
      <c r="N917" s="245">
        <v>40</v>
      </c>
      <c r="O917" s="243">
        <v>40</v>
      </c>
      <c r="P917" s="243"/>
      <c r="Q917" s="180" t="str">
        <f>IF(PEDIDOS[[#This Row],[Valor do item pago]]=PEDIDOS[[#This Row],[Total Item ]],"PAGO", "")</f>
        <v/>
      </c>
    </row>
    <row r="918" spans="1:17" s="216" customFormat="1" ht="39.950000000000003" customHeight="1" x14ac:dyDescent="0.25">
      <c r="A918" s="231"/>
      <c r="B918" s="240">
        <v>953</v>
      </c>
      <c r="C918" s="241">
        <v>43614</v>
      </c>
      <c r="D918" s="242" t="s">
        <v>411</v>
      </c>
      <c r="E918" s="240" t="s">
        <v>1451</v>
      </c>
      <c r="F918" s="240" t="s">
        <v>627</v>
      </c>
      <c r="G918" s="240" t="s">
        <v>1190</v>
      </c>
      <c r="H918" s="240" t="s">
        <v>1450</v>
      </c>
      <c r="I918" s="243" t="s">
        <v>1182</v>
      </c>
      <c r="J918" s="243"/>
      <c r="K918" s="243"/>
      <c r="L918" s="240" t="s">
        <v>1</v>
      </c>
      <c r="M918" s="244">
        <v>1</v>
      </c>
      <c r="N918" s="245">
        <v>40</v>
      </c>
      <c r="O918" s="243">
        <v>40</v>
      </c>
      <c r="P918" s="243"/>
      <c r="Q918" s="180" t="str">
        <f>IF(PEDIDOS[[#This Row],[Valor do item pago]]=PEDIDOS[[#This Row],[Total Item ]],"PAGO", "")</f>
        <v/>
      </c>
    </row>
    <row r="919" spans="1:17" s="216" customFormat="1" ht="39.950000000000003" customHeight="1" x14ac:dyDescent="0.25">
      <c r="A919" s="231"/>
      <c r="B919" s="240">
        <v>952</v>
      </c>
      <c r="C919" s="241">
        <v>43614</v>
      </c>
      <c r="D919" s="242" t="s">
        <v>411</v>
      </c>
      <c r="E919" s="240" t="s">
        <v>1496</v>
      </c>
      <c r="F919" s="240" t="s">
        <v>1497</v>
      </c>
      <c r="G919" s="240" t="s">
        <v>1505</v>
      </c>
      <c r="H919" s="240" t="s">
        <v>1450</v>
      </c>
      <c r="I919" s="243" t="s">
        <v>1504</v>
      </c>
      <c r="J919" s="243"/>
      <c r="K919" s="243"/>
      <c r="L919" s="240" t="s">
        <v>219</v>
      </c>
      <c r="M919" s="244">
        <v>1</v>
      </c>
      <c r="N919" s="245">
        <v>40</v>
      </c>
      <c r="O919" s="243">
        <v>40</v>
      </c>
      <c r="P919" s="243"/>
      <c r="Q919" s="180" t="str">
        <f>IF(PEDIDOS[[#This Row],[Valor do item pago]]=PEDIDOS[[#This Row],[Total Item ]],"PAGO", "")</f>
        <v/>
      </c>
    </row>
    <row r="920" spans="1:17" s="216" customFormat="1" ht="39.950000000000003" customHeight="1" x14ac:dyDescent="0.25">
      <c r="A920" s="231"/>
      <c r="B920" s="240">
        <v>951</v>
      </c>
      <c r="C920" s="241">
        <v>43614</v>
      </c>
      <c r="D920" s="242" t="s">
        <v>411</v>
      </c>
      <c r="E920" s="240" t="s">
        <v>1461</v>
      </c>
      <c r="F920" s="240" t="s">
        <v>1180</v>
      </c>
      <c r="G920" s="240" t="s">
        <v>1276</v>
      </c>
      <c r="H920" s="240" t="s">
        <v>398</v>
      </c>
      <c r="I920" s="243" t="s">
        <v>1181</v>
      </c>
      <c r="J920" s="243"/>
      <c r="K920" s="243"/>
      <c r="L920" s="240" t="s">
        <v>1</v>
      </c>
      <c r="M920" s="244">
        <v>1</v>
      </c>
      <c r="N920" s="245">
        <v>40</v>
      </c>
      <c r="O920" s="243">
        <v>40</v>
      </c>
      <c r="P920" s="243"/>
      <c r="Q920" s="180" t="str">
        <f>IF(PEDIDOS[[#This Row],[Valor do item pago]]=PEDIDOS[[#This Row],[Total Item ]],"PAGO", "")</f>
        <v/>
      </c>
    </row>
    <row r="921" spans="1:17" s="216" customFormat="1" ht="39.950000000000003" customHeight="1" x14ac:dyDescent="0.25">
      <c r="A921" s="231"/>
      <c r="B921" s="240">
        <v>950</v>
      </c>
      <c r="C921" s="241">
        <v>43614</v>
      </c>
      <c r="D921" s="242" t="s">
        <v>411</v>
      </c>
      <c r="E921" s="240" t="s">
        <v>25</v>
      </c>
      <c r="F921" s="240" t="s">
        <v>1222</v>
      </c>
      <c r="G921" s="240" t="s">
        <v>1411</v>
      </c>
      <c r="H921" s="240" t="s">
        <v>406</v>
      </c>
      <c r="I921" s="243" t="s">
        <v>329</v>
      </c>
      <c r="J921" s="243" t="s">
        <v>1460</v>
      </c>
      <c r="K921" s="243"/>
      <c r="L921" s="240" t="s">
        <v>219</v>
      </c>
      <c r="M921" s="244">
        <v>5</v>
      </c>
      <c r="N921" s="245">
        <v>40</v>
      </c>
      <c r="O921" s="243">
        <v>200</v>
      </c>
      <c r="P921" s="243"/>
      <c r="Q921" s="180" t="str">
        <f>IF(PEDIDOS[[#This Row],[Valor do item pago]]=PEDIDOS[[#This Row],[Total Item ]],"PAGO", "")</f>
        <v/>
      </c>
    </row>
    <row r="922" spans="1:17" s="216" customFormat="1" ht="39.950000000000003" customHeight="1" x14ac:dyDescent="0.25">
      <c r="A922" s="231"/>
      <c r="B922" s="240">
        <v>949</v>
      </c>
      <c r="C922" s="241">
        <v>43614</v>
      </c>
      <c r="D922" s="242" t="s">
        <v>34</v>
      </c>
      <c r="E922" s="240" t="s">
        <v>1316</v>
      </c>
      <c r="F922" s="240" t="s">
        <v>717</v>
      </c>
      <c r="G922" s="240" t="s">
        <v>1394</v>
      </c>
      <c r="H922" s="240" t="s">
        <v>112</v>
      </c>
      <c r="I922" s="243" t="s">
        <v>720</v>
      </c>
      <c r="J922" s="243"/>
      <c r="K922" s="243"/>
      <c r="L922" s="240" t="s">
        <v>3</v>
      </c>
      <c r="M922" s="244">
        <v>3</v>
      </c>
      <c r="N922" s="245">
        <v>40</v>
      </c>
      <c r="O922" s="243">
        <v>120</v>
      </c>
      <c r="P922" s="243"/>
      <c r="Q922" s="180" t="str">
        <f>IF(PEDIDOS[[#This Row],[Valor do item pago]]=PEDIDOS[[#This Row],[Total Item ]],"PAGO", "")</f>
        <v/>
      </c>
    </row>
    <row r="923" spans="1:17" s="216" customFormat="1" ht="39.950000000000003" customHeight="1" x14ac:dyDescent="0.25">
      <c r="A923" s="231"/>
      <c r="B923" s="240">
        <v>948</v>
      </c>
      <c r="C923" s="241">
        <v>43614</v>
      </c>
      <c r="D923" s="242" t="s">
        <v>916</v>
      </c>
      <c r="E923" s="240" t="s">
        <v>732</v>
      </c>
      <c r="F923" s="240" t="s">
        <v>733</v>
      </c>
      <c r="G923" s="240">
        <v>0</v>
      </c>
      <c r="H923" s="240" t="s">
        <v>40</v>
      </c>
      <c r="I923" s="243"/>
      <c r="J923" s="243"/>
      <c r="K923" s="243"/>
      <c r="L923" s="240" t="s">
        <v>1</v>
      </c>
      <c r="M923" s="244">
        <v>1</v>
      </c>
      <c r="N923" s="245">
        <v>40</v>
      </c>
      <c r="O923" s="243">
        <v>40</v>
      </c>
      <c r="P923" s="243"/>
      <c r="Q923" s="180" t="str">
        <f>IF(PEDIDOS[[#This Row],[Valor do item pago]]=PEDIDOS[[#This Row],[Total Item ]],"PAGO", "")</f>
        <v/>
      </c>
    </row>
    <row r="924" spans="1:17" s="216" customFormat="1" ht="39.950000000000003" customHeight="1" x14ac:dyDescent="0.25">
      <c r="A924" s="231"/>
      <c r="B924" s="240">
        <v>948</v>
      </c>
      <c r="C924" s="241">
        <v>43614</v>
      </c>
      <c r="D924" s="242" t="s">
        <v>916</v>
      </c>
      <c r="E924" s="240" t="s">
        <v>732</v>
      </c>
      <c r="F924" s="240" t="s">
        <v>733</v>
      </c>
      <c r="G924" s="240">
        <v>0</v>
      </c>
      <c r="H924" s="240" t="s">
        <v>40</v>
      </c>
      <c r="I924" s="243"/>
      <c r="J924" s="243"/>
      <c r="K924" s="243"/>
      <c r="L924" s="240" t="s">
        <v>0</v>
      </c>
      <c r="M924" s="244">
        <v>1</v>
      </c>
      <c r="N924" s="245">
        <v>40</v>
      </c>
      <c r="O924" s="243">
        <v>40</v>
      </c>
      <c r="P924" s="243"/>
      <c r="Q924" s="180" t="str">
        <f>IF(PEDIDOS[[#This Row],[Valor do item pago]]=PEDIDOS[[#This Row],[Total Item ]],"PAGO", "")</f>
        <v/>
      </c>
    </row>
    <row r="925" spans="1:17" s="216" customFormat="1" ht="39.950000000000003" customHeight="1" x14ac:dyDescent="0.25">
      <c r="A925" s="231"/>
      <c r="B925" s="240">
        <v>946</v>
      </c>
      <c r="C925" s="241">
        <v>43614</v>
      </c>
      <c r="D925" s="242" t="s">
        <v>24</v>
      </c>
      <c r="E925" s="240" t="s">
        <v>23</v>
      </c>
      <c r="F925" s="240">
        <v>0</v>
      </c>
      <c r="G925" s="240">
        <v>0</v>
      </c>
      <c r="H925" s="240">
        <v>0</v>
      </c>
      <c r="I925" s="243"/>
      <c r="J925" s="243"/>
      <c r="K925" s="243"/>
      <c r="L925" s="240" t="s">
        <v>219</v>
      </c>
      <c r="M925" s="244">
        <v>2</v>
      </c>
      <c r="N925" s="245">
        <v>40</v>
      </c>
      <c r="O925" s="243">
        <v>80</v>
      </c>
      <c r="P925" s="243"/>
      <c r="Q925" s="180" t="str">
        <f>IF(PEDIDOS[[#This Row],[Valor do item pago]]=PEDIDOS[[#This Row],[Total Item ]],"PAGO", "")</f>
        <v/>
      </c>
    </row>
    <row r="926" spans="1:17" s="216" customFormat="1" ht="39.950000000000003" customHeight="1" x14ac:dyDescent="0.25">
      <c r="A926" s="231"/>
      <c r="B926" s="240">
        <v>945</v>
      </c>
      <c r="C926" s="241">
        <v>43614</v>
      </c>
      <c r="D926" s="242" t="s">
        <v>24</v>
      </c>
      <c r="E926" s="240" t="s">
        <v>25</v>
      </c>
      <c r="F926" s="240" t="s">
        <v>1222</v>
      </c>
      <c r="G926" s="240" t="s">
        <v>1411</v>
      </c>
      <c r="H926" s="240" t="s">
        <v>406</v>
      </c>
      <c r="I926" s="243" t="s">
        <v>329</v>
      </c>
      <c r="J926" s="243"/>
      <c r="K926" s="243"/>
      <c r="L926" s="240" t="s">
        <v>219</v>
      </c>
      <c r="M926" s="244">
        <v>1</v>
      </c>
      <c r="N926" s="245">
        <v>40</v>
      </c>
      <c r="O926" s="243">
        <v>40</v>
      </c>
      <c r="P926" s="243"/>
      <c r="Q926" s="180" t="str">
        <f>IF(PEDIDOS[[#This Row],[Valor do item pago]]=PEDIDOS[[#This Row],[Total Item ]],"PAGO", "")</f>
        <v/>
      </c>
    </row>
    <row r="927" spans="1:17" s="216" customFormat="1" ht="39.950000000000003" customHeight="1" x14ac:dyDescent="0.25">
      <c r="A927" s="231"/>
      <c r="B927" s="240">
        <v>944</v>
      </c>
      <c r="C927" s="241">
        <v>43587</v>
      </c>
      <c r="D927" s="242" t="s">
        <v>24</v>
      </c>
      <c r="E927" s="240" t="s">
        <v>1489</v>
      </c>
      <c r="F927" s="240">
        <v>0</v>
      </c>
      <c r="G927" s="240">
        <v>0</v>
      </c>
      <c r="H927" s="240">
        <v>0</v>
      </c>
      <c r="I927" s="243"/>
      <c r="J927" s="243"/>
      <c r="K927" s="243" t="s">
        <v>1506</v>
      </c>
      <c r="L927" s="240" t="s">
        <v>3</v>
      </c>
      <c r="M927" s="244">
        <v>1</v>
      </c>
      <c r="N927" s="245">
        <v>40</v>
      </c>
      <c r="O927" s="243">
        <v>40</v>
      </c>
      <c r="P927" s="243"/>
      <c r="Q927" s="180" t="str">
        <f>IF(PEDIDOS[[#This Row],[Valor do item pago]]=PEDIDOS[[#This Row],[Total Item ]],"PAGO", "")</f>
        <v/>
      </c>
    </row>
    <row r="928" spans="1:17" s="216" customFormat="1" ht="39.950000000000003" customHeight="1" x14ac:dyDescent="0.25">
      <c r="A928" s="231"/>
      <c r="B928" s="240">
        <v>944</v>
      </c>
      <c r="C928" s="241">
        <v>43587</v>
      </c>
      <c r="D928" s="242" t="s">
        <v>24</v>
      </c>
      <c r="E928" s="240" t="s">
        <v>1489</v>
      </c>
      <c r="F928" s="240">
        <v>0</v>
      </c>
      <c r="G928" s="240">
        <v>0</v>
      </c>
      <c r="H928" s="240">
        <v>0</v>
      </c>
      <c r="I928" s="243"/>
      <c r="J928" s="243"/>
      <c r="K928" s="243" t="s">
        <v>1506</v>
      </c>
      <c r="L928" s="240" t="s">
        <v>1</v>
      </c>
      <c r="M928" s="244">
        <v>1</v>
      </c>
      <c r="N928" s="245">
        <v>40</v>
      </c>
      <c r="O928" s="243">
        <v>40</v>
      </c>
      <c r="P928" s="243"/>
      <c r="Q928" s="180" t="str">
        <f>IF(PEDIDOS[[#This Row],[Valor do item pago]]=PEDIDOS[[#This Row],[Total Item ]],"PAGO", "")</f>
        <v/>
      </c>
    </row>
    <row r="929" spans="1:17" s="216" customFormat="1" ht="39.950000000000003" customHeight="1" x14ac:dyDescent="0.25">
      <c r="A929" s="231"/>
      <c r="B929" s="240">
        <v>944</v>
      </c>
      <c r="C929" s="241">
        <v>43587</v>
      </c>
      <c r="D929" s="242" t="s">
        <v>24</v>
      </c>
      <c r="E929" s="240" t="s">
        <v>1489</v>
      </c>
      <c r="F929" s="240">
        <v>0</v>
      </c>
      <c r="G929" s="240">
        <v>0</v>
      </c>
      <c r="H929" s="240">
        <v>0</v>
      </c>
      <c r="I929" s="243"/>
      <c r="J929" s="243"/>
      <c r="K929" s="243" t="s">
        <v>1506</v>
      </c>
      <c r="L929" s="240" t="s">
        <v>0</v>
      </c>
      <c r="M929" s="244">
        <v>1</v>
      </c>
      <c r="N929" s="245">
        <v>40</v>
      </c>
      <c r="O929" s="243">
        <v>40</v>
      </c>
      <c r="P929" s="243"/>
      <c r="Q929" s="180" t="str">
        <f>IF(PEDIDOS[[#This Row],[Valor do item pago]]=PEDIDOS[[#This Row],[Total Item ]],"PAGO", "")</f>
        <v/>
      </c>
    </row>
    <row r="930" spans="1:17" s="216" customFormat="1" ht="39.950000000000003" customHeight="1" x14ac:dyDescent="0.25">
      <c r="A930" s="231"/>
      <c r="B930" s="240">
        <v>943</v>
      </c>
      <c r="C930" s="241">
        <v>43587</v>
      </c>
      <c r="D930" s="242" t="s">
        <v>231</v>
      </c>
      <c r="E930" s="240" t="s">
        <v>381</v>
      </c>
      <c r="F930" s="240">
        <v>0</v>
      </c>
      <c r="G930" s="240">
        <v>0</v>
      </c>
      <c r="H930" s="240">
        <v>0</v>
      </c>
      <c r="I930" s="243"/>
      <c r="J930" s="243"/>
      <c r="K930" s="243"/>
      <c r="L930" s="240" t="s">
        <v>1</v>
      </c>
      <c r="M930" s="244">
        <v>1</v>
      </c>
      <c r="N930" s="245">
        <v>40</v>
      </c>
      <c r="O930" s="243">
        <v>40</v>
      </c>
      <c r="P930" s="243">
        <v>40</v>
      </c>
      <c r="Q930" s="180" t="str">
        <f>IF(PEDIDOS[[#This Row],[Valor do item pago]]=PEDIDOS[[#This Row],[Total Item ]],"PAGO", "")</f>
        <v>PAGO</v>
      </c>
    </row>
    <row r="931" spans="1:17" s="216" customFormat="1" ht="39.950000000000003" customHeight="1" x14ac:dyDescent="0.25">
      <c r="A931" s="231"/>
      <c r="B931" s="240">
        <v>942</v>
      </c>
      <c r="C931" s="241">
        <v>43587</v>
      </c>
      <c r="D931" s="242" t="s">
        <v>231</v>
      </c>
      <c r="E931" s="240" t="s">
        <v>345</v>
      </c>
      <c r="F931" s="240" t="s">
        <v>1216</v>
      </c>
      <c r="G931" s="240">
        <v>0</v>
      </c>
      <c r="H931" s="240">
        <v>0</v>
      </c>
      <c r="I931" s="243"/>
      <c r="J931" s="243"/>
      <c r="K931" s="243" t="s">
        <v>231</v>
      </c>
      <c r="L931" s="240" t="s">
        <v>219</v>
      </c>
      <c r="M931" s="244">
        <v>1</v>
      </c>
      <c r="N931" s="245">
        <v>40</v>
      </c>
      <c r="O931" s="243">
        <v>40</v>
      </c>
      <c r="P931" s="243">
        <v>40</v>
      </c>
      <c r="Q931" s="180" t="str">
        <f>IF(PEDIDOS[[#This Row],[Valor do item pago]]=PEDIDOS[[#This Row],[Total Item ]],"PAGO", "")</f>
        <v>PAGO</v>
      </c>
    </row>
    <row r="932" spans="1:17" s="216" customFormat="1" ht="39.950000000000003" customHeight="1" x14ac:dyDescent="0.25">
      <c r="A932" s="231"/>
      <c r="B932" s="240">
        <v>942</v>
      </c>
      <c r="C932" s="241">
        <v>43587</v>
      </c>
      <c r="D932" s="242" t="s">
        <v>231</v>
      </c>
      <c r="E932" s="240" t="s">
        <v>345</v>
      </c>
      <c r="F932" s="240" t="s">
        <v>1216</v>
      </c>
      <c r="G932" s="240">
        <v>0</v>
      </c>
      <c r="H932" s="240">
        <v>0</v>
      </c>
      <c r="I932" s="243"/>
      <c r="J932" s="243"/>
      <c r="K932" s="243" t="s">
        <v>231</v>
      </c>
      <c r="L932" s="240" t="s">
        <v>0</v>
      </c>
      <c r="M932" s="244">
        <v>1</v>
      </c>
      <c r="N932" s="245">
        <v>40</v>
      </c>
      <c r="O932" s="243">
        <v>40</v>
      </c>
      <c r="P932" s="243">
        <v>40</v>
      </c>
      <c r="Q932" s="180" t="str">
        <f>IF(PEDIDOS[[#This Row],[Valor do item pago]]=PEDIDOS[[#This Row],[Total Item ]],"PAGO", "")</f>
        <v>PAGO</v>
      </c>
    </row>
    <row r="933" spans="1:17" s="216" customFormat="1" ht="39.950000000000003" customHeight="1" x14ac:dyDescent="0.25">
      <c r="A933" s="231"/>
      <c r="B933" s="240">
        <v>941</v>
      </c>
      <c r="C933" s="241">
        <v>43587</v>
      </c>
      <c r="D933" s="242" t="s">
        <v>231</v>
      </c>
      <c r="E933" s="240" t="s">
        <v>362</v>
      </c>
      <c r="F933" s="240">
        <v>0</v>
      </c>
      <c r="G933" s="240" t="s">
        <v>1381</v>
      </c>
      <c r="H933" s="240" t="s">
        <v>398</v>
      </c>
      <c r="I933" s="243" t="s">
        <v>431</v>
      </c>
      <c r="J933" s="243"/>
      <c r="K933" s="243" t="s">
        <v>40</v>
      </c>
      <c r="L933" s="240" t="s">
        <v>219</v>
      </c>
      <c r="M933" s="244">
        <v>1</v>
      </c>
      <c r="N933" s="245">
        <v>40</v>
      </c>
      <c r="O933" s="243">
        <v>40</v>
      </c>
      <c r="P933" s="243"/>
      <c r="Q933" s="180" t="str">
        <f>IF(PEDIDOS[[#This Row],[Valor do item pago]]=PEDIDOS[[#This Row],[Total Item ]],"PAGO", "")</f>
        <v/>
      </c>
    </row>
    <row r="934" spans="1:17" s="216" customFormat="1" ht="39.950000000000003" customHeight="1" x14ac:dyDescent="0.25">
      <c r="A934" s="231"/>
      <c r="B934" s="240">
        <v>940</v>
      </c>
      <c r="C934" s="241">
        <v>43587</v>
      </c>
      <c r="D934" s="242" t="s">
        <v>231</v>
      </c>
      <c r="E934" s="240" t="s">
        <v>90</v>
      </c>
      <c r="F934" s="240" t="s">
        <v>806</v>
      </c>
      <c r="G934" s="240">
        <v>0</v>
      </c>
      <c r="H934" s="240" t="s">
        <v>40</v>
      </c>
      <c r="I934" s="243"/>
      <c r="J934" s="243"/>
      <c r="K934" s="243" t="s">
        <v>90</v>
      </c>
      <c r="L934" s="240" t="s">
        <v>219</v>
      </c>
      <c r="M934" s="244">
        <v>2</v>
      </c>
      <c r="N934" s="245">
        <v>40</v>
      </c>
      <c r="O934" s="243">
        <v>80</v>
      </c>
      <c r="P934" s="243"/>
      <c r="Q934" s="180" t="str">
        <f>IF(PEDIDOS[[#This Row],[Valor do item pago]]=PEDIDOS[[#This Row],[Total Item ]],"PAGO", "")</f>
        <v/>
      </c>
    </row>
    <row r="935" spans="1:17" s="216" customFormat="1" ht="39.950000000000003" customHeight="1" x14ac:dyDescent="0.25">
      <c r="A935" s="231"/>
      <c r="B935" s="240">
        <v>939</v>
      </c>
      <c r="C935" s="241">
        <v>43587</v>
      </c>
      <c r="D935" s="242" t="s">
        <v>231</v>
      </c>
      <c r="E935" s="240" t="s">
        <v>356</v>
      </c>
      <c r="F935" s="240" t="s">
        <v>700</v>
      </c>
      <c r="G935" s="240" t="s">
        <v>1377</v>
      </c>
      <c r="H935" s="240" t="s">
        <v>1378</v>
      </c>
      <c r="I935" s="243" t="s">
        <v>702</v>
      </c>
      <c r="J935" s="243"/>
      <c r="K935" s="243"/>
      <c r="L935" s="240" t="s">
        <v>219</v>
      </c>
      <c r="M935" s="244">
        <v>1</v>
      </c>
      <c r="N935" s="245">
        <v>40</v>
      </c>
      <c r="O935" s="243">
        <v>40</v>
      </c>
      <c r="P935" s="243"/>
      <c r="Q935" s="180" t="str">
        <f>IF(PEDIDOS[[#This Row],[Valor do item pago]]=PEDIDOS[[#This Row],[Total Item ]],"PAGO", "")</f>
        <v/>
      </c>
    </row>
    <row r="936" spans="1:17" s="216" customFormat="1" ht="39.950000000000003" customHeight="1" x14ac:dyDescent="0.25">
      <c r="A936" s="231"/>
      <c r="B936" s="240">
        <v>938</v>
      </c>
      <c r="C936" s="241">
        <v>43587</v>
      </c>
      <c r="D936" s="242" t="s">
        <v>231</v>
      </c>
      <c r="E936" s="240" t="s">
        <v>346</v>
      </c>
      <c r="F936" s="240" t="s">
        <v>1217</v>
      </c>
      <c r="G936" s="240" t="s">
        <v>1362</v>
      </c>
      <c r="H936" s="240" t="s">
        <v>512</v>
      </c>
      <c r="I936" s="243" t="s">
        <v>655</v>
      </c>
      <c r="J936" s="243"/>
      <c r="K936" s="243"/>
      <c r="L936" s="240" t="s">
        <v>219</v>
      </c>
      <c r="M936" s="244">
        <v>1</v>
      </c>
      <c r="N936" s="245">
        <v>40</v>
      </c>
      <c r="O936" s="243">
        <v>40</v>
      </c>
      <c r="P936" s="243"/>
      <c r="Q936" s="180" t="str">
        <f>IF(PEDIDOS[[#This Row],[Valor do item pago]]=PEDIDOS[[#This Row],[Total Item ]],"PAGO", "")</f>
        <v/>
      </c>
    </row>
    <row r="937" spans="1:17" s="216" customFormat="1" ht="39.950000000000003" customHeight="1" x14ac:dyDescent="0.25">
      <c r="A937" s="231"/>
      <c r="B937" s="240">
        <v>937</v>
      </c>
      <c r="C937" s="241">
        <v>43587</v>
      </c>
      <c r="D937" s="242" t="s">
        <v>477</v>
      </c>
      <c r="E937" s="240" t="s">
        <v>1299</v>
      </c>
      <c r="F937" s="240" t="s">
        <v>899</v>
      </c>
      <c r="G937" s="240" t="s">
        <v>1396</v>
      </c>
      <c r="H937" s="240" t="s">
        <v>651</v>
      </c>
      <c r="I937" s="243" t="s">
        <v>901</v>
      </c>
      <c r="J937" s="243"/>
      <c r="K937" s="243"/>
      <c r="L937" s="240" t="s">
        <v>219</v>
      </c>
      <c r="M937" s="244">
        <v>1</v>
      </c>
      <c r="N937" s="245">
        <v>40</v>
      </c>
      <c r="O937" s="243">
        <v>40</v>
      </c>
      <c r="P937" s="243"/>
      <c r="Q937" s="180" t="str">
        <f>IF(PEDIDOS[[#This Row],[Valor do item pago]]=PEDIDOS[[#This Row],[Total Item ]],"PAGO", "")</f>
        <v/>
      </c>
    </row>
    <row r="938" spans="1:17" s="216" customFormat="1" ht="39.950000000000003" customHeight="1" x14ac:dyDescent="0.25">
      <c r="A938" s="231"/>
      <c r="B938" s="240">
        <v>936</v>
      </c>
      <c r="C938" s="241">
        <v>43586</v>
      </c>
      <c r="D938" s="242" t="s">
        <v>477</v>
      </c>
      <c r="E938" s="240" t="s">
        <v>379</v>
      </c>
      <c r="F938" s="240" t="s">
        <v>1250</v>
      </c>
      <c r="G938" s="240" t="s">
        <v>1425</v>
      </c>
      <c r="H938" s="240" t="s">
        <v>1195</v>
      </c>
      <c r="I938" s="243" t="s">
        <v>257</v>
      </c>
      <c r="J938" s="243"/>
      <c r="K938" s="243"/>
      <c r="L938" s="240" t="s">
        <v>1</v>
      </c>
      <c r="M938" s="244">
        <v>1</v>
      </c>
      <c r="N938" s="245">
        <v>40</v>
      </c>
      <c r="O938" s="243">
        <v>40</v>
      </c>
      <c r="P938" s="243"/>
      <c r="Q938" s="180" t="str">
        <f>IF(PEDIDOS[[#This Row],[Valor do item pago]]=PEDIDOS[[#This Row],[Total Item ]],"PAGO", "")</f>
        <v/>
      </c>
    </row>
    <row r="939" spans="1:17" s="216" customFormat="1" ht="39.950000000000003" customHeight="1" x14ac:dyDescent="0.25">
      <c r="A939" s="231"/>
      <c r="B939" s="240">
        <v>935</v>
      </c>
      <c r="C939" s="241">
        <v>43586</v>
      </c>
      <c r="D939" s="242" t="s">
        <v>477</v>
      </c>
      <c r="E939" s="240" t="s">
        <v>547</v>
      </c>
      <c r="F939" s="240" t="s">
        <v>521</v>
      </c>
      <c r="G939" s="240" t="s">
        <v>1317</v>
      </c>
      <c r="H939" s="240" t="s">
        <v>1205</v>
      </c>
      <c r="I939" s="243" t="s">
        <v>663</v>
      </c>
      <c r="J939" s="243"/>
      <c r="K939" s="243"/>
      <c r="L939" s="240" t="s">
        <v>235</v>
      </c>
      <c r="M939" s="244">
        <v>1</v>
      </c>
      <c r="N939" s="245">
        <v>40</v>
      </c>
      <c r="O939" s="243">
        <v>40</v>
      </c>
      <c r="P939" s="243"/>
      <c r="Q939" s="180" t="str">
        <f>IF(PEDIDOS[[#This Row],[Valor do item pago]]=PEDIDOS[[#This Row],[Total Item ]],"PAGO", "")</f>
        <v/>
      </c>
    </row>
    <row r="940" spans="1:17" s="216" customFormat="1" ht="39.950000000000003" customHeight="1" x14ac:dyDescent="0.25">
      <c r="A940" s="231"/>
      <c r="B940" s="240">
        <v>934</v>
      </c>
      <c r="C940" s="241">
        <v>43586</v>
      </c>
      <c r="D940" s="242" t="s">
        <v>477</v>
      </c>
      <c r="E940" s="240" t="s">
        <v>1188</v>
      </c>
      <c r="F940" s="240" t="s">
        <v>1241</v>
      </c>
      <c r="G940" s="240" t="s">
        <v>1350</v>
      </c>
      <c r="H940" s="240" t="s">
        <v>401</v>
      </c>
      <c r="I940" s="243" t="s">
        <v>445</v>
      </c>
      <c r="J940" s="243" t="s">
        <v>1503</v>
      </c>
      <c r="K940" s="243"/>
      <c r="L940" s="240" t="s">
        <v>3</v>
      </c>
      <c r="M940" s="244">
        <v>1</v>
      </c>
      <c r="N940" s="245">
        <v>40</v>
      </c>
      <c r="O940" s="243">
        <v>40</v>
      </c>
      <c r="P940" s="243"/>
      <c r="Q940" s="180" t="str">
        <f>IF(PEDIDOS[[#This Row],[Valor do item pago]]=PEDIDOS[[#This Row],[Total Item ]],"PAGO", "")</f>
        <v/>
      </c>
    </row>
    <row r="941" spans="1:17" s="216" customFormat="1" ht="39.950000000000003" customHeight="1" x14ac:dyDescent="0.25">
      <c r="A941" s="231"/>
      <c r="B941" s="240">
        <v>933</v>
      </c>
      <c r="C941" s="241">
        <v>43586</v>
      </c>
      <c r="D941" s="242" t="s">
        <v>477</v>
      </c>
      <c r="E941" s="240" t="s">
        <v>369</v>
      </c>
      <c r="F941" s="240" t="s">
        <v>1240</v>
      </c>
      <c r="G941" s="240" t="s">
        <v>1420</v>
      </c>
      <c r="H941" s="240" t="s">
        <v>400</v>
      </c>
      <c r="I941" s="243" t="s">
        <v>444</v>
      </c>
      <c r="J941" s="243"/>
      <c r="K941" s="243"/>
      <c r="L941" s="240" t="s">
        <v>219</v>
      </c>
      <c r="M941" s="244">
        <v>1</v>
      </c>
      <c r="N941" s="245">
        <v>40</v>
      </c>
      <c r="O941" s="243">
        <v>40</v>
      </c>
      <c r="P941" s="243"/>
      <c r="Q941" s="180" t="str">
        <f>IF(PEDIDOS[[#This Row],[Valor do item pago]]=PEDIDOS[[#This Row],[Total Item ]],"PAGO", "")</f>
        <v/>
      </c>
    </row>
    <row r="942" spans="1:17" s="216" customFormat="1" ht="39.950000000000003" customHeight="1" x14ac:dyDescent="0.25">
      <c r="A942" s="231"/>
      <c r="B942" s="240">
        <v>932</v>
      </c>
      <c r="C942" s="241">
        <v>43586</v>
      </c>
      <c r="D942" s="242" t="s">
        <v>477</v>
      </c>
      <c r="E942" s="240" t="s">
        <v>513</v>
      </c>
      <c r="F942" s="240" t="s">
        <v>514</v>
      </c>
      <c r="G942" s="240" t="s">
        <v>1419</v>
      </c>
      <c r="H942" s="240" t="s">
        <v>1455</v>
      </c>
      <c r="I942" s="243" t="s">
        <v>661</v>
      </c>
      <c r="J942" s="243"/>
      <c r="K942" s="243"/>
      <c r="L942" s="240" t="s">
        <v>219</v>
      </c>
      <c r="M942" s="244">
        <v>1</v>
      </c>
      <c r="N942" s="245">
        <v>40</v>
      </c>
      <c r="O942" s="243">
        <v>40</v>
      </c>
      <c r="P942" s="243"/>
      <c r="Q942" s="180" t="str">
        <f>IF(PEDIDOS[[#This Row],[Valor do item pago]]=PEDIDOS[[#This Row],[Total Item ]],"PAGO", "")</f>
        <v/>
      </c>
    </row>
    <row r="943" spans="1:17" s="216" customFormat="1" ht="39.950000000000003" customHeight="1" x14ac:dyDescent="0.25">
      <c r="A943" s="231"/>
      <c r="B943" s="240">
        <v>932</v>
      </c>
      <c r="C943" s="241">
        <v>43586</v>
      </c>
      <c r="D943" s="242" t="s">
        <v>477</v>
      </c>
      <c r="E943" s="240" t="s">
        <v>513</v>
      </c>
      <c r="F943" s="240" t="s">
        <v>514</v>
      </c>
      <c r="G943" s="240" t="s">
        <v>1419</v>
      </c>
      <c r="H943" s="240" t="s">
        <v>1455</v>
      </c>
      <c r="I943" s="243" t="s">
        <v>661</v>
      </c>
      <c r="J943" s="243"/>
      <c r="K943" s="243"/>
      <c r="L943" s="240" t="s">
        <v>1</v>
      </c>
      <c r="M943" s="244">
        <v>1</v>
      </c>
      <c r="N943" s="245">
        <v>40</v>
      </c>
      <c r="O943" s="243">
        <v>40</v>
      </c>
      <c r="P943" s="243"/>
      <c r="Q943" s="180" t="str">
        <f>IF(PEDIDOS[[#This Row],[Valor do item pago]]=PEDIDOS[[#This Row],[Total Item ]],"PAGO", "")</f>
        <v/>
      </c>
    </row>
    <row r="944" spans="1:17" s="216" customFormat="1" ht="39.950000000000003" customHeight="1" x14ac:dyDescent="0.25">
      <c r="A944" s="231"/>
      <c r="B944" s="240">
        <v>931</v>
      </c>
      <c r="C944" s="241">
        <v>43586</v>
      </c>
      <c r="D944" s="242" t="s">
        <v>477</v>
      </c>
      <c r="E944" s="240" t="s">
        <v>367</v>
      </c>
      <c r="F944" s="240" t="s">
        <v>1237</v>
      </c>
      <c r="G944" s="240" t="s">
        <v>1418</v>
      </c>
      <c r="H944" s="240" t="s">
        <v>392</v>
      </c>
      <c r="I944" s="243" t="s">
        <v>656</v>
      </c>
      <c r="J944" s="243"/>
      <c r="K944" s="243"/>
      <c r="L944" s="240" t="s">
        <v>0</v>
      </c>
      <c r="M944" s="244">
        <v>1</v>
      </c>
      <c r="N944" s="245">
        <v>40</v>
      </c>
      <c r="O944" s="243">
        <v>40</v>
      </c>
      <c r="P944" s="243"/>
      <c r="Q944" s="180" t="str">
        <f>IF(PEDIDOS[[#This Row],[Valor do item pago]]=PEDIDOS[[#This Row],[Total Item ]],"PAGO", "")</f>
        <v/>
      </c>
    </row>
    <row r="945" spans="1:17" s="216" customFormat="1" ht="39.950000000000003" customHeight="1" x14ac:dyDescent="0.25">
      <c r="A945" s="231"/>
      <c r="B945" s="240">
        <v>930</v>
      </c>
      <c r="C945" s="241">
        <v>43586</v>
      </c>
      <c r="D945" s="242" t="s">
        <v>477</v>
      </c>
      <c r="E945" s="240" t="s">
        <v>1278</v>
      </c>
      <c r="F945" s="240" t="s">
        <v>882</v>
      </c>
      <c r="G945" s="240" t="s">
        <v>1382</v>
      </c>
      <c r="H945" s="240" t="s">
        <v>441</v>
      </c>
      <c r="I945" s="243" t="s">
        <v>884</v>
      </c>
      <c r="J945" s="243"/>
      <c r="K945" s="243" t="s">
        <v>477</v>
      </c>
      <c r="L945" s="240" t="s">
        <v>0</v>
      </c>
      <c r="M945" s="244">
        <v>1</v>
      </c>
      <c r="N945" s="245">
        <v>40</v>
      </c>
      <c r="O945" s="243">
        <v>40</v>
      </c>
      <c r="P945" s="243"/>
      <c r="Q945" s="180" t="str">
        <f>IF(PEDIDOS[[#This Row],[Valor do item pago]]=PEDIDOS[[#This Row],[Total Item ]],"PAGO", "")</f>
        <v/>
      </c>
    </row>
    <row r="946" spans="1:17" s="216" customFormat="1" ht="39.950000000000003" customHeight="1" x14ac:dyDescent="0.25">
      <c r="A946" s="231"/>
      <c r="B946" s="240">
        <v>929</v>
      </c>
      <c r="C946" s="241">
        <v>43586</v>
      </c>
      <c r="D946" s="242" t="s">
        <v>477</v>
      </c>
      <c r="E946" s="240" t="s">
        <v>1262</v>
      </c>
      <c r="F946" s="240">
        <v>0</v>
      </c>
      <c r="G946" s="240">
        <v>0</v>
      </c>
      <c r="H946" s="240">
        <v>0</v>
      </c>
      <c r="I946" s="243"/>
      <c r="J946" s="243"/>
      <c r="K946" s="243"/>
      <c r="L946" s="240" t="s">
        <v>1</v>
      </c>
      <c r="M946" s="244">
        <v>1</v>
      </c>
      <c r="N946" s="245">
        <v>40</v>
      </c>
      <c r="O946" s="243">
        <v>40</v>
      </c>
      <c r="P946" s="243">
        <v>40</v>
      </c>
      <c r="Q946" s="180" t="str">
        <f>IF(PEDIDOS[[#This Row],[Valor do item pago]]=PEDIDOS[[#This Row],[Total Item ]],"PAGO", "")</f>
        <v>PAGO</v>
      </c>
    </row>
    <row r="947" spans="1:17" s="216" customFormat="1" ht="39.950000000000003" customHeight="1" x14ac:dyDescent="0.25">
      <c r="A947" s="231"/>
      <c r="B947" s="240">
        <v>928</v>
      </c>
      <c r="C947" s="241">
        <v>43586</v>
      </c>
      <c r="D947" s="242" t="s">
        <v>477</v>
      </c>
      <c r="E947" s="240" t="s">
        <v>11</v>
      </c>
      <c r="F947" s="240" t="s">
        <v>882</v>
      </c>
      <c r="G947" s="240" t="s">
        <v>1382</v>
      </c>
      <c r="H947" s="240" t="s">
        <v>441</v>
      </c>
      <c r="I947" s="243" t="s">
        <v>884</v>
      </c>
      <c r="J947" s="243"/>
      <c r="K947" s="243" t="s">
        <v>477</v>
      </c>
      <c r="L947" s="240" t="s">
        <v>1</v>
      </c>
      <c r="M947" s="244">
        <v>2</v>
      </c>
      <c r="N947" s="245">
        <v>40</v>
      </c>
      <c r="O947" s="243">
        <v>80</v>
      </c>
      <c r="P947" s="243"/>
      <c r="Q947" s="180" t="str">
        <f>IF(PEDIDOS[[#This Row],[Valor do item pago]]=PEDIDOS[[#This Row],[Total Item ]],"PAGO", "")</f>
        <v/>
      </c>
    </row>
    <row r="948" spans="1:17" s="216" customFormat="1" ht="39.950000000000003" customHeight="1" x14ac:dyDescent="0.25">
      <c r="A948" s="231"/>
      <c r="B948" s="240">
        <v>927</v>
      </c>
      <c r="C948" s="241">
        <v>43586</v>
      </c>
      <c r="D948" s="242" t="s">
        <v>477</v>
      </c>
      <c r="E948" s="240" t="s">
        <v>506</v>
      </c>
      <c r="F948" s="240" t="s">
        <v>503</v>
      </c>
      <c r="G948" s="240" t="s">
        <v>1416</v>
      </c>
      <c r="H948" s="240" t="s">
        <v>505</v>
      </c>
      <c r="I948" s="243" t="s">
        <v>660</v>
      </c>
      <c r="J948" s="243"/>
      <c r="K948" s="243"/>
      <c r="L948" s="240" t="s">
        <v>1</v>
      </c>
      <c r="M948" s="244">
        <v>2</v>
      </c>
      <c r="N948" s="245">
        <v>40</v>
      </c>
      <c r="O948" s="243">
        <v>80</v>
      </c>
      <c r="P948" s="243"/>
      <c r="Q948" s="180" t="str">
        <f>IF(PEDIDOS[[#This Row],[Valor do item pago]]=PEDIDOS[[#This Row],[Total Item ]],"PAGO", "")</f>
        <v/>
      </c>
    </row>
    <row r="949" spans="1:17" s="216" customFormat="1" ht="39.950000000000003" customHeight="1" x14ac:dyDescent="0.25">
      <c r="A949" s="231"/>
      <c r="B949" s="240">
        <v>926</v>
      </c>
      <c r="C949" s="241">
        <v>43586</v>
      </c>
      <c r="D949" s="242" t="s">
        <v>477</v>
      </c>
      <c r="E949" s="240" t="s">
        <v>507</v>
      </c>
      <c r="F949" s="240" t="s">
        <v>497</v>
      </c>
      <c r="G949" s="240" t="s">
        <v>1376</v>
      </c>
      <c r="H949" s="240" t="s">
        <v>461</v>
      </c>
      <c r="I949" s="243" t="s">
        <v>659</v>
      </c>
      <c r="J949" s="243"/>
      <c r="K949" s="243"/>
      <c r="L949" s="240" t="s">
        <v>1</v>
      </c>
      <c r="M949" s="244">
        <v>1</v>
      </c>
      <c r="N949" s="245">
        <v>40</v>
      </c>
      <c r="O949" s="243">
        <v>40</v>
      </c>
      <c r="P949" s="243"/>
      <c r="Q949" s="180" t="str">
        <f>IF(PEDIDOS[[#This Row],[Valor do item pago]]=PEDIDOS[[#This Row],[Total Item ]],"PAGO", "")</f>
        <v/>
      </c>
    </row>
    <row r="950" spans="1:17" s="216" customFormat="1" ht="39.950000000000003" customHeight="1" x14ac:dyDescent="0.25">
      <c r="A950" s="231"/>
      <c r="B950" s="240">
        <v>925</v>
      </c>
      <c r="C950" s="241">
        <v>43586</v>
      </c>
      <c r="D950" s="242" t="s">
        <v>477</v>
      </c>
      <c r="E950" s="240" t="s">
        <v>1259</v>
      </c>
      <c r="F950" s="240" t="s">
        <v>1226</v>
      </c>
      <c r="G950" s="240" t="s">
        <v>1440</v>
      </c>
      <c r="H950" s="240" t="s">
        <v>390</v>
      </c>
      <c r="I950" s="243" t="s">
        <v>251</v>
      </c>
      <c r="J950" s="243" t="s">
        <v>1502</v>
      </c>
      <c r="K950" s="243"/>
      <c r="L950" s="240" t="s">
        <v>3</v>
      </c>
      <c r="M950" s="244">
        <v>2</v>
      </c>
      <c r="N950" s="245">
        <v>40</v>
      </c>
      <c r="O950" s="243">
        <v>80</v>
      </c>
      <c r="P950" s="243"/>
      <c r="Q950" s="180" t="str">
        <f>IF(PEDIDOS[[#This Row],[Valor do item pago]]=PEDIDOS[[#This Row],[Total Item ]],"PAGO", "")</f>
        <v/>
      </c>
    </row>
    <row r="951" spans="1:17" s="216" customFormat="1" ht="39.950000000000003" customHeight="1" x14ac:dyDescent="0.25">
      <c r="A951" s="231"/>
      <c r="B951" s="240">
        <v>924</v>
      </c>
      <c r="C951" s="241">
        <v>43586</v>
      </c>
      <c r="D951" s="242" t="s">
        <v>477</v>
      </c>
      <c r="E951" s="240" t="s">
        <v>877</v>
      </c>
      <c r="F951" s="240" t="s">
        <v>876</v>
      </c>
      <c r="G951" s="240" t="s">
        <v>1413</v>
      </c>
      <c r="H951" s="240" t="s">
        <v>441</v>
      </c>
      <c r="I951" s="243" t="s">
        <v>879</v>
      </c>
      <c r="J951" s="243"/>
      <c r="K951" s="243" t="s">
        <v>477</v>
      </c>
      <c r="L951" s="240" t="s">
        <v>1</v>
      </c>
      <c r="M951" s="244">
        <v>1</v>
      </c>
      <c r="N951" s="245">
        <v>40</v>
      </c>
      <c r="O951" s="243">
        <v>40</v>
      </c>
      <c r="P951" s="243"/>
      <c r="Q951" s="180" t="str">
        <f>IF(PEDIDOS[[#This Row],[Valor do item pago]]=PEDIDOS[[#This Row],[Total Item ]],"PAGO", "")</f>
        <v/>
      </c>
    </row>
    <row r="952" spans="1:17" s="216" customFormat="1" ht="39.950000000000003" customHeight="1" x14ac:dyDescent="0.25">
      <c r="A952" s="231"/>
      <c r="B952" s="240">
        <v>923</v>
      </c>
      <c r="C952" s="241">
        <v>43586</v>
      </c>
      <c r="D952" s="242" t="s">
        <v>477</v>
      </c>
      <c r="E952" s="240" t="s">
        <v>25</v>
      </c>
      <c r="F952" s="240" t="s">
        <v>1222</v>
      </c>
      <c r="G952" s="240" t="s">
        <v>1411</v>
      </c>
      <c r="H952" s="240" t="s">
        <v>406</v>
      </c>
      <c r="I952" s="243" t="s">
        <v>329</v>
      </c>
      <c r="J952" s="243"/>
      <c r="K952" s="243"/>
      <c r="L952" s="240" t="s">
        <v>219</v>
      </c>
      <c r="M952" s="244">
        <v>3</v>
      </c>
      <c r="N952" s="245">
        <v>40</v>
      </c>
      <c r="O952" s="243">
        <v>120</v>
      </c>
      <c r="P952" s="243">
        <v>120</v>
      </c>
      <c r="Q952" s="180" t="str">
        <f>IF(PEDIDOS[[#This Row],[Valor do item pago]]=PEDIDOS[[#This Row],[Total Item ]],"PAGO", "")</f>
        <v>PAGO</v>
      </c>
    </row>
    <row r="953" spans="1:17" s="216" customFormat="1" ht="39.950000000000003" customHeight="1" x14ac:dyDescent="0.25">
      <c r="A953" s="231"/>
      <c r="B953" s="240">
        <v>922</v>
      </c>
      <c r="C953" s="241">
        <v>43586</v>
      </c>
      <c r="D953" s="242" t="s">
        <v>477</v>
      </c>
      <c r="E953" s="240" t="s">
        <v>343</v>
      </c>
      <c r="F953" s="240" t="s">
        <v>826</v>
      </c>
      <c r="G953" s="240" t="s">
        <v>1404</v>
      </c>
      <c r="H953" s="240" t="s">
        <v>441</v>
      </c>
      <c r="I953" s="243" t="s">
        <v>874</v>
      </c>
      <c r="J953" s="243"/>
      <c r="K953" s="243" t="s">
        <v>477</v>
      </c>
      <c r="L953" s="240" t="s">
        <v>1</v>
      </c>
      <c r="M953" s="244">
        <v>1</v>
      </c>
      <c r="N953" s="245">
        <v>40</v>
      </c>
      <c r="O953" s="243">
        <v>40</v>
      </c>
      <c r="P953" s="243"/>
      <c r="Q953" s="180" t="str">
        <f>IF(PEDIDOS[[#This Row],[Valor do item pago]]=PEDIDOS[[#This Row],[Total Item ]],"PAGO", "")</f>
        <v/>
      </c>
    </row>
    <row r="954" spans="1:17" s="216" customFormat="1" ht="39.950000000000003" customHeight="1" x14ac:dyDescent="0.25">
      <c r="A954" s="231"/>
      <c r="B954" s="240">
        <v>921</v>
      </c>
      <c r="C954" s="241">
        <v>43586</v>
      </c>
      <c r="D954" s="242" t="s">
        <v>477</v>
      </c>
      <c r="E954" s="240" t="s">
        <v>338</v>
      </c>
      <c r="F954" s="240" t="s">
        <v>1208</v>
      </c>
      <c r="G954" s="240" t="s">
        <v>1400</v>
      </c>
      <c r="H954" s="240" t="s">
        <v>1254</v>
      </c>
      <c r="I954" s="243" t="s">
        <v>654</v>
      </c>
      <c r="J954" s="243"/>
      <c r="K954" s="243"/>
      <c r="L954" s="240" t="s">
        <v>1</v>
      </c>
      <c r="M954" s="244">
        <v>1</v>
      </c>
      <c r="N954" s="245">
        <v>40</v>
      </c>
      <c r="O954" s="243">
        <v>40</v>
      </c>
      <c r="P954" s="243"/>
      <c r="Q954" s="180" t="str">
        <f>IF(PEDIDOS[[#This Row],[Valor do item pago]]=PEDIDOS[[#This Row],[Total Item ]],"PAGO", "")</f>
        <v/>
      </c>
    </row>
    <row r="955" spans="1:17" s="216" customFormat="1" ht="39.950000000000003" customHeight="1" x14ac:dyDescent="0.25">
      <c r="A955" s="231"/>
      <c r="B955" s="240">
        <v>920</v>
      </c>
      <c r="C955" s="241">
        <v>43586</v>
      </c>
      <c r="D955" s="242" t="s">
        <v>477</v>
      </c>
      <c r="E955" s="240" t="s">
        <v>1471</v>
      </c>
      <c r="F955" s="240" t="s">
        <v>1477</v>
      </c>
      <c r="G955" s="240" t="s">
        <v>1481</v>
      </c>
      <c r="H955" s="240" t="s">
        <v>651</v>
      </c>
      <c r="I955" s="243" t="s">
        <v>1486</v>
      </c>
      <c r="J955" s="243"/>
      <c r="K955" s="243"/>
      <c r="L955" s="240" t="s">
        <v>219</v>
      </c>
      <c r="M955" s="244">
        <v>1</v>
      </c>
      <c r="N955" s="245">
        <v>40</v>
      </c>
      <c r="O955" s="243">
        <v>40</v>
      </c>
      <c r="P955" s="243">
        <v>40</v>
      </c>
      <c r="Q955" s="180" t="str">
        <f>IF(PEDIDOS[[#This Row],[Valor do item pago]]=PEDIDOS[[#This Row],[Total Item ]],"PAGO", "")</f>
        <v>PAGO</v>
      </c>
    </row>
    <row r="956" spans="1:17" s="216" customFormat="1" ht="39.950000000000003" customHeight="1" x14ac:dyDescent="0.25">
      <c r="A956" s="231"/>
      <c r="B956" s="240">
        <v>919</v>
      </c>
      <c r="C956" s="241">
        <v>43586</v>
      </c>
      <c r="D956" s="242" t="s">
        <v>477</v>
      </c>
      <c r="E956" s="240" t="s">
        <v>1199</v>
      </c>
      <c r="F956" s="240" t="s">
        <v>969</v>
      </c>
      <c r="G956" s="240" t="s">
        <v>1361</v>
      </c>
      <c r="H956" s="240" t="s">
        <v>52</v>
      </c>
      <c r="I956" s="243" t="s">
        <v>971</v>
      </c>
      <c r="J956" s="243" t="s">
        <v>1501</v>
      </c>
      <c r="K956" s="243"/>
      <c r="L956" s="240" t="s">
        <v>219</v>
      </c>
      <c r="M956" s="244">
        <v>1</v>
      </c>
      <c r="N956" s="245">
        <v>40</v>
      </c>
      <c r="O956" s="243">
        <v>40</v>
      </c>
      <c r="P956" s="243">
        <v>40</v>
      </c>
      <c r="Q956" s="180" t="str">
        <f>IF(PEDIDOS[[#This Row],[Valor do item pago]]=PEDIDOS[[#This Row],[Total Item ]],"PAGO", "")</f>
        <v>PAGO</v>
      </c>
    </row>
    <row r="957" spans="1:17" s="216" customFormat="1" ht="39.950000000000003" customHeight="1" x14ac:dyDescent="0.25">
      <c r="A957" s="231"/>
      <c r="B957" s="240">
        <v>918</v>
      </c>
      <c r="C957" s="241">
        <v>43586</v>
      </c>
      <c r="D957" s="242" t="s">
        <v>916</v>
      </c>
      <c r="E957" s="240" t="s">
        <v>732</v>
      </c>
      <c r="F957" s="240" t="s">
        <v>733</v>
      </c>
      <c r="G957" s="240">
        <v>0</v>
      </c>
      <c r="H957" s="240" t="s">
        <v>40</v>
      </c>
      <c r="I957" s="243"/>
      <c r="J957" s="243"/>
      <c r="K957" s="243" t="s">
        <v>916</v>
      </c>
      <c r="L957" s="240" t="s">
        <v>1</v>
      </c>
      <c r="M957" s="244">
        <v>1</v>
      </c>
      <c r="N957" s="245">
        <v>40</v>
      </c>
      <c r="O957" s="243">
        <v>40</v>
      </c>
      <c r="P957" s="243"/>
      <c r="Q957" s="180" t="str">
        <f>IF(PEDIDOS[[#This Row],[Valor do item pago]]=PEDIDOS[[#This Row],[Total Item ]],"PAGO", "")</f>
        <v/>
      </c>
    </row>
    <row r="958" spans="1:17" s="216" customFormat="1" ht="39.950000000000003" customHeight="1" x14ac:dyDescent="0.25">
      <c r="A958" s="231"/>
      <c r="B958" s="240">
        <v>918</v>
      </c>
      <c r="C958" s="241">
        <v>43586</v>
      </c>
      <c r="D958" s="242" t="s">
        <v>916</v>
      </c>
      <c r="E958" s="240" t="s">
        <v>732</v>
      </c>
      <c r="F958" s="240" t="s">
        <v>733</v>
      </c>
      <c r="G958" s="240">
        <v>0</v>
      </c>
      <c r="H958" s="240" t="s">
        <v>40</v>
      </c>
      <c r="I958" s="243"/>
      <c r="J958" s="243"/>
      <c r="K958" s="243" t="s">
        <v>916</v>
      </c>
      <c r="L958" s="240" t="s">
        <v>0</v>
      </c>
      <c r="M958" s="244">
        <v>1</v>
      </c>
      <c r="N958" s="245">
        <v>40</v>
      </c>
      <c r="O958" s="243">
        <v>40</v>
      </c>
      <c r="P958" s="243"/>
      <c r="Q958" s="180" t="str">
        <f>IF(PEDIDOS[[#This Row],[Valor do item pago]]=PEDIDOS[[#This Row],[Total Item ]],"PAGO", "")</f>
        <v/>
      </c>
    </row>
    <row r="959" spans="1:17" s="216" customFormat="1" ht="39.950000000000003" customHeight="1" x14ac:dyDescent="0.25">
      <c r="A959" s="231"/>
      <c r="B959" s="240">
        <v>917</v>
      </c>
      <c r="C959" s="241">
        <v>43586</v>
      </c>
      <c r="D959" s="242" t="s">
        <v>40</v>
      </c>
      <c r="E959" s="240" t="s">
        <v>203</v>
      </c>
      <c r="F959" s="240" t="s">
        <v>1238</v>
      </c>
      <c r="G959" s="240" t="s">
        <v>41</v>
      </c>
      <c r="H959" s="240" t="s">
        <v>441</v>
      </c>
      <c r="I959" s="243" t="s">
        <v>442</v>
      </c>
      <c r="J959" s="243"/>
      <c r="K959" s="243" t="s">
        <v>648</v>
      </c>
      <c r="L959" s="240" t="s">
        <v>1</v>
      </c>
      <c r="M959" s="244">
        <v>1</v>
      </c>
      <c r="N959" s="245">
        <v>40</v>
      </c>
      <c r="O959" s="243">
        <v>40</v>
      </c>
      <c r="P959" s="243"/>
      <c r="Q959" s="180" t="str">
        <f>IF(PEDIDOS[[#This Row],[Valor do item pago]]=PEDIDOS[[#This Row],[Total Item ]],"PAGO", "")</f>
        <v/>
      </c>
    </row>
    <row r="960" spans="1:17" s="216" customFormat="1" ht="39.950000000000003" customHeight="1" x14ac:dyDescent="0.25">
      <c r="A960" s="231"/>
      <c r="B960" s="240">
        <v>917</v>
      </c>
      <c r="C960" s="241">
        <v>43586</v>
      </c>
      <c r="D960" s="242" t="s">
        <v>40</v>
      </c>
      <c r="E960" s="240" t="s">
        <v>203</v>
      </c>
      <c r="F960" s="240" t="s">
        <v>1238</v>
      </c>
      <c r="G960" s="240" t="s">
        <v>41</v>
      </c>
      <c r="H960" s="240" t="s">
        <v>441</v>
      </c>
      <c r="I960" s="243" t="s">
        <v>442</v>
      </c>
      <c r="J960" s="243"/>
      <c r="K960" s="243" t="s">
        <v>648</v>
      </c>
      <c r="L960" s="240" t="s">
        <v>0</v>
      </c>
      <c r="M960" s="244">
        <v>1</v>
      </c>
      <c r="N960" s="245">
        <v>40</v>
      </c>
      <c r="O960" s="243">
        <v>40</v>
      </c>
      <c r="P960" s="243"/>
      <c r="Q960" s="180" t="str">
        <f>IF(PEDIDOS[[#This Row],[Valor do item pago]]=PEDIDOS[[#This Row],[Total Item ]],"PAGO", "")</f>
        <v/>
      </c>
    </row>
    <row r="961" spans="1:17" s="216" customFormat="1" ht="39.950000000000003" customHeight="1" x14ac:dyDescent="0.25">
      <c r="A961" s="231"/>
      <c r="B961" s="240">
        <v>915</v>
      </c>
      <c r="C961" s="241">
        <v>43586</v>
      </c>
      <c r="D961" s="242" t="s">
        <v>823</v>
      </c>
      <c r="E961" s="240" t="s">
        <v>25</v>
      </c>
      <c r="F961" s="240" t="s">
        <v>1222</v>
      </c>
      <c r="G961" s="240" t="s">
        <v>1411</v>
      </c>
      <c r="H961" s="240" t="s">
        <v>406</v>
      </c>
      <c r="I961" s="243" t="s">
        <v>329</v>
      </c>
      <c r="J961" s="243" t="s">
        <v>1460</v>
      </c>
      <c r="K961" s="243"/>
      <c r="L961" s="240" t="s">
        <v>219</v>
      </c>
      <c r="M961" s="244">
        <v>5</v>
      </c>
      <c r="N961" s="245">
        <v>40</v>
      </c>
      <c r="O961" s="243">
        <v>200</v>
      </c>
      <c r="P961" s="243"/>
      <c r="Q961" s="180" t="str">
        <f>IF(PEDIDOS[[#This Row],[Valor do item pago]]=PEDIDOS[[#This Row],[Total Item ]],"PAGO", "")</f>
        <v/>
      </c>
    </row>
    <row r="962" spans="1:17" s="216" customFormat="1" ht="39.950000000000003" customHeight="1" x14ac:dyDescent="0.25">
      <c r="A962" s="231"/>
      <c r="B962" s="240">
        <v>914</v>
      </c>
      <c r="C962" s="241">
        <v>43586</v>
      </c>
      <c r="D962" s="242" t="s">
        <v>823</v>
      </c>
      <c r="E962" s="240" t="s">
        <v>1496</v>
      </c>
      <c r="F962" s="240" t="s">
        <v>1497</v>
      </c>
      <c r="G962" s="240">
        <v>0</v>
      </c>
      <c r="H962" s="240">
        <v>0</v>
      </c>
      <c r="I962" s="243"/>
      <c r="J962" s="243"/>
      <c r="K962" s="243"/>
      <c r="L962" s="240" t="s">
        <v>219</v>
      </c>
      <c r="M962" s="244">
        <v>1</v>
      </c>
      <c r="N962" s="245">
        <v>40</v>
      </c>
      <c r="O962" s="243">
        <v>40</v>
      </c>
      <c r="P962" s="243"/>
      <c r="Q962" s="180" t="str">
        <f>IF(PEDIDOS[[#This Row],[Valor do item pago]]=PEDIDOS[[#This Row],[Total Item ]],"PAGO", "")</f>
        <v/>
      </c>
    </row>
    <row r="963" spans="1:17" s="216" customFormat="1" ht="39.950000000000003" customHeight="1" x14ac:dyDescent="0.25">
      <c r="A963" s="231"/>
      <c r="B963" s="240">
        <v>912</v>
      </c>
      <c r="C963" s="241">
        <v>43586</v>
      </c>
      <c r="D963" s="242" t="s">
        <v>823</v>
      </c>
      <c r="E963" s="240" t="s">
        <v>35</v>
      </c>
      <c r="F963" s="240">
        <v>0</v>
      </c>
      <c r="G963" s="240" t="s">
        <v>1386</v>
      </c>
      <c r="H963" s="240">
        <v>0</v>
      </c>
      <c r="I963" s="243"/>
      <c r="J963" s="243"/>
      <c r="K963" s="243" t="s">
        <v>823</v>
      </c>
      <c r="L963" s="240" t="s">
        <v>219</v>
      </c>
      <c r="M963" s="244">
        <v>3</v>
      </c>
      <c r="N963" s="245">
        <v>40</v>
      </c>
      <c r="O963" s="243">
        <v>40</v>
      </c>
      <c r="P963" s="243">
        <v>40</v>
      </c>
      <c r="Q963" s="180" t="str">
        <f>IF(PEDIDOS[[#This Row],[Valor do item pago]]=PEDIDOS[[#This Row],[Total Item ]],"PAGO", "")</f>
        <v>PAGO</v>
      </c>
    </row>
    <row r="964" spans="1:17" s="216" customFormat="1" ht="39.950000000000003" customHeight="1" x14ac:dyDescent="0.25">
      <c r="A964" s="231"/>
      <c r="B964" s="240">
        <v>911</v>
      </c>
      <c r="C964" s="241">
        <v>43586</v>
      </c>
      <c r="D964" s="242" t="s">
        <v>823</v>
      </c>
      <c r="E964" s="240" t="s">
        <v>1187</v>
      </c>
      <c r="F964" s="240" t="s">
        <v>573</v>
      </c>
      <c r="G964" s="240" t="s">
        <v>621</v>
      </c>
      <c r="H964" s="240" t="s">
        <v>1263</v>
      </c>
      <c r="I964" s="243" t="s">
        <v>674</v>
      </c>
      <c r="J964" s="243"/>
      <c r="K964" s="243"/>
      <c r="L964" s="240" t="s">
        <v>219</v>
      </c>
      <c r="M964" s="244">
        <v>1</v>
      </c>
      <c r="N964" s="245">
        <v>40</v>
      </c>
      <c r="O964" s="243">
        <v>40</v>
      </c>
      <c r="P964" s="243">
        <v>40</v>
      </c>
      <c r="Q964" s="180" t="str">
        <f>IF(PEDIDOS[[#This Row],[Valor do item pago]]=PEDIDOS[[#This Row],[Total Item ]],"PAGO", "")</f>
        <v>PAGO</v>
      </c>
    </row>
    <row r="965" spans="1:17" s="216" customFormat="1" ht="39.950000000000003" customHeight="1" x14ac:dyDescent="0.25">
      <c r="A965" s="231"/>
      <c r="B965" s="240">
        <v>910</v>
      </c>
      <c r="C965" s="241">
        <v>43586</v>
      </c>
      <c r="D965" s="242" t="s">
        <v>823</v>
      </c>
      <c r="E965" s="240" t="s">
        <v>1461</v>
      </c>
      <c r="F965" s="240" t="s">
        <v>1180</v>
      </c>
      <c r="G965" s="240" t="s">
        <v>1276</v>
      </c>
      <c r="H965" s="240" t="s">
        <v>398</v>
      </c>
      <c r="I965" s="243" t="s">
        <v>1181</v>
      </c>
      <c r="J965" s="243"/>
      <c r="K965" s="243"/>
      <c r="L965" s="240" t="s">
        <v>1</v>
      </c>
      <c r="M965" s="244">
        <v>1</v>
      </c>
      <c r="N965" s="245">
        <v>40</v>
      </c>
      <c r="O965" s="243">
        <v>40</v>
      </c>
      <c r="P965" s="243">
        <v>40</v>
      </c>
      <c r="Q965" s="180" t="str">
        <f>IF(PEDIDOS[[#This Row],[Valor do item pago]]=PEDIDOS[[#This Row],[Total Item ]],"PAGO", "")</f>
        <v>PAGO</v>
      </c>
    </row>
    <row r="966" spans="1:17" s="216" customFormat="1" ht="39.950000000000003" customHeight="1" x14ac:dyDescent="0.25">
      <c r="A966" s="231"/>
      <c r="B966" s="240">
        <v>909</v>
      </c>
      <c r="C966" s="241">
        <v>43586</v>
      </c>
      <c r="D966" s="242" t="s">
        <v>823</v>
      </c>
      <c r="E966" s="240" t="s">
        <v>622</v>
      </c>
      <c r="F966" s="240" t="s">
        <v>623</v>
      </c>
      <c r="G966" s="240" t="s">
        <v>1323</v>
      </c>
      <c r="H966" s="240" t="s">
        <v>520</v>
      </c>
      <c r="I966" s="243" t="s">
        <v>682</v>
      </c>
      <c r="J966" s="243" t="s">
        <v>887</v>
      </c>
      <c r="K966" s="243"/>
      <c r="L966" s="240" t="s">
        <v>219</v>
      </c>
      <c r="M966" s="244">
        <v>1</v>
      </c>
      <c r="N966" s="245">
        <v>40</v>
      </c>
      <c r="O966" s="243">
        <v>40</v>
      </c>
      <c r="P966" s="243">
        <v>40</v>
      </c>
      <c r="Q966" s="180" t="str">
        <f>IF(PEDIDOS[[#This Row],[Valor do item pago]]=PEDIDOS[[#This Row],[Total Item ]],"PAGO", "")</f>
        <v>PAGO</v>
      </c>
    </row>
    <row r="967" spans="1:17" s="216" customFormat="1" ht="39.950000000000003" customHeight="1" x14ac:dyDescent="0.25">
      <c r="A967" s="231"/>
      <c r="B967" s="240">
        <v>908</v>
      </c>
      <c r="C967" s="241">
        <v>43586</v>
      </c>
      <c r="D967" s="242" t="s">
        <v>44</v>
      </c>
      <c r="E967" s="240" t="s">
        <v>25</v>
      </c>
      <c r="F967" s="240" t="s">
        <v>1222</v>
      </c>
      <c r="G967" s="240" t="s">
        <v>1411</v>
      </c>
      <c r="H967" s="240" t="s">
        <v>406</v>
      </c>
      <c r="I967" s="243" t="s">
        <v>329</v>
      </c>
      <c r="J967" s="243" t="s">
        <v>1494</v>
      </c>
      <c r="K967" s="243"/>
      <c r="L967" s="240" t="s">
        <v>219</v>
      </c>
      <c r="M967" s="244">
        <v>2</v>
      </c>
      <c r="N967" s="245">
        <v>40</v>
      </c>
      <c r="O967" s="243">
        <v>80</v>
      </c>
      <c r="P967" s="243"/>
      <c r="Q967" s="180" t="str">
        <f>IF(PEDIDOS[[#This Row],[Valor do item pago]]=PEDIDOS[[#This Row],[Total Item ]],"PAGO", "")</f>
        <v/>
      </c>
    </row>
    <row r="968" spans="1:17" s="216" customFormat="1" ht="39.950000000000003" customHeight="1" x14ac:dyDescent="0.25">
      <c r="A968" s="231"/>
      <c r="B968" s="240">
        <v>907</v>
      </c>
      <c r="C968" s="241">
        <v>43586</v>
      </c>
      <c r="D968" s="242" t="s">
        <v>44</v>
      </c>
      <c r="E968" s="240" t="s">
        <v>374</v>
      </c>
      <c r="F968" s="240" t="s">
        <v>1246</v>
      </c>
      <c r="G968" s="240" t="s">
        <v>1422</v>
      </c>
      <c r="H968" s="240" t="s">
        <v>402</v>
      </c>
      <c r="I968" s="243" t="s">
        <v>658</v>
      </c>
      <c r="J968" s="243"/>
      <c r="K968" s="243"/>
      <c r="L968" s="240" t="s">
        <v>1</v>
      </c>
      <c r="M968" s="244">
        <v>1</v>
      </c>
      <c r="N968" s="245">
        <v>40</v>
      </c>
      <c r="O968" s="243">
        <v>40</v>
      </c>
      <c r="P968" s="243"/>
      <c r="Q968" s="180" t="str">
        <f>IF(PEDIDOS[[#This Row],[Valor do item pago]]=PEDIDOS[[#This Row],[Total Item ]],"PAGO", "")</f>
        <v/>
      </c>
    </row>
    <row r="969" spans="1:17" s="216" customFormat="1" ht="39.950000000000003" customHeight="1" x14ac:dyDescent="0.25">
      <c r="A969" s="231"/>
      <c r="B969" s="240">
        <v>907</v>
      </c>
      <c r="C969" s="241">
        <v>43586</v>
      </c>
      <c r="D969" s="242" t="s">
        <v>44</v>
      </c>
      <c r="E969" s="240" t="s">
        <v>374</v>
      </c>
      <c r="F969" s="240" t="s">
        <v>1246</v>
      </c>
      <c r="G969" s="240" t="s">
        <v>1422</v>
      </c>
      <c r="H969" s="240" t="s">
        <v>402</v>
      </c>
      <c r="I969" s="243" t="s">
        <v>658</v>
      </c>
      <c r="J969" s="243"/>
      <c r="K969" s="243"/>
      <c r="L969" s="240" t="s">
        <v>0</v>
      </c>
      <c r="M969" s="244">
        <v>1</v>
      </c>
      <c r="N969" s="245">
        <v>40</v>
      </c>
      <c r="O969" s="243">
        <v>40</v>
      </c>
      <c r="P969" s="243"/>
      <c r="Q969" s="180" t="str">
        <f>IF(PEDIDOS[[#This Row],[Valor do item pago]]=PEDIDOS[[#This Row],[Total Item ]],"PAGO", "")</f>
        <v/>
      </c>
    </row>
    <row r="970" spans="1:17" s="216" customFormat="1" ht="39.950000000000003" customHeight="1" x14ac:dyDescent="0.25">
      <c r="A970" s="231"/>
      <c r="B970" s="240">
        <v>906</v>
      </c>
      <c r="C970" s="241">
        <v>43586</v>
      </c>
      <c r="D970" s="242" t="s">
        <v>60</v>
      </c>
      <c r="E970" s="240" t="s">
        <v>60</v>
      </c>
      <c r="F970" s="240">
        <v>0</v>
      </c>
      <c r="G970" s="240" t="s">
        <v>1434</v>
      </c>
      <c r="H970" s="240">
        <v>0</v>
      </c>
      <c r="I970" s="243"/>
      <c r="J970" s="243"/>
      <c r="K970" s="243" t="s">
        <v>60</v>
      </c>
      <c r="L970" s="240" t="s">
        <v>3</v>
      </c>
      <c r="M970" s="244">
        <v>1</v>
      </c>
      <c r="N970" s="245">
        <v>40</v>
      </c>
      <c r="O970" s="243">
        <v>40</v>
      </c>
      <c r="P970" s="243"/>
      <c r="Q970" s="180" t="str">
        <f>IF(PEDIDOS[[#This Row],[Valor do item pago]]=PEDIDOS[[#This Row],[Total Item ]],"PAGO", "")</f>
        <v/>
      </c>
    </row>
    <row r="971" spans="1:17" s="216" customFormat="1" ht="39.950000000000003" customHeight="1" x14ac:dyDescent="0.25">
      <c r="A971" s="231"/>
      <c r="B971" s="240">
        <v>906</v>
      </c>
      <c r="C971" s="241">
        <v>43586</v>
      </c>
      <c r="D971" s="242" t="s">
        <v>60</v>
      </c>
      <c r="E971" s="240" t="s">
        <v>60</v>
      </c>
      <c r="F971" s="240">
        <v>0</v>
      </c>
      <c r="G971" s="240" t="s">
        <v>1434</v>
      </c>
      <c r="H971" s="240">
        <v>0</v>
      </c>
      <c r="I971" s="243"/>
      <c r="J971" s="243"/>
      <c r="K971" s="243" t="s">
        <v>60</v>
      </c>
      <c r="L971" s="240" t="s">
        <v>0</v>
      </c>
      <c r="M971" s="244">
        <v>1</v>
      </c>
      <c r="N971" s="245">
        <v>40</v>
      </c>
      <c r="O971" s="243">
        <v>40</v>
      </c>
      <c r="P971" s="243"/>
      <c r="Q971" s="180" t="str">
        <f>IF(PEDIDOS[[#This Row],[Valor do item pago]]=PEDIDOS[[#This Row],[Total Item ]],"PAGO", "")</f>
        <v/>
      </c>
    </row>
    <row r="972" spans="1:17" s="216" customFormat="1" ht="39.950000000000003" customHeight="1" x14ac:dyDescent="0.25">
      <c r="A972" s="231"/>
      <c r="B972" s="240">
        <v>905</v>
      </c>
      <c r="C972" s="241">
        <v>43586</v>
      </c>
      <c r="D972" s="242" t="s">
        <v>45</v>
      </c>
      <c r="E972" s="240" t="s">
        <v>478</v>
      </c>
      <c r="F972" s="240" t="s">
        <v>1229</v>
      </c>
      <c r="G972" s="240">
        <v>0</v>
      </c>
      <c r="H972" s="240">
        <v>0</v>
      </c>
      <c r="I972" s="243"/>
      <c r="J972" s="243"/>
      <c r="K972" s="243" t="s">
        <v>40</v>
      </c>
      <c r="L972" s="240" t="s">
        <v>1</v>
      </c>
      <c r="M972" s="244">
        <v>1</v>
      </c>
      <c r="N972" s="245">
        <v>40</v>
      </c>
      <c r="O972" s="243">
        <v>40</v>
      </c>
      <c r="P972" s="243"/>
      <c r="Q972" s="180" t="str">
        <f>IF(PEDIDOS[[#This Row],[Valor do item pago]]=PEDIDOS[[#This Row],[Total Item ]],"PAGO", "")</f>
        <v/>
      </c>
    </row>
    <row r="973" spans="1:17" s="216" customFormat="1" ht="39.950000000000003" customHeight="1" x14ac:dyDescent="0.25">
      <c r="A973" s="231"/>
      <c r="B973" s="240">
        <v>904</v>
      </c>
      <c r="C973" s="241">
        <v>43586</v>
      </c>
      <c r="D973" s="242" t="s">
        <v>45</v>
      </c>
      <c r="E973" s="240" t="s">
        <v>1353</v>
      </c>
      <c r="F973" s="240" t="s">
        <v>930</v>
      </c>
      <c r="G973" s="240">
        <v>0</v>
      </c>
      <c r="H973" s="240" t="s">
        <v>40</v>
      </c>
      <c r="I973" s="243"/>
      <c r="J973" s="243"/>
      <c r="K973" s="243" t="s">
        <v>40</v>
      </c>
      <c r="L973" s="240" t="s">
        <v>1</v>
      </c>
      <c r="M973" s="244">
        <v>1</v>
      </c>
      <c r="N973" s="245">
        <v>40</v>
      </c>
      <c r="O973" s="243">
        <v>40</v>
      </c>
      <c r="P973" s="243"/>
      <c r="Q973" s="180" t="str">
        <f>IF(PEDIDOS[[#This Row],[Valor do item pago]]=PEDIDOS[[#This Row],[Total Item ]],"PAGO", "")</f>
        <v/>
      </c>
    </row>
    <row r="974" spans="1:17" s="216" customFormat="1" ht="39.950000000000003" customHeight="1" x14ac:dyDescent="0.25">
      <c r="A974" s="231"/>
      <c r="B974" s="240">
        <v>903</v>
      </c>
      <c r="C974" s="241">
        <v>43586</v>
      </c>
      <c r="D974" s="242" t="s">
        <v>49</v>
      </c>
      <c r="E974" s="240" t="s">
        <v>615</v>
      </c>
      <c r="F974" s="240" t="s">
        <v>1242</v>
      </c>
      <c r="G974" s="240" t="s">
        <v>1392</v>
      </c>
      <c r="H974" s="240" t="s">
        <v>1205</v>
      </c>
      <c r="I974" s="243" t="s">
        <v>735</v>
      </c>
      <c r="J974" s="243"/>
      <c r="K974" s="243"/>
      <c r="L974" s="240" t="s">
        <v>3</v>
      </c>
      <c r="M974" s="244">
        <v>1</v>
      </c>
      <c r="N974" s="245">
        <v>40</v>
      </c>
      <c r="O974" s="243">
        <v>40</v>
      </c>
      <c r="P974" s="243">
        <v>40</v>
      </c>
      <c r="Q974" s="180" t="str">
        <f>IF(PEDIDOS[[#This Row],[Valor do item pago]]=PEDIDOS[[#This Row],[Total Item ]],"PAGO", "")</f>
        <v>PAGO</v>
      </c>
    </row>
    <row r="975" spans="1:17" s="216" customFormat="1" ht="39.950000000000003" customHeight="1" x14ac:dyDescent="0.25">
      <c r="A975" s="231"/>
      <c r="B975" s="240">
        <v>903</v>
      </c>
      <c r="C975" s="241">
        <v>43586</v>
      </c>
      <c r="D975" s="242" t="s">
        <v>49</v>
      </c>
      <c r="E975" s="240" t="s">
        <v>615</v>
      </c>
      <c r="F975" s="240" t="s">
        <v>1242</v>
      </c>
      <c r="G975" s="240" t="s">
        <v>1392</v>
      </c>
      <c r="H975" s="240" t="s">
        <v>1205</v>
      </c>
      <c r="I975" s="243" t="s">
        <v>735</v>
      </c>
      <c r="J975" s="243"/>
      <c r="K975" s="243"/>
      <c r="L975" s="240" t="s">
        <v>1</v>
      </c>
      <c r="M975" s="244">
        <v>1</v>
      </c>
      <c r="N975" s="245">
        <v>40</v>
      </c>
      <c r="O975" s="243">
        <v>40</v>
      </c>
      <c r="P975" s="243">
        <v>40</v>
      </c>
      <c r="Q975" s="180" t="str">
        <f>IF(PEDIDOS[[#This Row],[Valor do item pago]]=PEDIDOS[[#This Row],[Total Item ]],"PAGO", "")</f>
        <v>PAGO</v>
      </c>
    </row>
    <row r="976" spans="1:17" s="216" customFormat="1" ht="39.950000000000003" customHeight="1" x14ac:dyDescent="0.25">
      <c r="A976" s="231"/>
      <c r="B976" s="240">
        <v>902</v>
      </c>
      <c r="C976" s="241">
        <v>43586</v>
      </c>
      <c r="D976" s="242" t="s">
        <v>49</v>
      </c>
      <c r="E976" s="240" t="s">
        <v>614</v>
      </c>
      <c r="F976" s="240" t="s">
        <v>1220</v>
      </c>
      <c r="G976" s="240" t="s">
        <v>1363</v>
      </c>
      <c r="H976" s="240" t="s">
        <v>393</v>
      </c>
      <c r="I976" s="243" t="s">
        <v>423</v>
      </c>
      <c r="J976" s="243"/>
      <c r="K976" s="243"/>
      <c r="L976" s="240" t="s">
        <v>219</v>
      </c>
      <c r="M976" s="244">
        <v>1</v>
      </c>
      <c r="N976" s="245">
        <v>40</v>
      </c>
      <c r="O976" s="243">
        <v>40</v>
      </c>
      <c r="P976" s="243">
        <v>40</v>
      </c>
      <c r="Q976" s="180" t="str">
        <f>IF(PEDIDOS[[#This Row],[Valor do item pago]]=PEDIDOS[[#This Row],[Total Item ]],"PAGO", "")</f>
        <v>PAGO</v>
      </c>
    </row>
    <row r="977" spans="1:17" s="216" customFormat="1" ht="39.950000000000003" customHeight="1" x14ac:dyDescent="0.25">
      <c r="A977" s="231"/>
      <c r="B977" s="240">
        <v>901</v>
      </c>
      <c r="C977" s="241">
        <v>43586</v>
      </c>
      <c r="D977" s="242" t="s">
        <v>49</v>
      </c>
      <c r="E977" s="240" t="s">
        <v>611</v>
      </c>
      <c r="F977" s="240" t="s">
        <v>1225</v>
      </c>
      <c r="G977" s="240" t="s">
        <v>1429</v>
      </c>
      <c r="H977" s="240" t="s">
        <v>390</v>
      </c>
      <c r="I977" s="243" t="s">
        <v>253</v>
      </c>
      <c r="J977" s="243"/>
      <c r="K977" s="243" t="s">
        <v>49</v>
      </c>
      <c r="L977" s="240" t="s">
        <v>3</v>
      </c>
      <c r="M977" s="244">
        <v>1</v>
      </c>
      <c r="N977" s="245">
        <v>40</v>
      </c>
      <c r="O977" s="243">
        <v>40</v>
      </c>
      <c r="P977" s="243">
        <v>40</v>
      </c>
      <c r="Q977" s="180" t="str">
        <f>IF(PEDIDOS[[#This Row],[Valor do item pago]]=PEDIDOS[[#This Row],[Total Item ]],"PAGO", "")</f>
        <v>PAGO</v>
      </c>
    </row>
    <row r="978" spans="1:17" s="216" customFormat="1" ht="39.950000000000003" customHeight="1" x14ac:dyDescent="0.25">
      <c r="A978" s="231"/>
      <c r="B978" s="240">
        <v>900</v>
      </c>
      <c r="C978" s="241">
        <v>43586</v>
      </c>
      <c r="D978" s="242" t="s">
        <v>34</v>
      </c>
      <c r="E978" s="240" t="s">
        <v>649</v>
      </c>
      <c r="F978" s="240" t="s">
        <v>1243</v>
      </c>
      <c r="G978" s="240" t="s">
        <v>51</v>
      </c>
      <c r="H978" s="240" t="s">
        <v>52</v>
      </c>
      <c r="I978" s="243" t="s">
        <v>447</v>
      </c>
      <c r="J978" s="243"/>
      <c r="K978" s="243"/>
      <c r="L978" s="240" t="s">
        <v>219</v>
      </c>
      <c r="M978" s="244">
        <v>1</v>
      </c>
      <c r="N978" s="245">
        <v>40</v>
      </c>
      <c r="O978" s="243">
        <v>40</v>
      </c>
      <c r="P978" s="243"/>
      <c r="Q978" s="180" t="str">
        <f>IF(PEDIDOS[[#This Row],[Valor do item pago]]=PEDIDOS[[#This Row],[Total Item ]],"PAGO", "")</f>
        <v/>
      </c>
    </row>
    <row r="979" spans="1:17" s="216" customFormat="1" ht="39.950000000000003" customHeight="1" x14ac:dyDescent="0.25">
      <c r="A979" s="231"/>
      <c r="B979" s="240">
        <v>899</v>
      </c>
      <c r="C979" s="241">
        <v>43586</v>
      </c>
      <c r="D979" s="242" t="s">
        <v>34</v>
      </c>
      <c r="E979" s="240" t="s">
        <v>1316</v>
      </c>
      <c r="F979" s="240" t="s">
        <v>717</v>
      </c>
      <c r="G979" s="240" t="s">
        <v>1394</v>
      </c>
      <c r="H979" s="240" t="s">
        <v>112</v>
      </c>
      <c r="I979" s="243" t="s">
        <v>720</v>
      </c>
      <c r="J979" s="243"/>
      <c r="K979" s="243"/>
      <c r="L979" s="240" t="s">
        <v>3</v>
      </c>
      <c r="M979" s="244">
        <v>2</v>
      </c>
      <c r="N979" s="245">
        <v>40</v>
      </c>
      <c r="O979" s="243">
        <v>80</v>
      </c>
      <c r="P979" s="243"/>
      <c r="Q979" s="180" t="str">
        <f>IF(PEDIDOS[[#This Row],[Valor do item pago]]=PEDIDOS[[#This Row],[Total Item ]],"PAGO", "")</f>
        <v/>
      </c>
    </row>
    <row r="980" spans="1:17" s="216" customFormat="1" ht="39.950000000000003" customHeight="1" x14ac:dyDescent="0.25">
      <c r="A980" s="231"/>
      <c r="B980" s="240">
        <v>898</v>
      </c>
      <c r="C980" s="241">
        <v>43586</v>
      </c>
      <c r="D980" s="242" t="s">
        <v>34</v>
      </c>
      <c r="E980" s="240" t="s">
        <v>594</v>
      </c>
      <c r="F980" s="240" t="s">
        <v>1449</v>
      </c>
      <c r="G980" s="240" t="s">
        <v>1445</v>
      </c>
      <c r="H980" s="240" t="s">
        <v>112</v>
      </c>
      <c r="I980" s="243" t="s">
        <v>413</v>
      </c>
      <c r="J980" s="243"/>
      <c r="K980" s="243"/>
      <c r="L980" s="240" t="s">
        <v>235</v>
      </c>
      <c r="M980" s="244">
        <v>1</v>
      </c>
      <c r="N980" s="245">
        <v>40</v>
      </c>
      <c r="O980" s="243">
        <v>40</v>
      </c>
      <c r="P980" s="243"/>
      <c r="Q980" s="180" t="str">
        <f>IF(PEDIDOS[[#This Row],[Valor do item pago]]=PEDIDOS[[#This Row],[Total Item ]],"PAGO", "")</f>
        <v/>
      </c>
    </row>
    <row r="981" spans="1:17" s="216" customFormat="1" ht="39.950000000000003" customHeight="1" x14ac:dyDescent="0.25">
      <c r="A981" s="231"/>
      <c r="B981" s="240">
        <v>897</v>
      </c>
      <c r="C981" s="241">
        <v>43586</v>
      </c>
      <c r="D981" s="242" t="s">
        <v>40</v>
      </c>
      <c r="E981" s="240" t="s">
        <v>630</v>
      </c>
      <c r="F981" s="240" t="s">
        <v>1245</v>
      </c>
      <c r="G981" s="240" t="s">
        <v>1392</v>
      </c>
      <c r="H981" s="240" t="s">
        <v>1205</v>
      </c>
      <c r="I981" s="243" t="s">
        <v>735</v>
      </c>
      <c r="J981" s="243"/>
      <c r="K981" s="243"/>
      <c r="L981" s="240" t="s">
        <v>1</v>
      </c>
      <c r="M981" s="244">
        <v>1</v>
      </c>
      <c r="N981" s="245">
        <v>40</v>
      </c>
      <c r="O981" s="243">
        <v>40</v>
      </c>
      <c r="P981" s="243">
        <v>40</v>
      </c>
      <c r="Q981" s="180" t="str">
        <f>IF(PEDIDOS[[#This Row],[Valor do item pago]]=PEDIDOS[[#This Row],[Total Item ]],"PAGO", "")</f>
        <v>PAGO</v>
      </c>
    </row>
    <row r="982" spans="1:17" s="216" customFormat="1" ht="39.950000000000003" customHeight="1" x14ac:dyDescent="0.25">
      <c r="A982" s="231"/>
      <c r="B982" s="240">
        <v>897</v>
      </c>
      <c r="C982" s="241">
        <v>43586</v>
      </c>
      <c r="D982" s="242" t="s">
        <v>40</v>
      </c>
      <c r="E982" s="240" t="s">
        <v>630</v>
      </c>
      <c r="F982" s="240" t="s">
        <v>1245</v>
      </c>
      <c r="G982" s="240" t="s">
        <v>1392</v>
      </c>
      <c r="H982" s="240" t="s">
        <v>1205</v>
      </c>
      <c r="I982" s="243" t="s">
        <v>735</v>
      </c>
      <c r="J982" s="243"/>
      <c r="K982" s="243"/>
      <c r="L982" s="240" t="s">
        <v>0</v>
      </c>
      <c r="M982" s="244">
        <v>1</v>
      </c>
      <c r="N982" s="245">
        <v>40</v>
      </c>
      <c r="O982" s="243">
        <v>40</v>
      </c>
      <c r="P982" s="243">
        <v>40</v>
      </c>
      <c r="Q982" s="180" t="str">
        <f>IF(PEDIDOS[[#This Row],[Valor do item pago]]=PEDIDOS[[#This Row],[Total Item ]],"PAGO", "")</f>
        <v>PAGO</v>
      </c>
    </row>
    <row r="983" spans="1:17" s="216" customFormat="1" ht="39.950000000000003" customHeight="1" x14ac:dyDescent="0.25">
      <c r="A983" s="231"/>
      <c r="B983" s="240">
        <v>896</v>
      </c>
      <c r="C983" s="241">
        <v>43586</v>
      </c>
      <c r="D983" s="242" t="s">
        <v>40</v>
      </c>
      <c r="E983" s="240" t="s">
        <v>13</v>
      </c>
      <c r="F983" s="240" t="s">
        <v>1491</v>
      </c>
      <c r="G983" s="240" t="s">
        <v>1492</v>
      </c>
      <c r="H983" s="240" t="s">
        <v>1197</v>
      </c>
      <c r="I983" s="243" t="s">
        <v>1493</v>
      </c>
      <c r="J983" s="243"/>
      <c r="K983" s="243"/>
      <c r="L983" s="240" t="s">
        <v>3</v>
      </c>
      <c r="M983" s="244">
        <v>1</v>
      </c>
      <c r="N983" s="245">
        <v>40</v>
      </c>
      <c r="O983" s="243">
        <v>40</v>
      </c>
      <c r="P983" s="243"/>
      <c r="Q983" s="180" t="str">
        <f>IF(PEDIDOS[[#This Row],[Valor do item pago]]=PEDIDOS[[#This Row],[Total Item ]],"PAGO", "")</f>
        <v/>
      </c>
    </row>
    <row r="984" spans="1:17" s="216" customFormat="1" ht="39.950000000000003" customHeight="1" x14ac:dyDescent="0.25">
      <c r="A984" s="231"/>
      <c r="B984" s="240">
        <v>896</v>
      </c>
      <c r="C984" s="241">
        <v>43586</v>
      </c>
      <c r="D984" s="242" t="s">
        <v>40</v>
      </c>
      <c r="E984" s="240" t="s">
        <v>13</v>
      </c>
      <c r="F984" s="240" t="s">
        <v>1491</v>
      </c>
      <c r="G984" s="240" t="s">
        <v>1492</v>
      </c>
      <c r="H984" s="240" t="s">
        <v>1197</v>
      </c>
      <c r="I984" s="243" t="s">
        <v>1493</v>
      </c>
      <c r="J984" s="243"/>
      <c r="K984" s="243"/>
      <c r="L984" s="240" t="s">
        <v>219</v>
      </c>
      <c r="M984" s="244">
        <v>1</v>
      </c>
      <c r="N984" s="245">
        <v>40</v>
      </c>
      <c r="O984" s="243">
        <v>40</v>
      </c>
      <c r="P984" s="243"/>
      <c r="Q984" s="180" t="str">
        <f>IF(PEDIDOS[[#This Row],[Valor do item pago]]=PEDIDOS[[#This Row],[Total Item ]],"PAGO", "")</f>
        <v/>
      </c>
    </row>
    <row r="985" spans="1:17" s="216" customFormat="1" ht="39.950000000000003" customHeight="1" x14ac:dyDescent="0.25">
      <c r="A985" s="231"/>
      <c r="B985" s="240">
        <v>895</v>
      </c>
      <c r="C985" s="241">
        <v>43586</v>
      </c>
      <c r="D985" s="242" t="s">
        <v>40</v>
      </c>
      <c r="E985" s="240" t="s">
        <v>1255</v>
      </c>
      <c r="F985" s="240" t="s">
        <v>1210</v>
      </c>
      <c r="G985" s="240">
        <v>0</v>
      </c>
      <c r="H985" s="240">
        <v>0</v>
      </c>
      <c r="I985" s="243"/>
      <c r="J985" s="243"/>
      <c r="K985" s="243"/>
      <c r="L985" s="240" t="s">
        <v>3</v>
      </c>
      <c r="M985" s="244">
        <v>2</v>
      </c>
      <c r="N985" s="245">
        <v>40</v>
      </c>
      <c r="O985" s="243">
        <v>80</v>
      </c>
      <c r="P985" s="243"/>
      <c r="Q985" s="180" t="str">
        <f>IF(PEDIDOS[[#This Row],[Valor do item pago]]=PEDIDOS[[#This Row],[Total Item ]],"PAGO", "")</f>
        <v/>
      </c>
    </row>
    <row r="986" spans="1:17" s="216" customFormat="1" ht="39.950000000000003" customHeight="1" x14ac:dyDescent="0.25">
      <c r="A986" s="231"/>
      <c r="B986" s="240">
        <v>894</v>
      </c>
      <c r="C986" s="241">
        <v>43586</v>
      </c>
      <c r="D986" s="242" t="s">
        <v>24</v>
      </c>
      <c r="E986" s="240" t="s">
        <v>25</v>
      </c>
      <c r="F986" s="240" t="s">
        <v>1222</v>
      </c>
      <c r="G986" s="240" t="s">
        <v>1411</v>
      </c>
      <c r="H986" s="240" t="s">
        <v>406</v>
      </c>
      <c r="I986" s="243" t="s">
        <v>329</v>
      </c>
      <c r="J986" s="243" t="s">
        <v>24</v>
      </c>
      <c r="K986" s="243"/>
      <c r="L986" s="240" t="s">
        <v>219</v>
      </c>
      <c r="M986" s="244">
        <v>1</v>
      </c>
      <c r="N986" s="245">
        <v>40</v>
      </c>
      <c r="O986" s="243">
        <v>40</v>
      </c>
      <c r="P986" s="243"/>
      <c r="Q986" s="180" t="str">
        <f>IF(PEDIDOS[[#This Row],[Valor do item pago]]=PEDIDOS[[#This Row],[Total Item ]],"PAGO", "")</f>
        <v/>
      </c>
    </row>
    <row r="987" spans="1:17" s="216" customFormat="1" ht="39.950000000000003" customHeight="1" x14ac:dyDescent="0.25">
      <c r="A987" s="231"/>
      <c r="B987" s="240">
        <v>893</v>
      </c>
      <c r="C987" s="241">
        <v>43586</v>
      </c>
      <c r="D987" s="242" t="s">
        <v>24</v>
      </c>
      <c r="E987" s="240" t="s">
        <v>23</v>
      </c>
      <c r="F987" s="240">
        <v>0</v>
      </c>
      <c r="G987" s="240">
        <v>0</v>
      </c>
      <c r="H987" s="240">
        <v>0</v>
      </c>
      <c r="I987" s="243"/>
      <c r="J987" s="243"/>
      <c r="K987" s="243"/>
      <c r="L987" s="240" t="s">
        <v>3</v>
      </c>
      <c r="M987" s="244">
        <v>2</v>
      </c>
      <c r="N987" s="245">
        <v>40</v>
      </c>
      <c r="O987" s="243">
        <v>80</v>
      </c>
      <c r="P987" s="243"/>
      <c r="Q987" s="180" t="str">
        <f>IF(PEDIDOS[[#This Row],[Valor do item pago]]=PEDIDOS[[#This Row],[Total Item ]],"PAGO", "")</f>
        <v/>
      </c>
    </row>
    <row r="988" spans="1:17" s="216" customFormat="1" ht="39.950000000000003" customHeight="1" x14ac:dyDescent="0.25">
      <c r="A988" s="231"/>
      <c r="B988" s="240">
        <v>893</v>
      </c>
      <c r="C988" s="241">
        <v>43586</v>
      </c>
      <c r="D988" s="242" t="s">
        <v>24</v>
      </c>
      <c r="E988" s="240" t="s">
        <v>23</v>
      </c>
      <c r="F988" s="240">
        <v>0</v>
      </c>
      <c r="G988" s="240">
        <v>0</v>
      </c>
      <c r="H988" s="240">
        <v>0</v>
      </c>
      <c r="I988" s="243"/>
      <c r="J988" s="243"/>
      <c r="K988" s="243"/>
      <c r="L988" s="240" t="s">
        <v>1</v>
      </c>
      <c r="M988" s="244">
        <v>3</v>
      </c>
      <c r="N988" s="245">
        <v>40</v>
      </c>
      <c r="O988" s="243">
        <v>120</v>
      </c>
      <c r="P988" s="243"/>
      <c r="Q988" s="180" t="str">
        <f>IF(PEDIDOS[[#This Row],[Valor do item pago]]=PEDIDOS[[#This Row],[Total Item ]],"PAGO", "")</f>
        <v/>
      </c>
    </row>
    <row r="989" spans="1:17" s="216" customFormat="1" ht="39.950000000000003" customHeight="1" x14ac:dyDescent="0.25">
      <c r="A989" s="231"/>
      <c r="B989" s="240">
        <v>892</v>
      </c>
      <c r="C989" s="241">
        <v>43560</v>
      </c>
      <c r="D989" s="242" t="s">
        <v>24</v>
      </c>
      <c r="E989" s="240" t="s">
        <v>1489</v>
      </c>
      <c r="F989" s="240">
        <v>0</v>
      </c>
      <c r="G989" s="240">
        <v>0</v>
      </c>
      <c r="H989" s="240">
        <v>0</v>
      </c>
      <c r="I989" s="243"/>
      <c r="J989" s="243"/>
      <c r="K989" s="243" t="s">
        <v>24</v>
      </c>
      <c r="L989" s="240" t="s">
        <v>3</v>
      </c>
      <c r="M989" s="244">
        <v>1</v>
      </c>
      <c r="N989" s="245">
        <v>40</v>
      </c>
      <c r="O989" s="243">
        <v>40</v>
      </c>
      <c r="P989" s="243"/>
      <c r="Q989" s="180" t="str">
        <f>IF(PEDIDOS[[#This Row],[Valor do item pago]]=PEDIDOS[[#This Row],[Total Item ]],"PAGO", "")</f>
        <v/>
      </c>
    </row>
    <row r="990" spans="1:17" s="216" customFormat="1" ht="39.950000000000003" customHeight="1" x14ac:dyDescent="0.25">
      <c r="A990" s="231"/>
      <c r="B990" s="240">
        <v>892</v>
      </c>
      <c r="C990" s="241">
        <v>43560</v>
      </c>
      <c r="D990" s="242" t="s">
        <v>24</v>
      </c>
      <c r="E990" s="240" t="s">
        <v>1489</v>
      </c>
      <c r="F990" s="240">
        <v>0</v>
      </c>
      <c r="G990" s="240">
        <v>0</v>
      </c>
      <c r="H990" s="240">
        <v>0</v>
      </c>
      <c r="I990" s="243"/>
      <c r="J990" s="243"/>
      <c r="K990" s="243" t="s">
        <v>24</v>
      </c>
      <c r="L990" s="240" t="s">
        <v>1</v>
      </c>
      <c r="M990" s="244">
        <v>1</v>
      </c>
      <c r="N990" s="245">
        <v>40</v>
      </c>
      <c r="O990" s="243">
        <v>40</v>
      </c>
      <c r="P990" s="243"/>
      <c r="Q990" s="180" t="str">
        <f>IF(PEDIDOS[[#This Row],[Valor do item pago]]=PEDIDOS[[#This Row],[Total Item ]],"PAGO", "")</f>
        <v/>
      </c>
    </row>
    <row r="991" spans="1:17" s="216" customFormat="1" ht="39.950000000000003" customHeight="1" x14ac:dyDescent="0.25">
      <c r="A991" s="231"/>
      <c r="B991" s="240">
        <v>892</v>
      </c>
      <c r="C991" s="241">
        <v>43560</v>
      </c>
      <c r="D991" s="242" t="s">
        <v>24</v>
      </c>
      <c r="E991" s="240" t="s">
        <v>1489</v>
      </c>
      <c r="F991" s="240">
        <v>0</v>
      </c>
      <c r="G991" s="240">
        <v>0</v>
      </c>
      <c r="H991" s="240">
        <v>0</v>
      </c>
      <c r="I991" s="243"/>
      <c r="J991" s="243"/>
      <c r="K991" s="243" t="s">
        <v>24</v>
      </c>
      <c r="L991" s="240" t="s">
        <v>0</v>
      </c>
      <c r="M991" s="244">
        <v>1</v>
      </c>
      <c r="N991" s="245">
        <v>40</v>
      </c>
      <c r="O991" s="243">
        <v>40</v>
      </c>
      <c r="P991" s="243"/>
      <c r="Q991" s="180" t="str">
        <f>IF(PEDIDOS[[#This Row],[Valor do item pago]]=PEDIDOS[[#This Row],[Total Item ]],"PAGO", "")</f>
        <v/>
      </c>
    </row>
    <row r="992" spans="1:17" s="216" customFormat="1" ht="39.950000000000003" customHeight="1" x14ac:dyDescent="0.25">
      <c r="A992" s="231"/>
      <c r="B992" s="240">
        <v>891</v>
      </c>
      <c r="C992" s="241">
        <v>43560</v>
      </c>
      <c r="D992" s="242" t="s">
        <v>477</v>
      </c>
      <c r="E992" s="240" t="s">
        <v>1259</v>
      </c>
      <c r="F992" s="240" t="s">
        <v>1226</v>
      </c>
      <c r="G992" s="240" t="s">
        <v>1488</v>
      </c>
      <c r="H992" s="240" t="s">
        <v>390</v>
      </c>
      <c r="I992" s="243" t="s">
        <v>251</v>
      </c>
      <c r="J992" s="243"/>
      <c r="K992" s="243"/>
      <c r="L992" s="240" t="s">
        <v>3</v>
      </c>
      <c r="M992" s="244">
        <v>2</v>
      </c>
      <c r="N992" s="245">
        <v>40</v>
      </c>
      <c r="O992" s="243">
        <v>80</v>
      </c>
      <c r="P992" s="243"/>
      <c r="Q992" s="180" t="str">
        <f>IF(PEDIDOS[[#This Row],[Valor do item pago]]=PEDIDOS[[#This Row],[Total Item ]],"PAGO", "")</f>
        <v/>
      </c>
    </row>
    <row r="993" spans="1:17" s="216" customFormat="1" ht="39.950000000000003" customHeight="1" x14ac:dyDescent="0.25">
      <c r="A993" s="231"/>
      <c r="B993" s="216">
        <v>890</v>
      </c>
      <c r="C993" s="232">
        <v>43559</v>
      </c>
      <c r="D993" s="233" t="s">
        <v>477</v>
      </c>
      <c r="E993" s="216" t="s">
        <v>1473</v>
      </c>
      <c r="F993" s="216" t="s">
        <v>1478</v>
      </c>
      <c r="G993" s="216" t="s">
        <v>1484</v>
      </c>
      <c r="H993" s="216" t="s">
        <v>84</v>
      </c>
      <c r="I993" s="234" t="s">
        <v>1483</v>
      </c>
      <c r="J993" s="234"/>
      <c r="K993" s="234"/>
      <c r="L993" s="216" t="s">
        <v>219</v>
      </c>
      <c r="M993" s="178">
        <v>1</v>
      </c>
      <c r="N993" s="235">
        <v>40</v>
      </c>
      <c r="O993" s="234">
        <v>40</v>
      </c>
      <c r="P993" s="234">
        <v>40</v>
      </c>
      <c r="Q993" s="180" t="str">
        <f>IF(PEDIDOS[[#This Row],[Valor do item pago]]=PEDIDOS[[#This Row],[Total Item ]],"PAGO", "")</f>
        <v>PAGO</v>
      </c>
    </row>
    <row r="994" spans="1:17" s="216" customFormat="1" ht="39.950000000000003" customHeight="1" x14ac:dyDescent="0.25">
      <c r="A994" s="231"/>
      <c r="B994" s="216">
        <v>888</v>
      </c>
      <c r="C994" s="232">
        <v>43559</v>
      </c>
      <c r="D994" s="233" t="s">
        <v>477</v>
      </c>
      <c r="E994" s="216" t="s">
        <v>1472</v>
      </c>
      <c r="F994" s="216" t="s">
        <v>1476</v>
      </c>
      <c r="G994" s="216" t="s">
        <v>1482</v>
      </c>
      <c r="H994" s="216" t="s">
        <v>461</v>
      </c>
      <c r="I994" s="234" t="s">
        <v>1485</v>
      </c>
      <c r="J994" s="234"/>
      <c r="K994" s="234"/>
      <c r="L994" s="216" t="s">
        <v>219</v>
      </c>
      <c r="M994" s="178">
        <v>1</v>
      </c>
      <c r="N994" s="235">
        <v>40</v>
      </c>
      <c r="O994" s="234">
        <v>40</v>
      </c>
      <c r="P994" s="234">
        <v>40</v>
      </c>
      <c r="Q994" s="180" t="str">
        <f>IF(PEDIDOS[[#This Row],[Valor do item pago]]=PEDIDOS[[#This Row],[Total Item ]],"PAGO", "")</f>
        <v>PAGO</v>
      </c>
    </row>
    <row r="995" spans="1:17" s="216" customFormat="1" ht="39.950000000000003" customHeight="1" x14ac:dyDescent="0.25">
      <c r="A995" s="231"/>
      <c r="B995" s="216">
        <v>887</v>
      </c>
      <c r="C995" s="232">
        <v>43559</v>
      </c>
      <c r="D995" s="233" t="s">
        <v>477</v>
      </c>
      <c r="E995" s="216" t="s">
        <v>1471</v>
      </c>
      <c r="F995" s="216" t="s">
        <v>1477</v>
      </c>
      <c r="G995" s="216" t="s">
        <v>1481</v>
      </c>
      <c r="H995" s="216" t="s">
        <v>651</v>
      </c>
      <c r="I995" s="234" t="s">
        <v>1486</v>
      </c>
      <c r="J995" s="234"/>
      <c r="K995" s="234"/>
      <c r="L995" s="216" t="s">
        <v>219</v>
      </c>
      <c r="M995" s="178">
        <v>1</v>
      </c>
      <c r="N995" s="235">
        <v>40</v>
      </c>
      <c r="O995" s="234">
        <v>40</v>
      </c>
      <c r="P995" s="234">
        <v>40</v>
      </c>
      <c r="Q995" s="180" t="str">
        <f>IF(PEDIDOS[[#This Row],[Valor do item pago]]=PEDIDOS[[#This Row],[Total Item ]],"PAGO", "")</f>
        <v>PAGO</v>
      </c>
    </row>
    <row r="996" spans="1:17" s="216" customFormat="1" ht="39.950000000000003" customHeight="1" x14ac:dyDescent="0.25">
      <c r="A996" s="231"/>
      <c r="B996" s="216">
        <v>886</v>
      </c>
      <c r="C996" s="232">
        <v>43559</v>
      </c>
      <c r="D996" s="233" t="s">
        <v>477</v>
      </c>
      <c r="E996" s="216" t="s">
        <v>1470</v>
      </c>
      <c r="F996" s="216" t="s">
        <v>1475</v>
      </c>
      <c r="G996" s="216" t="s">
        <v>1480</v>
      </c>
      <c r="H996" s="216" t="s">
        <v>441</v>
      </c>
      <c r="I996" s="234" t="s">
        <v>1487</v>
      </c>
      <c r="J996" s="234"/>
      <c r="K996" s="234" t="s">
        <v>477</v>
      </c>
      <c r="L996" s="216" t="s">
        <v>1</v>
      </c>
      <c r="M996" s="178">
        <v>1</v>
      </c>
      <c r="N996" s="235">
        <v>40</v>
      </c>
      <c r="O996" s="234">
        <v>40</v>
      </c>
      <c r="P996" s="234"/>
      <c r="Q996" s="180" t="str">
        <f>IF(PEDIDOS[[#This Row],[Valor do item pago]]=PEDIDOS[[#This Row],[Total Item ]],"PAGO", "")</f>
        <v/>
      </c>
    </row>
    <row r="997" spans="1:17" s="216" customFormat="1" ht="39.950000000000003" customHeight="1" x14ac:dyDescent="0.25">
      <c r="A997" s="231"/>
      <c r="B997" s="216">
        <v>886</v>
      </c>
      <c r="C997" s="232">
        <v>43559</v>
      </c>
      <c r="D997" s="233" t="s">
        <v>477</v>
      </c>
      <c r="E997" s="216" t="s">
        <v>1470</v>
      </c>
      <c r="F997" s="216" t="s">
        <v>1475</v>
      </c>
      <c r="G997" s="216" t="s">
        <v>1480</v>
      </c>
      <c r="H997" s="216" t="s">
        <v>441</v>
      </c>
      <c r="I997" s="234" t="s">
        <v>1487</v>
      </c>
      <c r="J997" s="234"/>
      <c r="K997" s="234" t="s">
        <v>477</v>
      </c>
      <c r="L997" s="216" t="s">
        <v>0</v>
      </c>
      <c r="M997" s="178">
        <v>1</v>
      </c>
      <c r="N997" s="235">
        <v>40</v>
      </c>
      <c r="O997" s="234">
        <v>40</v>
      </c>
      <c r="P997" s="234"/>
      <c r="Q997" s="180" t="str">
        <f>IF(PEDIDOS[[#This Row],[Valor do item pago]]=PEDIDOS[[#This Row],[Total Item ]],"PAGO", "")</f>
        <v/>
      </c>
    </row>
    <row r="998" spans="1:17" s="216" customFormat="1" ht="39.950000000000003" customHeight="1" x14ac:dyDescent="0.25">
      <c r="A998" s="231"/>
      <c r="B998" s="216">
        <v>885</v>
      </c>
      <c r="C998" s="232">
        <v>43559</v>
      </c>
      <c r="D998" s="233" t="s">
        <v>477</v>
      </c>
      <c r="E998" s="216" t="s">
        <v>1469</v>
      </c>
      <c r="F998" s="216" t="s">
        <v>1474</v>
      </c>
      <c r="G998" s="216" t="s">
        <v>1479</v>
      </c>
      <c r="H998" s="216" t="s">
        <v>441</v>
      </c>
      <c r="I998" s="234" t="s">
        <v>884</v>
      </c>
      <c r="J998" s="234"/>
      <c r="K998" s="234" t="s">
        <v>477</v>
      </c>
      <c r="L998" s="216" t="s">
        <v>219</v>
      </c>
      <c r="M998" s="178">
        <v>1</v>
      </c>
      <c r="N998" s="235">
        <v>40</v>
      </c>
      <c r="O998" s="234">
        <v>40</v>
      </c>
      <c r="P998" s="234"/>
      <c r="Q998" s="180" t="str">
        <f>IF(PEDIDOS[[#This Row],[Valor do item pago]]=PEDIDOS[[#This Row],[Total Item ]],"PAGO", "")</f>
        <v/>
      </c>
    </row>
    <row r="999" spans="1:17" s="216" customFormat="1" ht="39.950000000000003" customHeight="1" x14ac:dyDescent="0.25">
      <c r="A999" s="231"/>
      <c r="B999" s="216">
        <v>884</v>
      </c>
      <c r="C999" s="232">
        <v>43559</v>
      </c>
      <c r="D999" s="233" t="s">
        <v>477</v>
      </c>
      <c r="E999" s="216" t="s">
        <v>1466</v>
      </c>
      <c r="F999" s="216" t="s">
        <v>1467</v>
      </c>
      <c r="G999" s="216" t="s">
        <v>1468</v>
      </c>
      <c r="H999" s="216" t="s">
        <v>441</v>
      </c>
      <c r="I999" s="234" t="s">
        <v>1487</v>
      </c>
      <c r="J999" s="234"/>
      <c r="K999" s="234" t="s">
        <v>477</v>
      </c>
      <c r="L999" s="216" t="s">
        <v>0</v>
      </c>
      <c r="M999" s="178">
        <v>1</v>
      </c>
      <c r="N999" s="235">
        <v>40</v>
      </c>
      <c r="O999" s="234">
        <v>40</v>
      </c>
      <c r="P999" s="234"/>
      <c r="Q999" s="180" t="str">
        <f>IF(PEDIDOS[[#This Row],[Valor do item pago]]=PEDIDOS[[#This Row],[Total Item ]],"PAGO", "")</f>
        <v/>
      </c>
    </row>
    <row r="1000" spans="1:17" s="216" customFormat="1" ht="39.950000000000003" customHeight="1" x14ac:dyDescent="0.25">
      <c r="A1000" s="231"/>
      <c r="B1000" s="216">
        <v>883</v>
      </c>
      <c r="C1000" s="232">
        <v>43559</v>
      </c>
      <c r="D1000" s="233" t="s">
        <v>477</v>
      </c>
      <c r="E1000" s="216" t="s">
        <v>1463</v>
      </c>
      <c r="F1000" s="216" t="s">
        <v>1464</v>
      </c>
      <c r="G1000" s="216" t="s">
        <v>1465</v>
      </c>
      <c r="H1000" s="216" t="s">
        <v>441</v>
      </c>
      <c r="I1000" s="234" t="s">
        <v>884</v>
      </c>
      <c r="J1000" s="234"/>
      <c r="K1000" s="234" t="s">
        <v>477</v>
      </c>
      <c r="L1000" s="216" t="s">
        <v>1</v>
      </c>
      <c r="M1000" s="178">
        <v>1</v>
      </c>
      <c r="N1000" s="235">
        <v>40</v>
      </c>
      <c r="O1000" s="234">
        <v>40</v>
      </c>
      <c r="P1000" s="234"/>
      <c r="Q1000" s="180" t="str">
        <f>IF(PEDIDOS[[#This Row],[Valor do item pago]]=PEDIDOS[[#This Row],[Total Item ]],"PAGO", "")</f>
        <v/>
      </c>
    </row>
    <row r="1001" spans="1:17" s="216" customFormat="1" ht="39.950000000000003" customHeight="1" x14ac:dyDescent="0.25">
      <c r="A1001" s="231"/>
      <c r="B1001" s="216">
        <v>882</v>
      </c>
      <c r="C1001" s="232">
        <v>43559</v>
      </c>
      <c r="D1001" s="233" t="s">
        <v>477</v>
      </c>
      <c r="E1001" s="216" t="s">
        <v>1280</v>
      </c>
      <c r="F1001" s="216" t="s">
        <v>1163</v>
      </c>
      <c r="G1001" s="216" t="s">
        <v>1281</v>
      </c>
      <c r="H1001" s="216" t="s">
        <v>723</v>
      </c>
      <c r="I1001" s="234" t="s">
        <v>1166</v>
      </c>
      <c r="J1001" s="234"/>
      <c r="K1001" s="234"/>
      <c r="L1001" s="216" t="s">
        <v>219</v>
      </c>
      <c r="M1001" s="178">
        <v>1</v>
      </c>
      <c r="N1001" s="235">
        <v>40</v>
      </c>
      <c r="O1001" s="234">
        <v>40</v>
      </c>
      <c r="P1001" s="234"/>
      <c r="Q1001" s="180" t="str">
        <f>IF(PEDIDOS[[#This Row],[Valor do item pago]]=PEDIDOS[[#This Row],[Total Item ]],"PAGO", "")</f>
        <v/>
      </c>
    </row>
    <row r="1002" spans="1:17" s="216" customFormat="1" ht="39.950000000000003" customHeight="1" x14ac:dyDescent="0.25">
      <c r="A1002" s="231"/>
      <c r="B1002" s="216">
        <v>881</v>
      </c>
      <c r="C1002" s="232">
        <v>43559</v>
      </c>
      <c r="D1002" s="233" t="s">
        <v>477</v>
      </c>
      <c r="E1002" s="216" t="s">
        <v>1199</v>
      </c>
      <c r="F1002" s="216" t="s">
        <v>969</v>
      </c>
      <c r="G1002" s="216" t="s">
        <v>1361</v>
      </c>
      <c r="H1002" s="216" t="s">
        <v>52</v>
      </c>
      <c r="I1002" s="234" t="s">
        <v>971</v>
      </c>
      <c r="J1002" s="234" t="s">
        <v>1036</v>
      </c>
      <c r="K1002" s="234"/>
      <c r="L1002" s="216" t="s">
        <v>219</v>
      </c>
      <c r="M1002" s="178">
        <v>1</v>
      </c>
      <c r="N1002" s="235">
        <v>40</v>
      </c>
      <c r="O1002" s="234">
        <v>40</v>
      </c>
      <c r="P1002" s="234">
        <v>40</v>
      </c>
      <c r="Q1002" s="180" t="str">
        <f>IF(PEDIDOS[[#This Row],[Valor do item pago]]=PEDIDOS[[#This Row],[Total Item ]],"PAGO", "")</f>
        <v>PAGO</v>
      </c>
    </row>
    <row r="1003" spans="1:17" s="216" customFormat="1" ht="39.950000000000003" customHeight="1" x14ac:dyDescent="0.25">
      <c r="A1003" s="231"/>
      <c r="B1003" s="216">
        <v>880</v>
      </c>
      <c r="C1003" s="232">
        <v>43559</v>
      </c>
      <c r="D1003" s="233" t="s">
        <v>477</v>
      </c>
      <c r="E1003" s="216" t="s">
        <v>1142</v>
      </c>
      <c r="F1003" s="216" t="s">
        <v>1143</v>
      </c>
      <c r="G1003" s="216" t="s">
        <v>1184</v>
      </c>
      <c r="H1003" s="216" t="s">
        <v>406</v>
      </c>
      <c r="I1003" s="234" t="s">
        <v>1146</v>
      </c>
      <c r="J1003" s="234"/>
      <c r="K1003" s="234"/>
      <c r="L1003" s="216" t="s">
        <v>219</v>
      </c>
      <c r="M1003" s="178">
        <v>1</v>
      </c>
      <c r="N1003" s="235">
        <v>40</v>
      </c>
      <c r="O1003" s="234">
        <v>40</v>
      </c>
      <c r="P1003" s="234"/>
      <c r="Q1003" s="180" t="str">
        <f>IF(PEDIDOS[[#This Row],[Valor do item pago]]=PEDIDOS[[#This Row],[Total Item ]],"PAGO", "")</f>
        <v/>
      </c>
    </row>
    <row r="1004" spans="1:17" s="216" customFormat="1" ht="39.950000000000003" customHeight="1" x14ac:dyDescent="0.25">
      <c r="A1004" s="231"/>
      <c r="B1004" s="216">
        <v>879</v>
      </c>
      <c r="C1004" s="232">
        <v>43559</v>
      </c>
      <c r="D1004" s="233" t="s">
        <v>477</v>
      </c>
      <c r="E1004" s="216" t="s">
        <v>547</v>
      </c>
      <c r="F1004" s="216" t="s">
        <v>521</v>
      </c>
      <c r="G1004" s="216" t="s">
        <v>1317</v>
      </c>
      <c r="H1004" s="216" t="s">
        <v>1205</v>
      </c>
      <c r="I1004" s="234" t="s">
        <v>663</v>
      </c>
      <c r="J1004" s="234"/>
      <c r="K1004" s="234"/>
      <c r="L1004" s="216" t="s">
        <v>235</v>
      </c>
      <c r="M1004" s="178">
        <v>1</v>
      </c>
      <c r="N1004" s="235">
        <v>40</v>
      </c>
      <c r="O1004" s="234">
        <v>40</v>
      </c>
      <c r="P1004" s="234"/>
      <c r="Q1004" s="180" t="str">
        <f>IF(PEDIDOS[[#This Row],[Valor do item pago]]=PEDIDOS[[#This Row],[Total Item ]],"PAGO", "")</f>
        <v/>
      </c>
    </row>
    <row r="1005" spans="1:17" s="216" customFormat="1" ht="39.950000000000003" customHeight="1" x14ac:dyDescent="0.25">
      <c r="A1005" s="231"/>
      <c r="B1005" s="216">
        <v>878</v>
      </c>
      <c r="C1005" s="232">
        <v>43559</v>
      </c>
      <c r="D1005" s="233" t="s">
        <v>477</v>
      </c>
      <c r="E1005" s="216" t="s">
        <v>1188</v>
      </c>
      <c r="F1005" s="216" t="s">
        <v>1241</v>
      </c>
      <c r="G1005" s="216" t="s">
        <v>1350</v>
      </c>
      <c r="H1005" s="216" t="s">
        <v>401</v>
      </c>
      <c r="I1005" s="234" t="s">
        <v>445</v>
      </c>
      <c r="J1005" s="234"/>
      <c r="K1005" s="234"/>
      <c r="L1005" s="216" t="s">
        <v>3</v>
      </c>
      <c r="M1005" s="178">
        <v>1</v>
      </c>
      <c r="N1005" s="235">
        <v>40</v>
      </c>
      <c r="O1005" s="234">
        <v>40</v>
      </c>
      <c r="P1005" s="234"/>
      <c r="Q1005" s="180" t="str">
        <f>IF(PEDIDOS[[#This Row],[Valor do item pago]]=PEDIDOS[[#This Row],[Total Item ]],"PAGO", "")</f>
        <v/>
      </c>
    </row>
    <row r="1006" spans="1:17" s="216" customFormat="1" ht="39.950000000000003" customHeight="1" x14ac:dyDescent="0.25">
      <c r="A1006" s="231"/>
      <c r="B1006" s="216">
        <v>877</v>
      </c>
      <c r="C1006" s="232">
        <v>43559</v>
      </c>
      <c r="D1006" s="233" t="s">
        <v>477</v>
      </c>
      <c r="E1006" s="216" t="s">
        <v>513</v>
      </c>
      <c r="F1006" s="216" t="s">
        <v>514</v>
      </c>
      <c r="G1006" s="216" t="s">
        <v>1419</v>
      </c>
      <c r="H1006" s="216" t="s">
        <v>1455</v>
      </c>
      <c r="I1006" s="234" t="s">
        <v>661</v>
      </c>
      <c r="J1006" s="234"/>
      <c r="K1006" s="234"/>
      <c r="L1006" s="216" t="s">
        <v>219</v>
      </c>
      <c r="M1006" s="178">
        <v>1</v>
      </c>
      <c r="N1006" s="235">
        <v>40</v>
      </c>
      <c r="O1006" s="234">
        <v>40</v>
      </c>
      <c r="P1006" s="234"/>
      <c r="Q1006" s="180" t="str">
        <f>IF(PEDIDOS[[#This Row],[Valor do item pago]]=PEDIDOS[[#This Row],[Total Item ]],"PAGO", "")</f>
        <v/>
      </c>
    </row>
    <row r="1007" spans="1:17" s="216" customFormat="1" ht="39.950000000000003" customHeight="1" x14ac:dyDescent="0.25">
      <c r="A1007" s="231"/>
      <c r="B1007" s="216">
        <v>877</v>
      </c>
      <c r="C1007" s="232">
        <v>43559</v>
      </c>
      <c r="D1007" s="233" t="s">
        <v>477</v>
      </c>
      <c r="E1007" s="216" t="s">
        <v>513</v>
      </c>
      <c r="F1007" s="216" t="s">
        <v>514</v>
      </c>
      <c r="G1007" s="216" t="s">
        <v>1419</v>
      </c>
      <c r="H1007" s="216" t="s">
        <v>1455</v>
      </c>
      <c r="I1007" s="234" t="s">
        <v>661</v>
      </c>
      <c r="J1007" s="234"/>
      <c r="K1007" s="234"/>
      <c r="L1007" s="216" t="s">
        <v>1</v>
      </c>
      <c r="M1007" s="178">
        <v>1</v>
      </c>
      <c r="N1007" s="235">
        <v>40</v>
      </c>
      <c r="O1007" s="234">
        <v>40</v>
      </c>
      <c r="P1007" s="234"/>
      <c r="Q1007" s="180" t="str">
        <f>IF(PEDIDOS[[#This Row],[Valor do item pago]]=PEDIDOS[[#This Row],[Total Item ]],"PAGO", "")</f>
        <v/>
      </c>
    </row>
    <row r="1008" spans="1:17" s="216" customFormat="1" ht="39.950000000000003" customHeight="1" x14ac:dyDescent="0.25">
      <c r="A1008" s="231"/>
      <c r="B1008" s="216">
        <v>876</v>
      </c>
      <c r="C1008" s="232">
        <v>43559</v>
      </c>
      <c r="D1008" s="233" t="s">
        <v>477</v>
      </c>
      <c r="E1008" s="216" t="s">
        <v>367</v>
      </c>
      <c r="F1008" s="216" t="s">
        <v>1237</v>
      </c>
      <c r="G1008" s="216" t="s">
        <v>1418</v>
      </c>
      <c r="H1008" s="216" t="s">
        <v>392</v>
      </c>
      <c r="I1008" s="234" t="s">
        <v>656</v>
      </c>
      <c r="J1008" s="234"/>
      <c r="K1008" s="234"/>
      <c r="L1008" s="216" t="s">
        <v>0</v>
      </c>
      <c r="M1008" s="178">
        <v>1</v>
      </c>
      <c r="N1008" s="235">
        <v>40</v>
      </c>
      <c r="O1008" s="234">
        <v>40</v>
      </c>
      <c r="P1008" s="234"/>
      <c r="Q1008" s="180" t="str">
        <f>IF(PEDIDOS[[#This Row],[Valor do item pago]]=PEDIDOS[[#This Row],[Total Item ]],"PAGO", "")</f>
        <v/>
      </c>
    </row>
    <row r="1009" spans="1:17" s="216" customFormat="1" ht="39.950000000000003" customHeight="1" x14ac:dyDescent="0.25">
      <c r="A1009" s="231"/>
      <c r="B1009" s="216">
        <v>875</v>
      </c>
      <c r="C1009" s="232">
        <v>43559</v>
      </c>
      <c r="D1009" s="233" t="s">
        <v>477</v>
      </c>
      <c r="E1009" s="216" t="s">
        <v>1278</v>
      </c>
      <c r="F1009" s="216" t="s">
        <v>882</v>
      </c>
      <c r="G1009" s="216" t="s">
        <v>1382</v>
      </c>
      <c r="H1009" s="216" t="s">
        <v>441</v>
      </c>
      <c r="I1009" s="234" t="s">
        <v>884</v>
      </c>
      <c r="J1009" s="234"/>
      <c r="K1009" s="234" t="s">
        <v>477</v>
      </c>
      <c r="L1009" s="216" t="s">
        <v>0</v>
      </c>
      <c r="M1009" s="178">
        <v>1</v>
      </c>
      <c r="N1009" s="235">
        <v>40</v>
      </c>
      <c r="O1009" s="234">
        <v>40</v>
      </c>
      <c r="P1009" s="234"/>
      <c r="Q1009" s="180" t="str">
        <f>IF(PEDIDOS[[#This Row],[Valor do item pago]]=PEDIDOS[[#This Row],[Total Item ]],"PAGO", "")</f>
        <v/>
      </c>
    </row>
    <row r="1010" spans="1:17" s="216" customFormat="1" ht="39.950000000000003" customHeight="1" x14ac:dyDescent="0.25">
      <c r="A1010" s="231"/>
      <c r="B1010" s="216">
        <v>874</v>
      </c>
      <c r="C1010" s="232">
        <v>43559</v>
      </c>
      <c r="D1010" s="233" t="s">
        <v>477</v>
      </c>
      <c r="E1010" s="216" t="s">
        <v>1262</v>
      </c>
      <c r="F1010" s="216">
        <v>0</v>
      </c>
      <c r="G1010" s="216">
        <v>0</v>
      </c>
      <c r="H1010" s="216">
        <v>0</v>
      </c>
      <c r="I1010" s="234"/>
      <c r="J1010" s="234"/>
      <c r="K1010" s="234" t="s">
        <v>40</v>
      </c>
      <c r="L1010" s="216" t="s">
        <v>1</v>
      </c>
      <c r="M1010" s="178">
        <v>1</v>
      </c>
      <c r="N1010" s="235">
        <v>40</v>
      </c>
      <c r="O1010" s="234">
        <v>40</v>
      </c>
      <c r="P1010" s="234">
        <v>40</v>
      </c>
      <c r="Q1010" s="180" t="str">
        <f>IF(PEDIDOS[[#This Row],[Valor do item pago]]=PEDIDOS[[#This Row],[Total Item ]],"PAGO", "")</f>
        <v>PAGO</v>
      </c>
    </row>
    <row r="1011" spans="1:17" s="216" customFormat="1" ht="39.950000000000003" customHeight="1" x14ac:dyDescent="0.25">
      <c r="A1011" s="231"/>
      <c r="B1011" s="216">
        <v>873</v>
      </c>
      <c r="C1011" s="232">
        <v>43559</v>
      </c>
      <c r="D1011" s="233" t="s">
        <v>477</v>
      </c>
      <c r="E1011" s="216" t="s">
        <v>11</v>
      </c>
      <c r="F1011" s="216" t="s">
        <v>882</v>
      </c>
      <c r="G1011" s="216" t="s">
        <v>1382</v>
      </c>
      <c r="H1011" s="216" t="s">
        <v>441</v>
      </c>
      <c r="I1011" s="234" t="s">
        <v>884</v>
      </c>
      <c r="J1011" s="234"/>
      <c r="K1011" s="234" t="s">
        <v>477</v>
      </c>
      <c r="L1011" s="216" t="s">
        <v>1</v>
      </c>
      <c r="M1011" s="178">
        <v>1</v>
      </c>
      <c r="N1011" s="235">
        <v>40</v>
      </c>
      <c r="O1011" s="234">
        <v>40</v>
      </c>
      <c r="P1011" s="234"/>
      <c r="Q1011" s="180" t="str">
        <f>IF(PEDIDOS[[#This Row],[Valor do item pago]]=PEDIDOS[[#This Row],[Total Item ]],"PAGO", "")</f>
        <v/>
      </c>
    </row>
    <row r="1012" spans="1:17" s="216" customFormat="1" ht="39.950000000000003" customHeight="1" x14ac:dyDescent="0.25">
      <c r="A1012" s="231"/>
      <c r="B1012" s="216">
        <v>872</v>
      </c>
      <c r="C1012" s="232">
        <v>43559</v>
      </c>
      <c r="D1012" s="233" t="s">
        <v>477</v>
      </c>
      <c r="E1012" s="216" t="s">
        <v>506</v>
      </c>
      <c r="F1012" s="216" t="s">
        <v>503</v>
      </c>
      <c r="G1012" s="216" t="s">
        <v>1416</v>
      </c>
      <c r="H1012" s="216" t="s">
        <v>505</v>
      </c>
      <c r="I1012" s="234" t="s">
        <v>660</v>
      </c>
      <c r="J1012" s="234"/>
      <c r="K1012" s="234"/>
      <c r="L1012" s="216" t="s">
        <v>1</v>
      </c>
      <c r="M1012" s="178">
        <v>2</v>
      </c>
      <c r="N1012" s="235">
        <v>40</v>
      </c>
      <c r="O1012" s="234">
        <v>80</v>
      </c>
      <c r="P1012" s="234"/>
      <c r="Q1012" s="180" t="str">
        <f>IF(PEDIDOS[[#This Row],[Valor do item pago]]=PEDIDOS[[#This Row],[Total Item ]],"PAGO", "")</f>
        <v/>
      </c>
    </row>
    <row r="1013" spans="1:17" s="216" customFormat="1" ht="39.950000000000003" customHeight="1" x14ac:dyDescent="0.25">
      <c r="A1013" s="231"/>
      <c r="B1013" s="216">
        <v>871</v>
      </c>
      <c r="C1013" s="232">
        <v>43559</v>
      </c>
      <c r="D1013" s="233" t="s">
        <v>477</v>
      </c>
      <c r="E1013" s="216" t="s">
        <v>507</v>
      </c>
      <c r="F1013" s="216" t="s">
        <v>497</v>
      </c>
      <c r="G1013" s="216" t="s">
        <v>1376</v>
      </c>
      <c r="H1013" s="216" t="s">
        <v>461</v>
      </c>
      <c r="I1013" s="234" t="s">
        <v>659</v>
      </c>
      <c r="J1013" s="234"/>
      <c r="K1013" s="234"/>
      <c r="L1013" s="216" t="s">
        <v>1</v>
      </c>
      <c r="M1013" s="178">
        <v>1</v>
      </c>
      <c r="N1013" s="235">
        <v>40</v>
      </c>
      <c r="O1013" s="234">
        <v>40</v>
      </c>
      <c r="P1013" s="234"/>
      <c r="Q1013" s="180" t="str">
        <f>IF(PEDIDOS[[#This Row],[Valor do item pago]]=PEDIDOS[[#This Row],[Total Item ]],"PAGO", "")</f>
        <v/>
      </c>
    </row>
    <row r="1014" spans="1:17" s="216" customFormat="1" ht="39.950000000000003" customHeight="1" x14ac:dyDescent="0.25">
      <c r="A1014" s="231"/>
      <c r="B1014" s="216">
        <v>870</v>
      </c>
      <c r="C1014" s="232">
        <v>43559</v>
      </c>
      <c r="D1014" s="233" t="s">
        <v>477</v>
      </c>
      <c r="E1014" s="216" t="s">
        <v>25</v>
      </c>
      <c r="F1014" s="216" t="s">
        <v>1222</v>
      </c>
      <c r="G1014" s="216" t="s">
        <v>1411</v>
      </c>
      <c r="H1014" s="216" t="s">
        <v>406</v>
      </c>
      <c r="I1014" s="234" t="s">
        <v>329</v>
      </c>
      <c r="J1014" s="234"/>
      <c r="K1014" s="234"/>
      <c r="L1014" s="216" t="s">
        <v>219</v>
      </c>
      <c r="M1014" s="178">
        <v>5</v>
      </c>
      <c r="N1014" s="235">
        <v>40</v>
      </c>
      <c r="O1014" s="234">
        <v>200</v>
      </c>
      <c r="P1014" s="234"/>
      <c r="Q1014" s="180" t="str">
        <f>IF(PEDIDOS[[#This Row],[Valor do item pago]]=PEDIDOS[[#This Row],[Total Item ]],"PAGO", "")</f>
        <v/>
      </c>
    </row>
    <row r="1015" spans="1:17" s="216" customFormat="1" ht="39.950000000000003" customHeight="1" x14ac:dyDescent="0.25">
      <c r="A1015" s="231"/>
      <c r="B1015" s="216">
        <v>869</v>
      </c>
      <c r="C1015" s="232">
        <v>43559</v>
      </c>
      <c r="D1015" s="233" t="s">
        <v>477</v>
      </c>
      <c r="E1015" s="216" t="s">
        <v>343</v>
      </c>
      <c r="F1015" s="216" t="s">
        <v>826</v>
      </c>
      <c r="G1015" s="216" t="s">
        <v>1404</v>
      </c>
      <c r="H1015" s="216" t="s">
        <v>441</v>
      </c>
      <c r="I1015" s="234" t="s">
        <v>874</v>
      </c>
      <c r="J1015" s="234"/>
      <c r="K1015" s="234" t="s">
        <v>477</v>
      </c>
      <c r="L1015" s="216" t="s">
        <v>1</v>
      </c>
      <c r="M1015" s="178">
        <v>1</v>
      </c>
      <c r="N1015" s="235">
        <v>40</v>
      </c>
      <c r="O1015" s="234">
        <v>40</v>
      </c>
      <c r="P1015" s="234"/>
      <c r="Q1015" s="180" t="str">
        <f>IF(PEDIDOS[[#This Row],[Valor do item pago]]=PEDIDOS[[#This Row],[Total Item ]],"PAGO", "")</f>
        <v/>
      </c>
    </row>
    <row r="1016" spans="1:17" s="216" customFormat="1" ht="39.950000000000003" customHeight="1" x14ac:dyDescent="0.25">
      <c r="A1016" s="231"/>
      <c r="B1016" s="216">
        <v>868</v>
      </c>
      <c r="C1016" s="232">
        <v>43559</v>
      </c>
      <c r="D1016" s="233" t="s">
        <v>477</v>
      </c>
      <c r="E1016" s="216" t="s">
        <v>340</v>
      </c>
      <c r="F1016" s="216" t="s">
        <v>974</v>
      </c>
      <c r="G1016" s="216" t="s">
        <v>1462</v>
      </c>
      <c r="H1016" s="216" t="s">
        <v>388</v>
      </c>
      <c r="I1016" s="234" t="s">
        <v>417</v>
      </c>
      <c r="J1016" s="234"/>
      <c r="K1016" s="234"/>
      <c r="L1016" s="216" t="s">
        <v>235</v>
      </c>
      <c r="M1016" s="178">
        <v>1</v>
      </c>
      <c r="N1016" s="235">
        <v>40</v>
      </c>
      <c r="O1016" s="234">
        <v>40</v>
      </c>
      <c r="P1016" s="234"/>
      <c r="Q1016" s="180" t="str">
        <f>IF(PEDIDOS[[#This Row],[Valor do item pago]]=PEDIDOS[[#This Row],[Total Item ]],"PAGO", "")</f>
        <v/>
      </c>
    </row>
    <row r="1017" spans="1:17" s="216" customFormat="1" ht="39.950000000000003" customHeight="1" x14ac:dyDescent="0.25">
      <c r="A1017" s="231"/>
      <c r="B1017" s="216">
        <v>867</v>
      </c>
      <c r="C1017" s="232">
        <v>43559</v>
      </c>
      <c r="D1017" s="233" t="s">
        <v>477</v>
      </c>
      <c r="E1017" s="216" t="s">
        <v>338</v>
      </c>
      <c r="F1017" s="216" t="s">
        <v>1208</v>
      </c>
      <c r="G1017" s="216" t="s">
        <v>1400</v>
      </c>
      <c r="H1017" s="216" t="s">
        <v>1254</v>
      </c>
      <c r="I1017" s="234" t="s">
        <v>654</v>
      </c>
      <c r="J1017" s="234"/>
      <c r="K1017" s="234"/>
      <c r="L1017" s="216" t="s">
        <v>1</v>
      </c>
      <c r="M1017" s="178">
        <v>1</v>
      </c>
      <c r="N1017" s="235">
        <v>40</v>
      </c>
      <c r="O1017" s="234">
        <v>40</v>
      </c>
      <c r="P1017" s="234"/>
      <c r="Q1017" s="180" t="str">
        <f>IF(PEDIDOS[[#This Row],[Valor do item pago]]=PEDIDOS[[#This Row],[Total Item ]],"PAGO", "")</f>
        <v/>
      </c>
    </row>
    <row r="1018" spans="1:17" s="216" customFormat="1" ht="39.950000000000003" customHeight="1" x14ac:dyDescent="0.25">
      <c r="A1018" s="231"/>
      <c r="B1018" s="216">
        <v>864</v>
      </c>
      <c r="C1018" s="232">
        <v>43559</v>
      </c>
      <c r="D1018" s="233" t="s">
        <v>823</v>
      </c>
      <c r="E1018" s="216" t="s">
        <v>35</v>
      </c>
      <c r="F1018" s="216">
        <v>0</v>
      </c>
      <c r="G1018" s="216" t="s">
        <v>1386</v>
      </c>
      <c r="H1018" s="216">
        <v>0</v>
      </c>
      <c r="I1018" s="234"/>
      <c r="J1018" s="234"/>
      <c r="K1018" s="234" t="s">
        <v>823</v>
      </c>
      <c r="L1018" s="216" t="s">
        <v>219</v>
      </c>
      <c r="M1018" s="178">
        <v>1</v>
      </c>
      <c r="N1018" s="235">
        <v>40</v>
      </c>
      <c r="O1018" s="234">
        <v>40</v>
      </c>
      <c r="P1018" s="234"/>
      <c r="Q1018" s="180" t="str">
        <f>IF(PEDIDOS[[#This Row],[Valor do item pago]]=PEDIDOS[[#This Row],[Total Item ]],"PAGO", "")</f>
        <v/>
      </c>
    </row>
    <row r="1019" spans="1:17" s="216" customFormat="1" ht="39.950000000000003" customHeight="1" x14ac:dyDescent="0.25">
      <c r="A1019" s="231"/>
      <c r="B1019" s="216">
        <v>863</v>
      </c>
      <c r="C1019" s="232">
        <v>43559</v>
      </c>
      <c r="D1019" s="233" t="s">
        <v>823</v>
      </c>
      <c r="E1019" s="216" t="s">
        <v>1461</v>
      </c>
      <c r="F1019" s="216" t="s">
        <v>1180</v>
      </c>
      <c r="G1019" s="216" t="s">
        <v>1276</v>
      </c>
      <c r="H1019" s="216" t="s">
        <v>398</v>
      </c>
      <c r="I1019" s="234" t="s">
        <v>1181</v>
      </c>
      <c r="J1019" s="234"/>
      <c r="K1019" s="234"/>
      <c r="L1019" s="216" t="s">
        <v>219</v>
      </c>
      <c r="M1019" s="178">
        <v>1</v>
      </c>
      <c r="N1019" s="235">
        <v>40</v>
      </c>
      <c r="O1019" s="234">
        <v>40</v>
      </c>
      <c r="P1019" s="234"/>
      <c r="Q1019" s="180" t="str">
        <f>IF(PEDIDOS[[#This Row],[Valor do item pago]]=PEDIDOS[[#This Row],[Total Item ]],"PAGO", "")</f>
        <v/>
      </c>
    </row>
    <row r="1020" spans="1:17" s="216" customFormat="1" ht="39.950000000000003" customHeight="1" x14ac:dyDescent="0.25">
      <c r="A1020" s="231"/>
      <c r="B1020" s="216">
        <v>862</v>
      </c>
      <c r="C1020" s="232">
        <v>43559</v>
      </c>
      <c r="D1020" s="233" t="s">
        <v>823</v>
      </c>
      <c r="E1020" s="216" t="s">
        <v>1316</v>
      </c>
      <c r="F1020" s="216" t="s">
        <v>717</v>
      </c>
      <c r="G1020" s="216" t="s">
        <v>1394</v>
      </c>
      <c r="H1020" s="216" t="s">
        <v>112</v>
      </c>
      <c r="I1020" s="234"/>
      <c r="J1020" s="234" t="s">
        <v>887</v>
      </c>
      <c r="K1020" s="234"/>
      <c r="L1020" s="216" t="s">
        <v>3</v>
      </c>
      <c r="M1020" s="178">
        <v>2</v>
      </c>
      <c r="N1020" s="235">
        <v>40</v>
      </c>
      <c r="O1020" s="234">
        <v>80</v>
      </c>
      <c r="P1020" s="234"/>
      <c r="Q1020" s="180" t="str">
        <f>IF(PEDIDOS[[#This Row],[Valor do item pago]]=PEDIDOS[[#This Row],[Total Item ]],"PAGO", "")</f>
        <v/>
      </c>
    </row>
    <row r="1021" spans="1:17" s="216" customFormat="1" ht="39.950000000000003" customHeight="1" x14ac:dyDescent="0.25">
      <c r="A1021" s="231"/>
      <c r="B1021" s="216">
        <v>861</v>
      </c>
      <c r="C1021" s="232">
        <v>43559</v>
      </c>
      <c r="D1021" s="233" t="s">
        <v>823</v>
      </c>
      <c r="E1021" s="216" t="s">
        <v>25</v>
      </c>
      <c r="F1021" s="216" t="s">
        <v>1222</v>
      </c>
      <c r="G1021" s="216" t="s">
        <v>1411</v>
      </c>
      <c r="H1021" s="216" t="s">
        <v>406</v>
      </c>
      <c r="I1021" s="234"/>
      <c r="J1021" s="234" t="s">
        <v>1460</v>
      </c>
      <c r="K1021" s="234"/>
      <c r="L1021" s="216" t="s">
        <v>219</v>
      </c>
      <c r="M1021" s="178">
        <v>5</v>
      </c>
      <c r="N1021" s="235">
        <v>40</v>
      </c>
      <c r="O1021" s="234">
        <v>200</v>
      </c>
      <c r="P1021" s="234"/>
      <c r="Q1021" s="180" t="str">
        <f>IF(PEDIDOS[[#This Row],[Valor do item pago]]=PEDIDOS[[#This Row],[Total Item ]],"PAGO", "")</f>
        <v/>
      </c>
    </row>
    <row r="1022" spans="1:17" s="216" customFormat="1" ht="39.950000000000003" customHeight="1" x14ac:dyDescent="0.25">
      <c r="A1022" s="231"/>
      <c r="B1022" s="216">
        <v>860</v>
      </c>
      <c r="C1022" s="232">
        <v>43559</v>
      </c>
      <c r="D1022" s="233" t="s">
        <v>229</v>
      </c>
      <c r="E1022" s="216" t="s">
        <v>229</v>
      </c>
      <c r="F1022" s="216">
        <v>0</v>
      </c>
      <c r="G1022" s="216">
        <v>0</v>
      </c>
      <c r="H1022" s="216">
        <v>0</v>
      </c>
      <c r="I1022" s="234"/>
      <c r="J1022" s="234"/>
      <c r="K1022" s="234" t="s">
        <v>229</v>
      </c>
      <c r="L1022" s="216" t="s">
        <v>3</v>
      </c>
      <c r="M1022" s="178">
        <v>3</v>
      </c>
      <c r="N1022" s="235">
        <v>40</v>
      </c>
      <c r="O1022" s="234">
        <v>120</v>
      </c>
      <c r="P1022" s="234"/>
      <c r="Q1022" s="180" t="str">
        <f>IF(PEDIDOS[[#This Row],[Valor do item pago]]=PEDIDOS[[#This Row],[Total Item ]],"PAGO", "")</f>
        <v/>
      </c>
    </row>
    <row r="1023" spans="1:17" s="216" customFormat="1" ht="39.950000000000003" customHeight="1" x14ac:dyDescent="0.25">
      <c r="A1023" s="231"/>
      <c r="B1023" s="216">
        <v>860</v>
      </c>
      <c r="C1023" s="232">
        <v>43559</v>
      </c>
      <c r="D1023" s="233" t="s">
        <v>229</v>
      </c>
      <c r="E1023" s="216" t="s">
        <v>229</v>
      </c>
      <c r="F1023" s="216">
        <v>0</v>
      </c>
      <c r="G1023" s="216">
        <v>0</v>
      </c>
      <c r="H1023" s="216">
        <v>0</v>
      </c>
      <c r="I1023" s="234"/>
      <c r="J1023" s="234"/>
      <c r="K1023" s="234" t="s">
        <v>229</v>
      </c>
      <c r="L1023" s="216" t="s">
        <v>219</v>
      </c>
      <c r="M1023" s="178">
        <v>3</v>
      </c>
      <c r="N1023" s="235">
        <v>40</v>
      </c>
      <c r="O1023" s="234">
        <v>120</v>
      </c>
      <c r="P1023" s="234"/>
      <c r="Q1023" s="180" t="str">
        <f>IF(PEDIDOS[[#This Row],[Valor do item pago]]=PEDIDOS[[#This Row],[Total Item ]],"PAGO", "")</f>
        <v/>
      </c>
    </row>
    <row r="1024" spans="1:17" s="216" customFormat="1" ht="39.950000000000003" customHeight="1" x14ac:dyDescent="0.25">
      <c r="A1024" s="231"/>
      <c r="B1024" s="216">
        <v>860</v>
      </c>
      <c r="C1024" s="232">
        <v>43559</v>
      </c>
      <c r="D1024" s="233" t="s">
        <v>229</v>
      </c>
      <c r="E1024" s="216" t="s">
        <v>229</v>
      </c>
      <c r="F1024" s="216">
        <v>0</v>
      </c>
      <c r="G1024" s="216">
        <v>0</v>
      </c>
      <c r="H1024" s="216">
        <v>0</v>
      </c>
      <c r="I1024" s="234"/>
      <c r="J1024" s="234"/>
      <c r="K1024" s="234" t="s">
        <v>229</v>
      </c>
      <c r="L1024" s="216" t="s">
        <v>1</v>
      </c>
      <c r="M1024" s="178">
        <v>7</v>
      </c>
      <c r="N1024" s="235">
        <v>40</v>
      </c>
      <c r="O1024" s="234">
        <v>280</v>
      </c>
      <c r="P1024" s="234"/>
      <c r="Q1024" s="180" t="str">
        <f>IF(PEDIDOS[[#This Row],[Valor do item pago]]=PEDIDOS[[#This Row],[Total Item ]],"PAGO", "")</f>
        <v/>
      </c>
    </row>
    <row r="1025" spans="1:17" s="216" customFormat="1" ht="39.950000000000003" customHeight="1" x14ac:dyDescent="0.25">
      <c r="A1025" s="231"/>
      <c r="B1025" s="216">
        <v>860</v>
      </c>
      <c r="C1025" s="232">
        <v>43559</v>
      </c>
      <c r="D1025" s="233" t="s">
        <v>229</v>
      </c>
      <c r="E1025" s="216" t="s">
        <v>229</v>
      </c>
      <c r="F1025" s="216">
        <v>0</v>
      </c>
      <c r="G1025" s="216">
        <v>0</v>
      </c>
      <c r="H1025" s="216">
        <v>0</v>
      </c>
      <c r="I1025" s="234"/>
      <c r="J1025" s="234"/>
      <c r="K1025" s="234" t="s">
        <v>229</v>
      </c>
      <c r="L1025" s="216" t="s">
        <v>0</v>
      </c>
      <c r="M1025" s="178">
        <v>1</v>
      </c>
      <c r="N1025" s="235">
        <v>40</v>
      </c>
      <c r="O1025" s="234">
        <v>40</v>
      </c>
      <c r="P1025" s="234"/>
      <c r="Q1025" s="180" t="str">
        <f>IF(PEDIDOS[[#This Row],[Valor do item pago]]=PEDIDOS[[#This Row],[Total Item ]],"PAGO", "")</f>
        <v/>
      </c>
    </row>
    <row r="1026" spans="1:17" s="216" customFormat="1" ht="39.950000000000003" customHeight="1" x14ac:dyDescent="0.25">
      <c r="A1026" s="231"/>
      <c r="B1026" s="216">
        <v>859</v>
      </c>
      <c r="C1026" s="232">
        <v>43559</v>
      </c>
      <c r="D1026" s="233" t="s">
        <v>44</v>
      </c>
      <c r="E1026" s="216" t="s">
        <v>374</v>
      </c>
      <c r="F1026" s="216" t="s">
        <v>1246</v>
      </c>
      <c r="G1026" s="216" t="s">
        <v>1422</v>
      </c>
      <c r="H1026" s="216" t="s">
        <v>402</v>
      </c>
      <c r="I1026" s="234"/>
      <c r="J1026" s="234"/>
      <c r="K1026" s="234"/>
      <c r="L1026" s="216" t="s">
        <v>1</v>
      </c>
      <c r="M1026" s="178">
        <v>1</v>
      </c>
      <c r="N1026" s="235">
        <v>40</v>
      </c>
      <c r="O1026" s="234">
        <v>40</v>
      </c>
      <c r="P1026" s="234"/>
      <c r="Q1026" s="180" t="str">
        <f>IF(PEDIDOS[[#This Row],[Valor do item pago]]=PEDIDOS[[#This Row],[Total Item ]],"PAGO", "")</f>
        <v/>
      </c>
    </row>
    <row r="1027" spans="1:17" s="216" customFormat="1" ht="39.950000000000003" customHeight="1" x14ac:dyDescent="0.25">
      <c r="A1027" s="231"/>
      <c r="B1027" s="216">
        <v>859</v>
      </c>
      <c r="C1027" s="232">
        <v>43559</v>
      </c>
      <c r="D1027" s="233" t="s">
        <v>44</v>
      </c>
      <c r="E1027" s="216" t="s">
        <v>374</v>
      </c>
      <c r="F1027" s="216" t="s">
        <v>1246</v>
      </c>
      <c r="G1027" s="216" t="s">
        <v>1422</v>
      </c>
      <c r="H1027" s="216" t="s">
        <v>402</v>
      </c>
      <c r="I1027" s="234"/>
      <c r="J1027" s="234"/>
      <c r="K1027" s="234"/>
      <c r="L1027" s="216" t="s">
        <v>0</v>
      </c>
      <c r="M1027" s="178">
        <v>1</v>
      </c>
      <c r="N1027" s="235">
        <v>40</v>
      </c>
      <c r="O1027" s="234">
        <v>40</v>
      </c>
      <c r="P1027" s="234"/>
      <c r="Q1027" s="180" t="str">
        <f>IF(PEDIDOS[[#This Row],[Valor do item pago]]=PEDIDOS[[#This Row],[Total Item ]],"PAGO", "")</f>
        <v/>
      </c>
    </row>
    <row r="1028" spans="1:17" s="216" customFormat="1" ht="39.950000000000003" customHeight="1" x14ac:dyDescent="0.25">
      <c r="A1028" s="231"/>
      <c r="B1028" s="216">
        <v>858</v>
      </c>
      <c r="C1028" s="232">
        <v>43559</v>
      </c>
      <c r="D1028" s="233" t="s">
        <v>44</v>
      </c>
      <c r="E1028" s="216" t="s">
        <v>25</v>
      </c>
      <c r="F1028" s="216" t="s">
        <v>1222</v>
      </c>
      <c r="G1028" s="216" t="s">
        <v>1411</v>
      </c>
      <c r="H1028" s="216" t="s">
        <v>406</v>
      </c>
      <c r="I1028" s="234"/>
      <c r="J1028" s="234" t="s">
        <v>1175</v>
      </c>
      <c r="K1028" s="234"/>
      <c r="L1028" s="216" t="s">
        <v>219</v>
      </c>
      <c r="M1028" s="178">
        <v>2</v>
      </c>
      <c r="N1028" s="235">
        <v>40</v>
      </c>
      <c r="O1028" s="234">
        <v>80</v>
      </c>
      <c r="P1028" s="234"/>
      <c r="Q1028" s="180" t="str">
        <f>IF(PEDIDOS[[#This Row],[Valor do item pago]]=PEDIDOS[[#This Row],[Total Item ]],"PAGO", "")</f>
        <v/>
      </c>
    </row>
    <row r="1029" spans="1:17" s="216" customFormat="1" ht="39.950000000000003" customHeight="1" x14ac:dyDescent="0.25">
      <c r="A1029" s="231"/>
      <c r="B1029" s="216">
        <v>857</v>
      </c>
      <c r="C1029" s="232">
        <v>43559</v>
      </c>
      <c r="D1029" s="233" t="s">
        <v>231</v>
      </c>
      <c r="E1029" s="216" t="s">
        <v>381</v>
      </c>
      <c r="F1029" s="216">
        <v>0</v>
      </c>
      <c r="G1029" s="216">
        <v>0</v>
      </c>
      <c r="H1029" s="216">
        <v>0</v>
      </c>
      <c r="I1029" s="234"/>
      <c r="J1029" s="234"/>
      <c r="K1029" s="234"/>
      <c r="L1029" s="216" t="s">
        <v>1</v>
      </c>
      <c r="M1029" s="178">
        <v>2</v>
      </c>
      <c r="N1029" s="235">
        <v>40</v>
      </c>
      <c r="O1029" s="234">
        <v>80</v>
      </c>
      <c r="P1029" s="234"/>
      <c r="Q1029" s="180" t="str">
        <f>IF(PEDIDOS[[#This Row],[Valor do item pago]]=PEDIDOS[[#This Row],[Total Item ]],"PAGO", "")</f>
        <v/>
      </c>
    </row>
    <row r="1030" spans="1:17" s="216" customFormat="1" ht="39.950000000000003" customHeight="1" x14ac:dyDescent="0.25">
      <c r="A1030" s="231"/>
      <c r="B1030" s="216">
        <v>856</v>
      </c>
      <c r="C1030" s="232">
        <v>43559</v>
      </c>
      <c r="D1030" s="233" t="s">
        <v>231</v>
      </c>
      <c r="E1030" s="216" t="s">
        <v>375</v>
      </c>
      <c r="F1030" s="216" t="s">
        <v>1065</v>
      </c>
      <c r="G1030" s="216">
        <v>0</v>
      </c>
      <c r="H1030" s="216" t="s">
        <v>40</v>
      </c>
      <c r="I1030" s="234"/>
      <c r="J1030" s="234"/>
      <c r="K1030" s="234" t="s">
        <v>40</v>
      </c>
      <c r="L1030" s="216" t="s">
        <v>3</v>
      </c>
      <c r="M1030" s="178">
        <v>2</v>
      </c>
      <c r="N1030" s="235">
        <v>40</v>
      </c>
      <c r="O1030" s="234">
        <v>80</v>
      </c>
      <c r="P1030" s="234"/>
      <c r="Q1030" s="180" t="str">
        <f>IF(PEDIDOS[[#This Row],[Valor do item pago]]=PEDIDOS[[#This Row],[Total Item ]],"PAGO", "")</f>
        <v/>
      </c>
    </row>
    <row r="1031" spans="1:17" s="216" customFormat="1" ht="39.950000000000003" customHeight="1" x14ac:dyDescent="0.25">
      <c r="A1031" s="231"/>
      <c r="B1031" s="216">
        <v>856</v>
      </c>
      <c r="C1031" s="232">
        <v>43559</v>
      </c>
      <c r="D1031" s="233" t="s">
        <v>231</v>
      </c>
      <c r="E1031" s="216" t="s">
        <v>375</v>
      </c>
      <c r="F1031" s="216" t="s">
        <v>1065</v>
      </c>
      <c r="G1031" s="216">
        <v>0</v>
      </c>
      <c r="H1031" s="216" t="s">
        <v>40</v>
      </c>
      <c r="I1031" s="234"/>
      <c r="J1031" s="234"/>
      <c r="K1031" s="234" t="s">
        <v>40</v>
      </c>
      <c r="L1031" s="216" t="s">
        <v>219</v>
      </c>
      <c r="M1031" s="178">
        <v>1</v>
      </c>
      <c r="N1031" s="235">
        <v>40</v>
      </c>
      <c r="O1031" s="234">
        <v>40</v>
      </c>
      <c r="P1031" s="234"/>
      <c r="Q1031" s="180" t="str">
        <f>IF(PEDIDOS[[#This Row],[Valor do item pago]]=PEDIDOS[[#This Row],[Total Item ]],"PAGO", "")</f>
        <v/>
      </c>
    </row>
    <row r="1032" spans="1:17" s="216" customFormat="1" ht="39.950000000000003" customHeight="1" x14ac:dyDescent="0.25">
      <c r="A1032" s="231"/>
      <c r="B1032" s="216">
        <v>855</v>
      </c>
      <c r="C1032" s="232">
        <v>43559</v>
      </c>
      <c r="D1032" s="233" t="s">
        <v>231</v>
      </c>
      <c r="E1032" s="216" t="s">
        <v>345</v>
      </c>
      <c r="F1032" s="216" t="s">
        <v>1216</v>
      </c>
      <c r="G1032" s="216">
        <v>0</v>
      </c>
      <c r="H1032" s="216">
        <v>0</v>
      </c>
      <c r="I1032" s="234"/>
      <c r="J1032" s="234"/>
      <c r="K1032" s="234" t="s">
        <v>231</v>
      </c>
      <c r="L1032" s="216" t="s">
        <v>219</v>
      </c>
      <c r="M1032" s="178">
        <v>1</v>
      </c>
      <c r="N1032" s="235">
        <v>40</v>
      </c>
      <c r="O1032" s="234">
        <v>40</v>
      </c>
      <c r="P1032" s="234"/>
      <c r="Q1032" s="180" t="str">
        <f>IF(PEDIDOS[[#This Row],[Valor do item pago]]=PEDIDOS[[#This Row],[Total Item ]],"PAGO", "")</f>
        <v/>
      </c>
    </row>
    <row r="1033" spans="1:17" s="216" customFormat="1" ht="39.950000000000003" customHeight="1" x14ac:dyDescent="0.25">
      <c r="A1033" s="231"/>
      <c r="B1033" s="216">
        <v>855</v>
      </c>
      <c r="C1033" s="232">
        <v>43559</v>
      </c>
      <c r="D1033" s="233" t="s">
        <v>231</v>
      </c>
      <c r="E1033" s="216" t="s">
        <v>345</v>
      </c>
      <c r="F1033" s="216" t="s">
        <v>1216</v>
      </c>
      <c r="G1033" s="216">
        <v>0</v>
      </c>
      <c r="H1033" s="216">
        <v>0</v>
      </c>
      <c r="I1033" s="234"/>
      <c r="J1033" s="234"/>
      <c r="K1033" s="234" t="s">
        <v>231</v>
      </c>
      <c r="L1033" s="216" t="s">
        <v>0</v>
      </c>
      <c r="M1033" s="178">
        <v>1</v>
      </c>
      <c r="N1033" s="235">
        <v>40</v>
      </c>
      <c r="O1033" s="234">
        <v>40</v>
      </c>
      <c r="P1033" s="234"/>
      <c r="Q1033" s="180" t="str">
        <f>IF(PEDIDOS[[#This Row],[Valor do item pago]]=PEDIDOS[[#This Row],[Total Item ]],"PAGO", "")</f>
        <v/>
      </c>
    </row>
    <row r="1034" spans="1:17" s="216" customFormat="1" ht="39.950000000000003" customHeight="1" x14ac:dyDescent="0.25">
      <c r="A1034" s="231"/>
      <c r="B1034" s="216">
        <v>854</v>
      </c>
      <c r="C1034" s="232">
        <v>43559</v>
      </c>
      <c r="D1034" s="233" t="s">
        <v>231</v>
      </c>
      <c r="E1034" s="216" t="s">
        <v>362</v>
      </c>
      <c r="F1034" s="216">
        <v>0</v>
      </c>
      <c r="G1034" s="216" t="s">
        <v>1381</v>
      </c>
      <c r="H1034" s="216" t="s">
        <v>398</v>
      </c>
      <c r="I1034" s="234"/>
      <c r="J1034" s="234"/>
      <c r="K1034" s="234"/>
      <c r="L1034" s="216" t="s">
        <v>219</v>
      </c>
      <c r="M1034" s="178">
        <v>1</v>
      </c>
      <c r="N1034" s="235">
        <v>40</v>
      </c>
      <c r="O1034" s="234">
        <v>40</v>
      </c>
      <c r="P1034" s="234"/>
      <c r="Q1034" s="180" t="str">
        <f>IF(PEDIDOS[[#This Row],[Valor do item pago]]=PEDIDOS[[#This Row],[Total Item ]],"PAGO", "")</f>
        <v/>
      </c>
    </row>
    <row r="1035" spans="1:17" s="216" customFormat="1" ht="39.950000000000003" customHeight="1" x14ac:dyDescent="0.25">
      <c r="A1035" s="231"/>
      <c r="B1035" s="216">
        <v>853</v>
      </c>
      <c r="C1035" s="232">
        <v>43559</v>
      </c>
      <c r="D1035" s="233" t="s">
        <v>231</v>
      </c>
      <c r="E1035" s="216" t="s">
        <v>90</v>
      </c>
      <c r="F1035" s="216" t="s">
        <v>806</v>
      </c>
      <c r="G1035" s="216">
        <v>0</v>
      </c>
      <c r="H1035" s="216" t="s">
        <v>40</v>
      </c>
      <c r="I1035" s="234"/>
      <c r="J1035" s="234"/>
      <c r="K1035" s="234" t="s">
        <v>90</v>
      </c>
      <c r="L1035" s="216" t="s">
        <v>219</v>
      </c>
      <c r="M1035" s="178">
        <v>2</v>
      </c>
      <c r="N1035" s="235">
        <v>40</v>
      </c>
      <c r="O1035" s="234">
        <v>80</v>
      </c>
      <c r="P1035" s="234"/>
      <c r="Q1035" s="180" t="str">
        <f>IF(PEDIDOS[[#This Row],[Valor do item pago]]=PEDIDOS[[#This Row],[Total Item ]],"PAGO", "")</f>
        <v/>
      </c>
    </row>
    <row r="1036" spans="1:17" s="216" customFormat="1" ht="39.950000000000003" customHeight="1" x14ac:dyDescent="0.25">
      <c r="A1036" s="231"/>
      <c r="B1036" s="216">
        <v>852</v>
      </c>
      <c r="C1036" s="232">
        <v>43559</v>
      </c>
      <c r="D1036" s="233" t="s">
        <v>231</v>
      </c>
      <c r="E1036" s="216" t="s">
        <v>356</v>
      </c>
      <c r="F1036" s="216" t="s">
        <v>700</v>
      </c>
      <c r="G1036" s="216" t="s">
        <v>1377</v>
      </c>
      <c r="H1036" s="216" t="s">
        <v>1378</v>
      </c>
      <c r="I1036" s="234"/>
      <c r="J1036" s="234"/>
      <c r="K1036" s="234"/>
      <c r="L1036" s="216" t="s">
        <v>219</v>
      </c>
      <c r="M1036" s="178">
        <v>1</v>
      </c>
      <c r="N1036" s="235">
        <v>40</v>
      </c>
      <c r="O1036" s="234">
        <v>40</v>
      </c>
      <c r="P1036" s="234"/>
      <c r="Q1036" s="180" t="str">
        <f>IF(PEDIDOS[[#This Row],[Valor do item pago]]=PEDIDOS[[#This Row],[Total Item ]],"PAGO", "")</f>
        <v/>
      </c>
    </row>
    <row r="1037" spans="1:17" s="216" customFormat="1" ht="39.950000000000003" customHeight="1" x14ac:dyDescent="0.25">
      <c r="A1037" s="231"/>
      <c r="B1037" s="216">
        <v>851</v>
      </c>
      <c r="C1037" s="232">
        <v>43559</v>
      </c>
      <c r="D1037" s="233" t="s">
        <v>231</v>
      </c>
      <c r="E1037" s="216" t="s">
        <v>346</v>
      </c>
      <c r="F1037" s="216" t="s">
        <v>1217</v>
      </c>
      <c r="G1037" s="216" t="s">
        <v>1362</v>
      </c>
      <c r="H1037" s="216" t="s">
        <v>512</v>
      </c>
      <c r="I1037" s="234"/>
      <c r="J1037" s="234"/>
      <c r="K1037" s="234"/>
      <c r="L1037" s="216" t="s">
        <v>219</v>
      </c>
      <c r="M1037" s="178">
        <v>1</v>
      </c>
      <c r="N1037" s="235">
        <v>40</v>
      </c>
      <c r="O1037" s="234">
        <v>40</v>
      </c>
      <c r="P1037" s="234"/>
      <c r="Q1037" s="180" t="str">
        <f>IF(PEDIDOS[[#This Row],[Valor do item pago]]=PEDIDOS[[#This Row],[Total Item ]],"PAGO", "")</f>
        <v/>
      </c>
    </row>
    <row r="1038" spans="1:17" s="216" customFormat="1" ht="39.950000000000003" customHeight="1" x14ac:dyDescent="0.25">
      <c r="A1038" s="231"/>
      <c r="B1038" s="216">
        <v>850</v>
      </c>
      <c r="C1038" s="232">
        <v>43559</v>
      </c>
      <c r="D1038" s="233" t="s">
        <v>49</v>
      </c>
      <c r="E1038" s="216" t="s">
        <v>614</v>
      </c>
      <c r="F1038" s="216" t="s">
        <v>1220</v>
      </c>
      <c r="G1038" s="216" t="s">
        <v>1363</v>
      </c>
      <c r="H1038" s="216" t="s">
        <v>393</v>
      </c>
      <c r="I1038" s="234"/>
      <c r="J1038" s="234"/>
      <c r="K1038" s="234"/>
      <c r="L1038" s="216" t="s">
        <v>219</v>
      </c>
      <c r="M1038" s="178">
        <v>1</v>
      </c>
      <c r="N1038" s="235">
        <v>40</v>
      </c>
      <c r="O1038" s="234">
        <v>40</v>
      </c>
      <c r="P1038" s="234">
        <v>40</v>
      </c>
      <c r="Q1038" s="180" t="str">
        <f>IF(PEDIDOS[[#This Row],[Valor do item pago]]=PEDIDOS[[#This Row],[Total Item ]],"PAGO", "")</f>
        <v>PAGO</v>
      </c>
    </row>
    <row r="1039" spans="1:17" s="216" customFormat="1" ht="39.950000000000003" customHeight="1" x14ac:dyDescent="0.25">
      <c r="A1039" s="231"/>
      <c r="B1039" s="216">
        <v>849</v>
      </c>
      <c r="C1039" s="232">
        <v>43559</v>
      </c>
      <c r="D1039" s="233" t="s">
        <v>49</v>
      </c>
      <c r="E1039" s="216" t="s">
        <v>615</v>
      </c>
      <c r="F1039" s="216" t="s">
        <v>1242</v>
      </c>
      <c r="G1039" s="216" t="s">
        <v>1392</v>
      </c>
      <c r="H1039" s="216" t="s">
        <v>1205</v>
      </c>
      <c r="I1039" s="234"/>
      <c r="J1039" s="234"/>
      <c r="K1039" s="234" t="s">
        <v>49</v>
      </c>
      <c r="L1039" s="216" t="s">
        <v>3</v>
      </c>
      <c r="M1039" s="178">
        <v>1</v>
      </c>
      <c r="N1039" s="235">
        <v>40</v>
      </c>
      <c r="O1039" s="234">
        <v>40</v>
      </c>
      <c r="P1039" s="234">
        <v>40</v>
      </c>
      <c r="Q1039" s="180" t="str">
        <f>IF(PEDIDOS[[#This Row],[Valor do item pago]]=PEDIDOS[[#This Row],[Total Item ]],"PAGO", "")</f>
        <v>PAGO</v>
      </c>
    </row>
    <row r="1040" spans="1:17" s="216" customFormat="1" ht="39.950000000000003" customHeight="1" x14ac:dyDescent="0.25">
      <c r="A1040" s="231"/>
      <c r="B1040" s="216">
        <v>849</v>
      </c>
      <c r="C1040" s="232">
        <v>43559</v>
      </c>
      <c r="D1040" s="233" t="s">
        <v>49</v>
      </c>
      <c r="E1040" s="216" t="s">
        <v>615</v>
      </c>
      <c r="F1040" s="216" t="s">
        <v>1242</v>
      </c>
      <c r="G1040" s="216" t="s">
        <v>1392</v>
      </c>
      <c r="H1040" s="216" t="s">
        <v>1205</v>
      </c>
      <c r="I1040" s="234"/>
      <c r="J1040" s="234"/>
      <c r="K1040" s="234" t="s">
        <v>49</v>
      </c>
      <c r="L1040" s="216" t="s">
        <v>1</v>
      </c>
      <c r="M1040" s="178">
        <v>1</v>
      </c>
      <c r="N1040" s="235">
        <v>40</v>
      </c>
      <c r="O1040" s="234">
        <v>40</v>
      </c>
      <c r="P1040" s="234">
        <v>40</v>
      </c>
      <c r="Q1040" s="180" t="str">
        <f>IF(PEDIDOS[[#This Row],[Valor do item pago]]=PEDIDOS[[#This Row],[Total Item ]],"PAGO", "")</f>
        <v>PAGO</v>
      </c>
    </row>
    <row r="1041" spans="1:17" s="216" customFormat="1" ht="39.950000000000003" customHeight="1" x14ac:dyDescent="0.25">
      <c r="A1041" s="231"/>
      <c r="B1041" s="216">
        <v>848</v>
      </c>
      <c r="C1041" s="232">
        <v>43559</v>
      </c>
      <c r="D1041" s="233" t="s">
        <v>49</v>
      </c>
      <c r="E1041" s="216" t="s">
        <v>611</v>
      </c>
      <c r="F1041" s="216" t="s">
        <v>1225</v>
      </c>
      <c r="I1041" s="234"/>
      <c r="J1041" s="234" t="s">
        <v>40</v>
      </c>
      <c r="K1041" s="234" t="s">
        <v>49</v>
      </c>
      <c r="L1041" s="216" t="s">
        <v>3</v>
      </c>
      <c r="M1041" s="178">
        <v>1</v>
      </c>
      <c r="N1041" s="235">
        <v>40</v>
      </c>
      <c r="O1041" s="234">
        <v>40</v>
      </c>
      <c r="P1041" s="234"/>
      <c r="Q1041" s="180" t="str">
        <f>IF(PEDIDOS[[#This Row],[Valor do item pago]]=PEDIDOS[[#This Row],[Total Item ]],"PAGO", "")</f>
        <v/>
      </c>
    </row>
    <row r="1042" spans="1:17" s="216" customFormat="1" ht="39.950000000000003" customHeight="1" x14ac:dyDescent="0.25">
      <c r="A1042" s="231"/>
      <c r="B1042" s="216">
        <v>847</v>
      </c>
      <c r="C1042" s="232">
        <v>43559</v>
      </c>
      <c r="D1042" s="233" t="s">
        <v>916</v>
      </c>
      <c r="E1042" s="216" t="s">
        <v>732</v>
      </c>
      <c r="F1042" s="216" t="s">
        <v>733</v>
      </c>
      <c r="G1042" s="216">
        <v>0</v>
      </c>
      <c r="H1042" s="216" t="s">
        <v>40</v>
      </c>
      <c r="I1042" s="234"/>
      <c r="J1042" s="234"/>
      <c r="K1042" s="234"/>
      <c r="L1042" s="216" t="s">
        <v>0</v>
      </c>
      <c r="M1042" s="178">
        <v>1</v>
      </c>
      <c r="N1042" s="235">
        <v>40</v>
      </c>
      <c r="O1042" s="234">
        <v>40</v>
      </c>
      <c r="P1042" s="234"/>
      <c r="Q1042" s="180" t="str">
        <f>IF(PEDIDOS[[#This Row],[Valor do item pago]]=PEDIDOS[[#This Row],[Total Item ]],"PAGO", "")</f>
        <v/>
      </c>
    </row>
    <row r="1043" spans="1:17" s="216" customFormat="1" ht="39.950000000000003" customHeight="1" x14ac:dyDescent="0.25">
      <c r="A1043" s="231"/>
      <c r="B1043" s="216">
        <v>846</v>
      </c>
      <c r="C1043" s="232">
        <v>43559</v>
      </c>
      <c r="D1043" s="233" t="s">
        <v>463</v>
      </c>
      <c r="E1043" s="216" t="s">
        <v>1268</v>
      </c>
      <c r="F1043" s="216" t="s">
        <v>1212</v>
      </c>
      <c r="G1043" s="216">
        <v>0</v>
      </c>
      <c r="H1043" s="216">
        <v>0</v>
      </c>
      <c r="I1043" s="234"/>
      <c r="J1043" s="234"/>
      <c r="K1043" s="234"/>
      <c r="L1043" s="216" t="s">
        <v>1</v>
      </c>
      <c r="M1043" s="178">
        <v>2</v>
      </c>
      <c r="N1043" s="235">
        <v>40</v>
      </c>
      <c r="O1043" s="234">
        <v>80</v>
      </c>
      <c r="P1043" s="234"/>
      <c r="Q1043" s="180" t="str">
        <f>IF(PEDIDOS[[#This Row],[Valor do item pago]]=PEDIDOS[[#This Row],[Total Item ]],"PAGO", "")</f>
        <v/>
      </c>
    </row>
    <row r="1044" spans="1:17" s="216" customFormat="1" ht="39.950000000000003" customHeight="1" x14ac:dyDescent="0.25">
      <c r="A1044" s="231"/>
      <c r="B1044" s="216">
        <v>845</v>
      </c>
      <c r="C1044" s="232">
        <v>43559</v>
      </c>
      <c r="D1044" s="233" t="s">
        <v>40</v>
      </c>
      <c r="E1044" s="216" t="s">
        <v>630</v>
      </c>
      <c r="F1044" s="216" t="s">
        <v>1245</v>
      </c>
      <c r="G1044" s="216" t="s">
        <v>1392</v>
      </c>
      <c r="H1044" s="216" t="s">
        <v>1205</v>
      </c>
      <c r="I1044" s="234" t="s">
        <v>735</v>
      </c>
      <c r="J1044" s="234"/>
      <c r="K1044" s="234" t="s">
        <v>49</v>
      </c>
      <c r="L1044" s="216" t="s">
        <v>1</v>
      </c>
      <c r="M1044" s="178">
        <v>1</v>
      </c>
      <c r="N1044" s="235">
        <v>40</v>
      </c>
      <c r="O1044" s="234">
        <v>40</v>
      </c>
      <c r="P1044" s="234">
        <v>40</v>
      </c>
      <c r="Q1044" s="180" t="str">
        <f>IF(PEDIDOS[[#This Row],[Valor do item pago]]=PEDIDOS[[#This Row],[Total Item ]],"PAGO", "")</f>
        <v>PAGO</v>
      </c>
    </row>
    <row r="1045" spans="1:17" s="216" customFormat="1" ht="39.950000000000003" customHeight="1" x14ac:dyDescent="0.25">
      <c r="A1045" s="231"/>
      <c r="B1045" s="216">
        <v>845</v>
      </c>
      <c r="C1045" s="232">
        <v>43559</v>
      </c>
      <c r="D1045" s="233" t="s">
        <v>40</v>
      </c>
      <c r="E1045" s="216" t="s">
        <v>630</v>
      </c>
      <c r="F1045" s="216" t="s">
        <v>1245</v>
      </c>
      <c r="G1045" s="216" t="s">
        <v>1392</v>
      </c>
      <c r="H1045" s="216" t="s">
        <v>1205</v>
      </c>
      <c r="I1045" s="234" t="s">
        <v>735</v>
      </c>
      <c r="J1045" s="234"/>
      <c r="K1045" s="234" t="s">
        <v>49</v>
      </c>
      <c r="L1045" s="216" t="s">
        <v>0</v>
      </c>
      <c r="M1045" s="178">
        <v>1</v>
      </c>
      <c r="N1045" s="235">
        <v>40</v>
      </c>
      <c r="O1045" s="234">
        <v>40</v>
      </c>
      <c r="P1045" s="234">
        <v>40</v>
      </c>
      <c r="Q1045" s="180" t="str">
        <f>IF(PEDIDOS[[#This Row],[Valor do item pago]]=PEDIDOS[[#This Row],[Total Item ]],"PAGO", "")</f>
        <v>PAGO</v>
      </c>
    </row>
    <row r="1046" spans="1:17" s="216" customFormat="1" ht="39.950000000000003" customHeight="1" x14ac:dyDescent="0.25">
      <c r="A1046" s="231"/>
      <c r="B1046" s="216">
        <v>844</v>
      </c>
      <c r="C1046" s="232">
        <v>43559</v>
      </c>
      <c r="D1046" s="233" t="s">
        <v>40</v>
      </c>
      <c r="E1046" s="216" t="s">
        <v>203</v>
      </c>
      <c r="F1046" s="216" t="s">
        <v>1238</v>
      </c>
      <c r="G1046" s="216" t="s">
        <v>41</v>
      </c>
      <c r="H1046" s="216" t="s">
        <v>441</v>
      </c>
      <c r="I1046" s="234" t="s">
        <v>442</v>
      </c>
      <c r="J1046" s="234"/>
      <c r="K1046" s="234"/>
      <c r="L1046" s="216" t="s">
        <v>1</v>
      </c>
      <c r="M1046" s="178">
        <v>1</v>
      </c>
      <c r="N1046" s="235">
        <v>40</v>
      </c>
      <c r="O1046" s="234">
        <v>40</v>
      </c>
      <c r="P1046" s="234"/>
      <c r="Q1046" s="180" t="str">
        <f>IF(PEDIDOS[[#This Row],[Valor do item pago]]=PEDIDOS[[#This Row],[Total Item ]],"PAGO", "")</f>
        <v/>
      </c>
    </row>
    <row r="1047" spans="1:17" s="216" customFormat="1" ht="39.950000000000003" customHeight="1" x14ac:dyDescent="0.25">
      <c r="A1047" s="231"/>
      <c r="B1047" s="216">
        <v>844</v>
      </c>
      <c r="C1047" s="232">
        <v>43559</v>
      </c>
      <c r="D1047" s="233" t="s">
        <v>40</v>
      </c>
      <c r="E1047" s="216" t="s">
        <v>203</v>
      </c>
      <c r="F1047" s="216" t="s">
        <v>1238</v>
      </c>
      <c r="G1047" s="216" t="s">
        <v>41</v>
      </c>
      <c r="H1047" s="216" t="s">
        <v>441</v>
      </c>
      <c r="I1047" s="234" t="s">
        <v>442</v>
      </c>
      <c r="J1047" s="234"/>
      <c r="K1047" s="234"/>
      <c r="L1047" s="216" t="s">
        <v>0</v>
      </c>
      <c r="M1047" s="178">
        <v>1</v>
      </c>
      <c r="N1047" s="235">
        <v>40</v>
      </c>
      <c r="O1047" s="234">
        <v>40</v>
      </c>
      <c r="P1047" s="234"/>
      <c r="Q1047" s="180" t="str">
        <f>IF(PEDIDOS[[#This Row],[Valor do item pago]]=PEDIDOS[[#This Row],[Total Item ]],"PAGO", "")</f>
        <v/>
      </c>
    </row>
    <row r="1048" spans="1:17" s="216" customFormat="1" ht="39.950000000000003" customHeight="1" x14ac:dyDescent="0.25">
      <c r="A1048" s="231"/>
      <c r="B1048" s="216">
        <v>843</v>
      </c>
      <c r="C1048" s="232">
        <v>43559</v>
      </c>
      <c r="D1048" s="233" t="s">
        <v>40</v>
      </c>
      <c r="E1048" s="216" t="s">
        <v>13</v>
      </c>
      <c r="F1048" s="216">
        <v>0</v>
      </c>
      <c r="G1048" s="216">
        <v>0</v>
      </c>
      <c r="H1048" s="216">
        <v>0</v>
      </c>
      <c r="I1048" s="234"/>
      <c r="J1048" s="234"/>
      <c r="K1048" s="234"/>
      <c r="L1048" s="216" t="s">
        <v>3</v>
      </c>
      <c r="M1048" s="178">
        <v>1</v>
      </c>
      <c r="N1048" s="235">
        <v>40</v>
      </c>
      <c r="O1048" s="234">
        <v>40</v>
      </c>
      <c r="P1048" s="234"/>
      <c r="Q1048" s="180" t="str">
        <f>IF(PEDIDOS[[#This Row],[Valor do item pago]]=PEDIDOS[[#This Row],[Total Item ]],"PAGO", "")</f>
        <v/>
      </c>
    </row>
    <row r="1049" spans="1:17" s="216" customFormat="1" ht="39.950000000000003" customHeight="1" x14ac:dyDescent="0.25">
      <c r="A1049" s="231"/>
      <c r="B1049" s="216">
        <v>843</v>
      </c>
      <c r="C1049" s="232">
        <v>43559</v>
      </c>
      <c r="D1049" s="233" t="s">
        <v>40</v>
      </c>
      <c r="E1049" s="216" t="s">
        <v>13</v>
      </c>
      <c r="F1049" s="216">
        <v>0</v>
      </c>
      <c r="G1049" s="216">
        <v>0</v>
      </c>
      <c r="H1049" s="216">
        <v>0</v>
      </c>
      <c r="I1049" s="234"/>
      <c r="J1049" s="234"/>
      <c r="K1049" s="234"/>
      <c r="L1049" s="216" t="s">
        <v>219</v>
      </c>
      <c r="M1049" s="178">
        <v>1</v>
      </c>
      <c r="N1049" s="235">
        <v>40</v>
      </c>
      <c r="O1049" s="234">
        <v>40</v>
      </c>
      <c r="P1049" s="234"/>
      <c r="Q1049" s="180" t="str">
        <f>IF(PEDIDOS[[#This Row],[Valor do item pago]]=PEDIDOS[[#This Row],[Total Item ]],"PAGO", "")</f>
        <v/>
      </c>
    </row>
    <row r="1050" spans="1:17" s="216" customFormat="1" ht="39.950000000000003" customHeight="1" x14ac:dyDescent="0.25">
      <c r="A1050" s="231"/>
      <c r="B1050" s="216">
        <v>842</v>
      </c>
      <c r="C1050" s="232">
        <v>43559</v>
      </c>
      <c r="D1050" s="233" t="s">
        <v>40</v>
      </c>
      <c r="E1050" s="216" t="s">
        <v>1255</v>
      </c>
      <c r="F1050" s="216" t="s">
        <v>1210</v>
      </c>
      <c r="G1050" s="216">
        <v>0</v>
      </c>
      <c r="H1050" s="216">
        <v>0</v>
      </c>
      <c r="I1050" s="234"/>
      <c r="J1050" s="234"/>
      <c r="K1050" s="234"/>
      <c r="L1050" s="216" t="s">
        <v>3</v>
      </c>
      <c r="M1050" s="178">
        <v>2</v>
      </c>
      <c r="N1050" s="235">
        <v>40</v>
      </c>
      <c r="O1050" s="234">
        <v>80</v>
      </c>
      <c r="P1050" s="234"/>
      <c r="Q1050" s="180" t="str">
        <f>IF(PEDIDOS[[#This Row],[Valor do item pago]]=PEDIDOS[[#This Row],[Total Item ]],"PAGO", "")</f>
        <v/>
      </c>
    </row>
    <row r="1051" spans="1:17" s="216" customFormat="1" ht="39.950000000000003" customHeight="1" x14ac:dyDescent="0.25">
      <c r="A1051" s="231"/>
      <c r="B1051" s="216">
        <v>841</v>
      </c>
      <c r="C1051" s="232">
        <v>43531</v>
      </c>
      <c r="D1051" s="233" t="s">
        <v>477</v>
      </c>
      <c r="E1051" s="216" t="s">
        <v>1199</v>
      </c>
      <c r="F1051" s="216" t="s">
        <v>969</v>
      </c>
      <c r="G1051" s="216" t="s">
        <v>1361</v>
      </c>
      <c r="H1051" s="216" t="s">
        <v>52</v>
      </c>
      <c r="I1051" s="234" t="s">
        <v>971</v>
      </c>
      <c r="J1051" s="234" t="s">
        <v>1036</v>
      </c>
      <c r="K1051" s="234"/>
      <c r="L1051" s="216" t="s">
        <v>219</v>
      </c>
      <c r="M1051" s="178">
        <v>1</v>
      </c>
      <c r="N1051" s="235">
        <v>40</v>
      </c>
      <c r="O1051" s="234">
        <v>40</v>
      </c>
      <c r="P1051" s="234">
        <v>40</v>
      </c>
      <c r="Q1051" s="180" t="str">
        <f>IF(PEDIDOS[[#This Row],[Valor do item pago]]=PEDIDOS[[#This Row],[Total Item ]],"PAGO", "")</f>
        <v>PAGO</v>
      </c>
    </row>
    <row r="1052" spans="1:17" s="216" customFormat="1" ht="39.950000000000003" customHeight="1" x14ac:dyDescent="0.25">
      <c r="A1052" s="231"/>
      <c r="B1052" s="216">
        <v>840</v>
      </c>
      <c r="C1052" s="232">
        <v>43531</v>
      </c>
      <c r="D1052" s="233" t="s">
        <v>477</v>
      </c>
      <c r="E1052" s="216" t="s">
        <v>1446</v>
      </c>
      <c r="F1052" s="216" t="s">
        <v>903</v>
      </c>
      <c r="G1052" s="216" t="s">
        <v>1290</v>
      </c>
      <c r="H1052" s="216" t="s">
        <v>520</v>
      </c>
      <c r="I1052" s="234" t="s">
        <v>905</v>
      </c>
      <c r="J1052" s="234"/>
      <c r="K1052" s="234"/>
      <c r="L1052" s="216" t="s">
        <v>219</v>
      </c>
      <c r="M1052" s="178">
        <v>1</v>
      </c>
      <c r="N1052" s="235">
        <v>40</v>
      </c>
      <c r="O1052" s="234">
        <v>40</v>
      </c>
      <c r="P1052" s="234"/>
      <c r="Q1052" s="180" t="str">
        <f>IF(PEDIDOS[[#This Row],[Valor do item pago]]=PEDIDOS[[#This Row],[Total Item ]],"PAGO", "")</f>
        <v/>
      </c>
    </row>
    <row r="1053" spans="1:17" s="216" customFormat="1" ht="39.950000000000003" customHeight="1" x14ac:dyDescent="0.25">
      <c r="A1053" s="231"/>
      <c r="B1053" s="216">
        <v>839</v>
      </c>
      <c r="C1053" s="232">
        <v>43531</v>
      </c>
      <c r="D1053" s="233" t="s">
        <v>477</v>
      </c>
      <c r="E1053" s="216" t="s">
        <v>1439</v>
      </c>
      <c r="F1053" s="216" t="s">
        <v>889</v>
      </c>
      <c r="G1053" s="216" t="s">
        <v>1327</v>
      </c>
      <c r="H1053" s="216" t="s">
        <v>891</v>
      </c>
      <c r="I1053" s="234" t="s">
        <v>892</v>
      </c>
      <c r="J1053" s="234"/>
      <c r="K1053" s="234"/>
      <c r="L1053" s="216" t="s">
        <v>3</v>
      </c>
      <c r="M1053" s="178">
        <v>1</v>
      </c>
      <c r="N1053" s="235">
        <v>40</v>
      </c>
      <c r="O1053" s="234">
        <v>40</v>
      </c>
      <c r="P1053" s="234"/>
      <c r="Q1053" s="180" t="str">
        <f>IF(PEDIDOS[[#This Row],[Valor do item pago]]=PEDIDOS[[#This Row],[Total Item ]],"PAGO", "")</f>
        <v/>
      </c>
    </row>
    <row r="1054" spans="1:17" s="216" customFormat="1" ht="39.950000000000003" customHeight="1" x14ac:dyDescent="0.25">
      <c r="A1054" s="231"/>
      <c r="B1054" s="216">
        <v>838</v>
      </c>
      <c r="C1054" s="232">
        <v>43531</v>
      </c>
      <c r="D1054" s="233" t="s">
        <v>477</v>
      </c>
      <c r="E1054" s="216" t="s">
        <v>534</v>
      </c>
      <c r="F1054" s="216">
        <v>0</v>
      </c>
      <c r="G1054" s="216">
        <v>0</v>
      </c>
      <c r="H1054" s="216">
        <v>0</v>
      </c>
      <c r="I1054" s="234"/>
      <c r="J1054" s="234"/>
      <c r="K1054" s="234" t="s">
        <v>477</v>
      </c>
      <c r="L1054" s="216" t="s">
        <v>219</v>
      </c>
      <c r="M1054" s="178">
        <v>1</v>
      </c>
      <c r="N1054" s="235">
        <v>40</v>
      </c>
      <c r="O1054" s="234">
        <v>40</v>
      </c>
      <c r="P1054" s="234"/>
      <c r="Q1054" s="180" t="str">
        <f>IF(PEDIDOS[[#This Row],[Valor do item pago]]=PEDIDOS[[#This Row],[Total Item ]],"PAGO", "")</f>
        <v/>
      </c>
    </row>
    <row r="1055" spans="1:17" s="216" customFormat="1" ht="39.950000000000003" customHeight="1" x14ac:dyDescent="0.25">
      <c r="A1055" s="231"/>
      <c r="B1055" s="216">
        <v>837</v>
      </c>
      <c r="C1055" s="232">
        <v>43531</v>
      </c>
      <c r="D1055" s="233" t="s">
        <v>477</v>
      </c>
      <c r="E1055" s="216" t="s">
        <v>547</v>
      </c>
      <c r="F1055" s="216" t="s">
        <v>521</v>
      </c>
      <c r="G1055" s="216" t="s">
        <v>1317</v>
      </c>
      <c r="H1055" s="216" t="s">
        <v>1205</v>
      </c>
      <c r="I1055" s="234" t="s">
        <v>663</v>
      </c>
      <c r="J1055" s="234"/>
      <c r="K1055" s="234"/>
      <c r="L1055" s="216" t="s">
        <v>235</v>
      </c>
      <c r="M1055" s="178">
        <v>1</v>
      </c>
      <c r="N1055" s="235">
        <v>40</v>
      </c>
      <c r="O1055" s="234">
        <v>40</v>
      </c>
      <c r="P1055" s="234"/>
      <c r="Q1055" s="180" t="str">
        <f>IF(PEDIDOS[[#This Row],[Valor do item pago]]=PEDIDOS[[#This Row],[Total Item ]],"PAGO", "")</f>
        <v/>
      </c>
    </row>
    <row r="1056" spans="1:17" s="216" customFormat="1" ht="39.950000000000003" customHeight="1" x14ac:dyDescent="0.25">
      <c r="A1056" s="231"/>
      <c r="B1056" s="216">
        <v>836</v>
      </c>
      <c r="C1056" s="232">
        <v>43531</v>
      </c>
      <c r="D1056" s="233" t="s">
        <v>477</v>
      </c>
      <c r="E1056" s="216" t="s">
        <v>513</v>
      </c>
      <c r="F1056" s="216" t="s">
        <v>514</v>
      </c>
      <c r="G1056" s="216" t="s">
        <v>1419</v>
      </c>
      <c r="H1056" s="216" t="s">
        <v>1330</v>
      </c>
      <c r="I1056" s="234" t="s">
        <v>661</v>
      </c>
      <c r="J1056" s="234"/>
      <c r="K1056" s="234"/>
      <c r="L1056" s="216" t="s">
        <v>219</v>
      </c>
      <c r="M1056" s="178">
        <v>1</v>
      </c>
      <c r="N1056" s="235">
        <v>40</v>
      </c>
      <c r="O1056" s="234">
        <v>40</v>
      </c>
      <c r="P1056" s="234"/>
      <c r="Q1056" s="180" t="str">
        <f>IF(PEDIDOS[[#This Row],[Valor do item pago]]=PEDIDOS[[#This Row],[Total Item ]],"PAGO", "")</f>
        <v/>
      </c>
    </row>
    <row r="1057" spans="1:17" s="216" customFormat="1" ht="39.950000000000003" customHeight="1" x14ac:dyDescent="0.25">
      <c r="A1057" s="231"/>
      <c r="B1057" s="216">
        <v>836</v>
      </c>
      <c r="C1057" s="232">
        <v>43531</v>
      </c>
      <c r="D1057" s="233" t="s">
        <v>477</v>
      </c>
      <c r="E1057" s="216" t="s">
        <v>513</v>
      </c>
      <c r="F1057" s="216" t="s">
        <v>514</v>
      </c>
      <c r="G1057" s="216" t="s">
        <v>1419</v>
      </c>
      <c r="H1057" s="216" t="s">
        <v>1330</v>
      </c>
      <c r="I1057" s="234" t="s">
        <v>661</v>
      </c>
      <c r="J1057" s="234"/>
      <c r="K1057" s="234"/>
      <c r="L1057" s="216" t="s">
        <v>1</v>
      </c>
      <c r="M1057" s="178">
        <v>1</v>
      </c>
      <c r="N1057" s="235">
        <v>40</v>
      </c>
      <c r="O1057" s="234">
        <v>40</v>
      </c>
      <c r="P1057" s="234"/>
      <c r="Q1057" s="180" t="str">
        <f>IF(PEDIDOS[[#This Row],[Valor do item pago]]=PEDIDOS[[#This Row],[Total Item ]],"PAGO", "")</f>
        <v/>
      </c>
    </row>
    <row r="1058" spans="1:17" s="216" customFormat="1" ht="39.950000000000003" customHeight="1" x14ac:dyDescent="0.25">
      <c r="A1058" s="231"/>
      <c r="B1058" s="216">
        <v>835</v>
      </c>
      <c r="C1058" s="232">
        <v>43531</v>
      </c>
      <c r="D1058" s="233" t="s">
        <v>477</v>
      </c>
      <c r="E1058" s="216" t="s">
        <v>367</v>
      </c>
      <c r="F1058" s="216" t="s">
        <v>1237</v>
      </c>
      <c r="G1058" s="216" t="s">
        <v>1418</v>
      </c>
      <c r="H1058" s="216" t="s">
        <v>392</v>
      </c>
      <c r="I1058" s="234" t="s">
        <v>656</v>
      </c>
      <c r="J1058" s="234"/>
      <c r="K1058" s="234"/>
      <c r="L1058" s="216" t="s">
        <v>0</v>
      </c>
      <c r="M1058" s="178">
        <v>1</v>
      </c>
      <c r="N1058" s="235">
        <v>40</v>
      </c>
      <c r="O1058" s="234">
        <v>40</v>
      </c>
      <c r="P1058" s="234"/>
      <c r="Q1058" s="180" t="str">
        <f>IF(PEDIDOS[[#This Row],[Valor do item pago]]=PEDIDOS[[#This Row],[Total Item ]],"PAGO", "")</f>
        <v/>
      </c>
    </row>
    <row r="1059" spans="1:17" s="216" customFormat="1" ht="39.950000000000003" customHeight="1" x14ac:dyDescent="0.25">
      <c r="A1059" s="231"/>
      <c r="B1059" s="216">
        <v>834</v>
      </c>
      <c r="C1059" s="232">
        <v>43531</v>
      </c>
      <c r="D1059" s="233" t="s">
        <v>477</v>
      </c>
      <c r="E1059" s="216" t="s">
        <v>366</v>
      </c>
      <c r="F1059" s="216" t="s">
        <v>1234</v>
      </c>
      <c r="G1059" s="216" t="s">
        <v>1417</v>
      </c>
      <c r="H1059" s="216" t="s">
        <v>84</v>
      </c>
      <c r="I1059" s="234" t="s">
        <v>436</v>
      </c>
      <c r="J1059" s="234"/>
      <c r="K1059" s="234"/>
      <c r="L1059" s="216" t="s">
        <v>219</v>
      </c>
      <c r="M1059" s="178">
        <v>1</v>
      </c>
      <c r="N1059" s="235">
        <v>40</v>
      </c>
      <c r="O1059" s="234">
        <v>40</v>
      </c>
      <c r="P1059" s="234"/>
      <c r="Q1059" s="180" t="str">
        <f>IF(PEDIDOS[[#This Row],[Valor do item pago]]=PEDIDOS[[#This Row],[Total Item ]],"PAGO", "")</f>
        <v/>
      </c>
    </row>
    <row r="1060" spans="1:17" s="216" customFormat="1" ht="39.950000000000003" customHeight="1" x14ac:dyDescent="0.25">
      <c r="A1060" s="231"/>
      <c r="B1060" s="216">
        <v>833</v>
      </c>
      <c r="C1060" s="232">
        <v>43531</v>
      </c>
      <c r="D1060" s="233" t="s">
        <v>477</v>
      </c>
      <c r="E1060" s="216" t="s">
        <v>1262</v>
      </c>
      <c r="F1060" s="216">
        <v>0</v>
      </c>
      <c r="G1060" s="216">
        <v>0</v>
      </c>
      <c r="H1060" s="216">
        <v>0</v>
      </c>
      <c r="I1060" s="234"/>
      <c r="J1060" s="234"/>
      <c r="K1060" s="234" t="s">
        <v>40</v>
      </c>
      <c r="L1060" s="216" t="s">
        <v>1</v>
      </c>
      <c r="M1060" s="178">
        <v>1</v>
      </c>
      <c r="N1060" s="235">
        <v>40</v>
      </c>
      <c r="O1060" s="234">
        <v>40</v>
      </c>
      <c r="P1060" s="234">
        <v>40</v>
      </c>
      <c r="Q1060" s="180" t="str">
        <f>IF(PEDIDOS[[#This Row],[Valor do item pago]]=PEDIDOS[[#This Row],[Total Item ]],"PAGO", "")</f>
        <v>PAGO</v>
      </c>
    </row>
    <row r="1061" spans="1:17" s="216" customFormat="1" ht="39.950000000000003" customHeight="1" x14ac:dyDescent="0.25">
      <c r="A1061" s="231"/>
      <c r="B1061" s="216">
        <v>832</v>
      </c>
      <c r="C1061" s="232">
        <v>43531</v>
      </c>
      <c r="D1061" s="233" t="s">
        <v>477</v>
      </c>
      <c r="E1061" s="216" t="s">
        <v>506</v>
      </c>
      <c r="F1061" s="216" t="s">
        <v>503</v>
      </c>
      <c r="G1061" s="216" t="s">
        <v>1416</v>
      </c>
      <c r="H1061" s="216" t="s">
        <v>505</v>
      </c>
      <c r="I1061" s="234" t="s">
        <v>660</v>
      </c>
      <c r="J1061" s="234"/>
      <c r="K1061" s="234"/>
      <c r="L1061" s="216" t="s">
        <v>1</v>
      </c>
      <c r="M1061" s="178">
        <v>2</v>
      </c>
      <c r="N1061" s="235">
        <v>40</v>
      </c>
      <c r="O1061" s="234">
        <v>80</v>
      </c>
      <c r="P1061" s="234"/>
      <c r="Q1061" s="180" t="str">
        <f>IF(PEDIDOS[[#This Row],[Valor do item pago]]=PEDIDOS[[#This Row],[Total Item ]],"PAGO", "")</f>
        <v/>
      </c>
    </row>
    <row r="1062" spans="1:17" s="216" customFormat="1" ht="39.950000000000003" customHeight="1" x14ac:dyDescent="0.25">
      <c r="A1062" s="231"/>
      <c r="B1062" s="216">
        <v>831</v>
      </c>
      <c r="C1062" s="232">
        <v>43531</v>
      </c>
      <c r="D1062" s="233" t="s">
        <v>477</v>
      </c>
      <c r="E1062" s="216" t="s">
        <v>1272</v>
      </c>
      <c r="F1062" s="216" t="s">
        <v>1227</v>
      </c>
      <c r="G1062" s="216" t="s">
        <v>1273</v>
      </c>
      <c r="H1062" s="216" t="s">
        <v>1196</v>
      </c>
      <c r="I1062" s="234" t="s">
        <v>652</v>
      </c>
      <c r="J1062" s="234"/>
      <c r="K1062" s="234"/>
      <c r="L1062" s="216" t="s">
        <v>219</v>
      </c>
      <c r="M1062" s="178">
        <v>1</v>
      </c>
      <c r="N1062" s="235">
        <v>40</v>
      </c>
      <c r="O1062" s="234">
        <v>40</v>
      </c>
      <c r="P1062" s="234"/>
      <c r="Q1062" s="180" t="str">
        <f>IF(PEDIDOS[[#This Row],[Valor do item pago]]=PEDIDOS[[#This Row],[Total Item ]],"PAGO", "")</f>
        <v/>
      </c>
    </row>
    <row r="1063" spans="1:17" s="216" customFormat="1" ht="39.950000000000003" customHeight="1" x14ac:dyDescent="0.25">
      <c r="A1063" s="231"/>
      <c r="B1063" s="216">
        <v>830</v>
      </c>
      <c r="C1063" s="232">
        <v>43531</v>
      </c>
      <c r="D1063" s="233" t="s">
        <v>477</v>
      </c>
      <c r="E1063" s="216" t="s">
        <v>1259</v>
      </c>
      <c r="F1063" s="216" t="s">
        <v>1226</v>
      </c>
      <c r="G1063" s="216" t="s">
        <v>1440</v>
      </c>
      <c r="H1063" s="216" t="s">
        <v>390</v>
      </c>
      <c r="I1063" s="234" t="s">
        <v>251</v>
      </c>
      <c r="J1063" s="234"/>
      <c r="K1063" s="234"/>
      <c r="L1063" s="216" t="s">
        <v>3</v>
      </c>
      <c r="M1063" s="178">
        <v>1</v>
      </c>
      <c r="N1063" s="235">
        <v>40</v>
      </c>
      <c r="O1063" s="234">
        <v>40</v>
      </c>
      <c r="P1063" s="234"/>
      <c r="Q1063" s="180" t="str">
        <f>IF(PEDIDOS[[#This Row],[Valor do item pago]]=PEDIDOS[[#This Row],[Total Item ]],"PAGO", "")</f>
        <v/>
      </c>
    </row>
    <row r="1064" spans="1:17" s="216" customFormat="1" ht="39.950000000000003" customHeight="1" x14ac:dyDescent="0.25">
      <c r="A1064" s="231"/>
      <c r="B1064" s="216">
        <v>829</v>
      </c>
      <c r="C1064" s="232">
        <v>43531</v>
      </c>
      <c r="D1064" s="233" t="s">
        <v>477</v>
      </c>
      <c r="E1064" s="216" t="s">
        <v>25</v>
      </c>
      <c r="F1064" s="216" t="s">
        <v>1222</v>
      </c>
      <c r="G1064" s="216" t="s">
        <v>1411</v>
      </c>
      <c r="H1064" s="216" t="s">
        <v>406</v>
      </c>
      <c r="I1064" s="234" t="s">
        <v>329</v>
      </c>
      <c r="J1064" s="234"/>
      <c r="K1064" s="234"/>
      <c r="L1064" s="216" t="s">
        <v>219</v>
      </c>
      <c r="M1064" s="178">
        <v>5</v>
      </c>
      <c r="N1064" s="235">
        <v>40</v>
      </c>
      <c r="O1064" s="234">
        <v>200</v>
      </c>
      <c r="P1064" s="234">
        <v>200</v>
      </c>
      <c r="Q1064" s="180" t="str">
        <f>IF(PEDIDOS[[#This Row],[Valor do item pago]]=PEDIDOS[[#This Row],[Total Item ]],"PAGO", "")</f>
        <v>PAGO</v>
      </c>
    </row>
    <row r="1065" spans="1:17" s="216" customFormat="1" ht="39.950000000000003" customHeight="1" x14ac:dyDescent="0.25">
      <c r="A1065" s="231"/>
      <c r="B1065" s="216">
        <v>828</v>
      </c>
      <c r="C1065" s="232">
        <v>43531</v>
      </c>
      <c r="D1065" s="233" t="s">
        <v>477</v>
      </c>
      <c r="E1065" s="216" t="s">
        <v>343</v>
      </c>
      <c r="F1065" s="216" t="s">
        <v>826</v>
      </c>
      <c r="G1065" s="216" t="s">
        <v>1404</v>
      </c>
      <c r="H1065" s="216" t="s">
        <v>441</v>
      </c>
      <c r="I1065" s="234" t="s">
        <v>874</v>
      </c>
      <c r="J1065" s="234"/>
      <c r="K1065" s="234" t="s">
        <v>477</v>
      </c>
      <c r="L1065" s="216" t="s">
        <v>1</v>
      </c>
      <c r="M1065" s="178">
        <v>1</v>
      </c>
      <c r="N1065" s="235">
        <v>40</v>
      </c>
      <c r="O1065" s="234">
        <v>40</v>
      </c>
      <c r="P1065" s="234"/>
      <c r="Q1065" s="180" t="str">
        <f>IF(PEDIDOS[[#This Row],[Valor do item pago]]=PEDIDOS[[#This Row],[Total Item ]],"PAGO", "")</f>
        <v/>
      </c>
    </row>
    <row r="1066" spans="1:17" s="216" customFormat="1" ht="39.950000000000003" customHeight="1" x14ac:dyDescent="0.25">
      <c r="A1066" s="231"/>
      <c r="B1066" s="216">
        <v>827</v>
      </c>
      <c r="C1066" s="232">
        <v>43531</v>
      </c>
      <c r="D1066" s="233" t="s">
        <v>44</v>
      </c>
      <c r="E1066" s="216" t="s">
        <v>1294</v>
      </c>
      <c r="F1066" s="216">
        <v>0</v>
      </c>
      <c r="G1066" s="216">
        <v>0</v>
      </c>
      <c r="H1066" s="216" t="s">
        <v>1266</v>
      </c>
      <c r="I1066" s="234"/>
      <c r="J1066" s="234"/>
      <c r="K1066" s="234" t="s">
        <v>44</v>
      </c>
      <c r="L1066" s="216" t="s">
        <v>219</v>
      </c>
      <c r="M1066" s="178">
        <v>1</v>
      </c>
      <c r="N1066" s="235">
        <v>40</v>
      </c>
      <c r="O1066" s="234">
        <v>40</v>
      </c>
      <c r="P1066" s="234"/>
      <c r="Q1066" s="180" t="str">
        <f>IF(PEDIDOS[[#This Row],[Valor do item pago]]=PEDIDOS[[#This Row],[Total Item ]],"PAGO", "")</f>
        <v/>
      </c>
    </row>
    <row r="1067" spans="1:17" s="216" customFormat="1" ht="39.950000000000003" customHeight="1" x14ac:dyDescent="0.25">
      <c r="A1067" s="231"/>
      <c r="B1067" s="216">
        <v>826</v>
      </c>
      <c r="C1067" s="232">
        <v>43531</v>
      </c>
      <c r="D1067" s="233" t="s">
        <v>804</v>
      </c>
      <c r="E1067" s="216" t="s">
        <v>804</v>
      </c>
      <c r="F1067" s="216" t="s">
        <v>803</v>
      </c>
      <c r="G1067" s="216">
        <v>0</v>
      </c>
      <c r="H1067" s="216">
        <v>0</v>
      </c>
      <c r="I1067" s="234"/>
      <c r="J1067" s="234"/>
      <c r="K1067" s="234"/>
      <c r="L1067" s="216" t="s">
        <v>3</v>
      </c>
      <c r="M1067" s="178">
        <v>1</v>
      </c>
      <c r="N1067" s="235">
        <v>40</v>
      </c>
      <c r="O1067" s="234">
        <v>40</v>
      </c>
      <c r="P1067" s="234"/>
      <c r="Q1067" s="180" t="str">
        <f>IF(PEDIDOS[[#This Row],[Valor do item pago]]=PEDIDOS[[#This Row],[Total Item ]],"PAGO", "")</f>
        <v/>
      </c>
    </row>
    <row r="1068" spans="1:17" s="216" customFormat="1" ht="39.950000000000003" customHeight="1" x14ac:dyDescent="0.25">
      <c r="A1068" s="231"/>
      <c r="B1068" s="216">
        <v>825</v>
      </c>
      <c r="C1068" s="232">
        <v>43531</v>
      </c>
      <c r="D1068" s="233" t="s">
        <v>823</v>
      </c>
      <c r="E1068" s="216" t="s">
        <v>1451</v>
      </c>
      <c r="F1068" s="216" t="s">
        <v>627</v>
      </c>
      <c r="G1068" s="216" t="s">
        <v>1190</v>
      </c>
      <c r="H1068" s="216" t="s">
        <v>1450</v>
      </c>
      <c r="I1068" s="234" t="s">
        <v>1182</v>
      </c>
      <c r="J1068" s="234"/>
      <c r="K1068" s="234"/>
      <c r="L1068" s="216" t="s">
        <v>219</v>
      </c>
      <c r="M1068" s="178">
        <v>1</v>
      </c>
      <c r="N1068" s="235">
        <v>40</v>
      </c>
      <c r="O1068" s="234">
        <v>40</v>
      </c>
      <c r="P1068" s="234"/>
      <c r="Q1068" s="180" t="str">
        <f>IF(PEDIDOS[[#This Row],[Valor do item pago]]=PEDIDOS[[#This Row],[Total Item ]],"PAGO", "")</f>
        <v/>
      </c>
    </row>
    <row r="1069" spans="1:17" s="216" customFormat="1" ht="39.950000000000003" customHeight="1" x14ac:dyDescent="0.25">
      <c r="A1069" s="231"/>
      <c r="B1069" s="216">
        <v>824</v>
      </c>
      <c r="C1069" s="232">
        <v>43531</v>
      </c>
      <c r="D1069" s="233" t="s">
        <v>823</v>
      </c>
      <c r="E1069" s="216" t="s">
        <v>819</v>
      </c>
      <c r="F1069" s="216" t="s">
        <v>820</v>
      </c>
      <c r="G1069" s="216" t="s">
        <v>821</v>
      </c>
      <c r="H1069" s="216" t="s">
        <v>84</v>
      </c>
      <c r="I1069" s="234" t="s">
        <v>824</v>
      </c>
      <c r="J1069" s="234"/>
      <c r="K1069" s="234"/>
      <c r="L1069" s="216" t="s">
        <v>219</v>
      </c>
      <c r="M1069" s="178">
        <v>1</v>
      </c>
      <c r="N1069" s="235">
        <v>40</v>
      </c>
      <c r="O1069" s="234">
        <v>40</v>
      </c>
      <c r="P1069" s="234"/>
      <c r="Q1069" s="180" t="str">
        <f>IF(PEDIDOS[[#This Row],[Valor do item pago]]=PEDIDOS[[#This Row],[Total Item ]],"PAGO", "")</f>
        <v/>
      </c>
    </row>
    <row r="1070" spans="1:17" s="216" customFormat="1" ht="39.950000000000003" customHeight="1" x14ac:dyDescent="0.25">
      <c r="A1070" s="231"/>
      <c r="B1070" s="216">
        <v>823</v>
      </c>
      <c r="C1070" s="232">
        <v>43531</v>
      </c>
      <c r="D1070" s="233" t="s">
        <v>823</v>
      </c>
      <c r="E1070" s="216" t="s">
        <v>35</v>
      </c>
      <c r="F1070" s="216">
        <v>0</v>
      </c>
      <c r="G1070" s="216" t="s">
        <v>818</v>
      </c>
      <c r="H1070" s="216">
        <v>0</v>
      </c>
      <c r="I1070" s="234"/>
      <c r="J1070" s="234"/>
      <c r="K1070" s="234" t="s">
        <v>823</v>
      </c>
      <c r="L1070" s="216" t="s">
        <v>219</v>
      </c>
      <c r="M1070" s="178">
        <v>1</v>
      </c>
      <c r="N1070" s="235">
        <v>40</v>
      </c>
      <c r="O1070" s="234">
        <v>40</v>
      </c>
      <c r="P1070" s="234"/>
      <c r="Q1070" s="180" t="str">
        <f>IF(PEDIDOS[[#This Row],[Valor do item pago]]=PEDIDOS[[#This Row],[Total Item ]],"PAGO", "")</f>
        <v/>
      </c>
    </row>
    <row r="1071" spans="1:17" s="216" customFormat="1" ht="39.950000000000003" customHeight="1" x14ac:dyDescent="0.25">
      <c r="A1071" s="231"/>
      <c r="B1071" s="216">
        <v>822</v>
      </c>
      <c r="C1071" s="232">
        <v>43531</v>
      </c>
      <c r="D1071" s="233" t="s">
        <v>823</v>
      </c>
      <c r="E1071" s="216" t="s">
        <v>578</v>
      </c>
      <c r="F1071" s="216" t="s">
        <v>573</v>
      </c>
      <c r="G1071" s="216" t="s">
        <v>621</v>
      </c>
      <c r="H1071" s="216" t="s">
        <v>582</v>
      </c>
      <c r="I1071" s="234" t="s">
        <v>674</v>
      </c>
      <c r="J1071" s="234"/>
      <c r="K1071" s="234"/>
      <c r="L1071" s="216" t="s">
        <v>219</v>
      </c>
      <c r="M1071" s="178">
        <v>1</v>
      </c>
      <c r="N1071" s="235">
        <v>40</v>
      </c>
      <c r="O1071" s="234">
        <v>40</v>
      </c>
      <c r="P1071" s="234"/>
      <c r="Q1071" s="180" t="str">
        <f>IF(PEDIDOS[[#This Row],[Valor do item pago]]=PEDIDOS[[#This Row],[Total Item ]],"PAGO", "")</f>
        <v/>
      </c>
    </row>
    <row r="1072" spans="1:17" s="216" customFormat="1" ht="39.950000000000003" customHeight="1" x14ac:dyDescent="0.25">
      <c r="A1072" s="231"/>
      <c r="B1072" s="216">
        <v>821</v>
      </c>
      <c r="C1072" s="232">
        <v>43531</v>
      </c>
      <c r="D1072" s="233" t="s">
        <v>823</v>
      </c>
      <c r="E1072" s="216" t="s">
        <v>1179</v>
      </c>
      <c r="F1072" s="216" t="s">
        <v>1180</v>
      </c>
      <c r="G1072" s="216" t="s">
        <v>1178</v>
      </c>
      <c r="H1072" s="216" t="s">
        <v>398</v>
      </c>
      <c r="I1072" s="234" t="s">
        <v>1181</v>
      </c>
      <c r="J1072" s="234"/>
      <c r="K1072" s="234"/>
      <c r="L1072" s="216" t="s">
        <v>219</v>
      </c>
      <c r="M1072" s="178">
        <v>1</v>
      </c>
      <c r="N1072" s="235">
        <v>40</v>
      </c>
      <c r="O1072" s="234">
        <v>40</v>
      </c>
      <c r="P1072" s="234"/>
      <c r="Q1072" s="180" t="str">
        <f>IF(PEDIDOS[[#This Row],[Valor do item pago]]=PEDIDOS[[#This Row],[Total Item ]],"PAGO", "")</f>
        <v/>
      </c>
    </row>
    <row r="1073" spans="1:17" s="216" customFormat="1" ht="39.950000000000003" customHeight="1" x14ac:dyDescent="0.25">
      <c r="A1073" s="231"/>
      <c r="B1073" s="216">
        <v>820</v>
      </c>
      <c r="C1073" s="232">
        <v>43531</v>
      </c>
      <c r="D1073" s="233" t="s">
        <v>823</v>
      </c>
      <c r="E1073" s="216" t="s">
        <v>622</v>
      </c>
      <c r="F1073" s="216" t="s">
        <v>623</v>
      </c>
      <c r="G1073" s="216" t="s">
        <v>1177</v>
      </c>
      <c r="H1073" s="216" t="s">
        <v>520</v>
      </c>
      <c r="I1073" s="234" t="s">
        <v>682</v>
      </c>
      <c r="J1073" s="234"/>
      <c r="K1073" s="234"/>
      <c r="L1073" s="216" t="s">
        <v>219</v>
      </c>
      <c r="M1073" s="178">
        <v>1</v>
      </c>
      <c r="N1073" s="235">
        <v>40</v>
      </c>
      <c r="O1073" s="234">
        <v>40</v>
      </c>
      <c r="P1073" s="234"/>
      <c r="Q1073" s="180" t="str">
        <f>IF(PEDIDOS[[#This Row],[Valor do item pago]]=PEDIDOS[[#This Row],[Total Item ]],"PAGO", "")</f>
        <v/>
      </c>
    </row>
    <row r="1074" spans="1:17" s="216" customFormat="1" ht="39.950000000000003" customHeight="1" x14ac:dyDescent="0.25">
      <c r="A1074" s="231"/>
      <c r="B1074" s="216">
        <v>819</v>
      </c>
      <c r="C1074" s="232">
        <v>43531</v>
      </c>
      <c r="D1074" s="233" t="s">
        <v>823</v>
      </c>
      <c r="E1074" s="216" t="s">
        <v>1171</v>
      </c>
      <c r="F1074" s="216" t="s">
        <v>1172</v>
      </c>
      <c r="G1074" s="216" t="s">
        <v>1173</v>
      </c>
      <c r="H1074" s="216" t="s">
        <v>544</v>
      </c>
      <c r="I1074" s="234" t="s">
        <v>1174</v>
      </c>
      <c r="J1074" s="234"/>
      <c r="K1074" s="234"/>
      <c r="L1074" s="216" t="s">
        <v>1</v>
      </c>
      <c r="M1074" s="178">
        <v>1</v>
      </c>
      <c r="N1074" s="235">
        <v>40</v>
      </c>
      <c r="O1074" s="234">
        <v>40</v>
      </c>
      <c r="P1074" s="234"/>
      <c r="Q1074" s="180" t="str">
        <f>IF(PEDIDOS[[#This Row],[Valor do item pago]]=PEDIDOS[[#This Row],[Total Item ]],"PAGO", "")</f>
        <v/>
      </c>
    </row>
    <row r="1075" spans="1:17" s="216" customFormat="1" ht="39.950000000000003" customHeight="1" x14ac:dyDescent="0.25">
      <c r="A1075" s="231"/>
      <c r="B1075" s="216">
        <v>819</v>
      </c>
      <c r="C1075" s="232">
        <v>43531</v>
      </c>
      <c r="D1075" s="233" t="s">
        <v>823</v>
      </c>
      <c r="E1075" s="216" t="s">
        <v>1171</v>
      </c>
      <c r="F1075" s="216" t="s">
        <v>1172</v>
      </c>
      <c r="G1075" s="216" t="s">
        <v>1173</v>
      </c>
      <c r="H1075" s="216" t="s">
        <v>544</v>
      </c>
      <c r="I1075" s="234" t="s">
        <v>1174</v>
      </c>
      <c r="J1075" s="234"/>
      <c r="K1075" s="234"/>
      <c r="L1075" s="216" t="s">
        <v>0</v>
      </c>
      <c r="M1075" s="178">
        <v>1</v>
      </c>
      <c r="N1075" s="235">
        <v>40</v>
      </c>
      <c r="O1075" s="234">
        <v>40</v>
      </c>
      <c r="P1075" s="234"/>
      <c r="Q1075" s="180" t="str">
        <f>IF(PEDIDOS[[#This Row],[Valor do item pago]]=PEDIDOS[[#This Row],[Total Item ]],"PAGO", "")</f>
        <v/>
      </c>
    </row>
    <row r="1076" spans="1:17" s="216" customFormat="1" ht="39.950000000000003" customHeight="1" x14ac:dyDescent="0.25">
      <c r="A1076" s="231"/>
      <c r="B1076" s="216">
        <v>818</v>
      </c>
      <c r="C1076" s="232">
        <v>43531</v>
      </c>
      <c r="D1076" s="233" t="s">
        <v>463</v>
      </c>
      <c r="E1076" s="216" t="s">
        <v>202</v>
      </c>
      <c r="F1076" s="216" t="s">
        <v>281</v>
      </c>
      <c r="G1076" s="216">
        <v>0</v>
      </c>
      <c r="H1076" s="216">
        <v>0</v>
      </c>
      <c r="I1076" s="234"/>
      <c r="J1076" s="234"/>
      <c r="K1076" s="234" t="s">
        <v>40</v>
      </c>
      <c r="L1076" s="216" t="s">
        <v>1</v>
      </c>
      <c r="M1076" s="178">
        <v>2</v>
      </c>
      <c r="N1076" s="235">
        <v>40</v>
      </c>
      <c r="O1076" s="234">
        <v>80</v>
      </c>
      <c r="P1076" s="234"/>
      <c r="Q1076" s="180" t="str">
        <f>IF(PEDIDOS[[#This Row],[Valor do item pago]]=PEDIDOS[[#This Row],[Total Item ]],"PAGO", "")</f>
        <v/>
      </c>
    </row>
    <row r="1077" spans="1:17" s="216" customFormat="1" ht="39.950000000000003" customHeight="1" x14ac:dyDescent="0.25">
      <c r="A1077" s="231"/>
      <c r="B1077" s="216">
        <v>817</v>
      </c>
      <c r="C1077" s="232">
        <v>43531</v>
      </c>
      <c r="D1077" s="233" t="s">
        <v>40</v>
      </c>
      <c r="E1077" s="216" t="s">
        <v>13</v>
      </c>
      <c r="F1077" s="216">
        <v>0</v>
      </c>
      <c r="G1077" s="216">
        <v>0</v>
      </c>
      <c r="H1077" s="216">
        <v>0</v>
      </c>
      <c r="I1077" s="234"/>
      <c r="J1077" s="234"/>
      <c r="K1077" s="234" t="s">
        <v>40</v>
      </c>
      <c r="L1077" s="216" t="s">
        <v>3</v>
      </c>
      <c r="M1077" s="178">
        <v>1</v>
      </c>
      <c r="N1077" s="235">
        <v>40</v>
      </c>
      <c r="O1077" s="234">
        <v>40</v>
      </c>
      <c r="P1077" s="234"/>
      <c r="Q1077" s="180" t="str">
        <f>IF(PEDIDOS[[#This Row],[Valor do item pago]]=PEDIDOS[[#This Row],[Total Item ]],"PAGO", "")</f>
        <v/>
      </c>
    </row>
    <row r="1078" spans="1:17" s="216" customFormat="1" ht="39.950000000000003" customHeight="1" x14ac:dyDescent="0.25">
      <c r="A1078" s="231"/>
      <c r="B1078" s="216">
        <v>817</v>
      </c>
      <c r="C1078" s="232">
        <v>43531</v>
      </c>
      <c r="D1078" s="233" t="s">
        <v>40</v>
      </c>
      <c r="E1078" s="216" t="s">
        <v>13</v>
      </c>
      <c r="F1078" s="216">
        <v>0</v>
      </c>
      <c r="G1078" s="216">
        <v>0</v>
      </c>
      <c r="H1078" s="216">
        <v>0</v>
      </c>
      <c r="I1078" s="234"/>
      <c r="J1078" s="234"/>
      <c r="K1078" s="234" t="s">
        <v>40</v>
      </c>
      <c r="L1078" s="216" t="s">
        <v>219</v>
      </c>
      <c r="M1078" s="178">
        <v>1</v>
      </c>
      <c r="N1078" s="235">
        <v>40</v>
      </c>
      <c r="O1078" s="234">
        <v>40</v>
      </c>
      <c r="P1078" s="234"/>
      <c r="Q1078" s="180" t="str">
        <f>IF(PEDIDOS[[#This Row],[Valor do item pago]]=PEDIDOS[[#This Row],[Total Item ]],"PAGO", "")</f>
        <v/>
      </c>
    </row>
    <row r="1079" spans="1:17" s="216" customFormat="1" ht="39.950000000000003" customHeight="1" x14ac:dyDescent="0.25">
      <c r="A1079" s="231"/>
      <c r="B1079" s="216">
        <v>816</v>
      </c>
      <c r="C1079" s="232">
        <v>43531</v>
      </c>
      <c r="D1079" s="233" t="s">
        <v>24</v>
      </c>
      <c r="E1079" s="216" t="s">
        <v>25</v>
      </c>
      <c r="F1079" s="216" t="s">
        <v>291</v>
      </c>
      <c r="G1079" s="216" t="s">
        <v>330</v>
      </c>
      <c r="H1079" s="216" t="s">
        <v>406</v>
      </c>
      <c r="I1079" s="234" t="s">
        <v>329</v>
      </c>
      <c r="J1079" s="234"/>
      <c r="K1079" s="234"/>
      <c r="L1079" s="216" t="s">
        <v>219</v>
      </c>
      <c r="M1079" s="178">
        <v>1</v>
      </c>
      <c r="N1079" s="235">
        <v>40</v>
      </c>
      <c r="O1079" s="234">
        <v>40</v>
      </c>
      <c r="P1079" s="234"/>
      <c r="Q1079" s="180" t="str">
        <f>IF(PEDIDOS[[#This Row],[Valor do item pago]]=PEDIDOS[[#This Row],[Total Item ]],"PAGO", "")</f>
        <v/>
      </c>
    </row>
    <row r="1080" spans="1:17" s="216" customFormat="1" ht="39.950000000000003" customHeight="1" x14ac:dyDescent="0.25">
      <c r="A1080" s="231"/>
      <c r="B1080" s="216">
        <v>815</v>
      </c>
      <c r="C1080" s="232">
        <v>43531</v>
      </c>
      <c r="D1080" s="233" t="s">
        <v>24</v>
      </c>
      <c r="E1080" s="216" t="s">
        <v>23</v>
      </c>
      <c r="F1080" s="216">
        <v>0</v>
      </c>
      <c r="G1080" s="216">
        <v>0</v>
      </c>
      <c r="H1080" s="216">
        <v>0</v>
      </c>
      <c r="I1080" s="234"/>
      <c r="J1080" s="234" t="s">
        <v>1176</v>
      </c>
      <c r="K1080" s="234" t="s">
        <v>40</v>
      </c>
      <c r="L1080" s="216" t="s">
        <v>219</v>
      </c>
      <c r="M1080" s="178">
        <v>2</v>
      </c>
      <c r="N1080" s="235">
        <v>40</v>
      </c>
      <c r="O1080" s="234">
        <v>80</v>
      </c>
      <c r="P1080" s="234"/>
      <c r="Q1080" s="180" t="str">
        <f>IF(PEDIDOS[[#This Row],[Valor do item pago]]=PEDIDOS[[#This Row],[Total Item ]],"PAGO", "")</f>
        <v/>
      </c>
    </row>
    <row r="1081" spans="1:17" s="216" customFormat="1" ht="39.950000000000003" customHeight="1" x14ac:dyDescent="0.25">
      <c r="A1081" s="231"/>
      <c r="B1081" s="216">
        <v>814</v>
      </c>
      <c r="C1081" s="232">
        <v>43531</v>
      </c>
      <c r="D1081" s="233" t="s">
        <v>48</v>
      </c>
      <c r="E1081" s="216" t="s">
        <v>211</v>
      </c>
      <c r="F1081" s="216" t="s">
        <v>293</v>
      </c>
      <c r="G1081" s="216" t="s">
        <v>82</v>
      </c>
      <c r="H1081" s="216" t="s">
        <v>390</v>
      </c>
      <c r="I1081" s="234" t="s">
        <v>252</v>
      </c>
      <c r="J1081" s="234"/>
      <c r="K1081" s="234"/>
      <c r="L1081" s="216" t="s">
        <v>219</v>
      </c>
      <c r="M1081" s="178">
        <v>1</v>
      </c>
      <c r="N1081" s="235">
        <v>40</v>
      </c>
      <c r="O1081" s="234">
        <v>40</v>
      </c>
      <c r="P1081" s="234">
        <v>40</v>
      </c>
      <c r="Q1081" s="180" t="str">
        <f>IF(PEDIDOS[[#This Row],[Valor do item pago]]=PEDIDOS[[#This Row],[Total Item ]],"PAGO", "")</f>
        <v>PAGO</v>
      </c>
    </row>
    <row r="1082" spans="1:17" s="216" customFormat="1" ht="39.950000000000003" customHeight="1" x14ac:dyDescent="0.25">
      <c r="A1082" s="231"/>
      <c r="B1082" s="216">
        <v>813</v>
      </c>
      <c r="C1082" s="232">
        <v>43531</v>
      </c>
      <c r="D1082" s="233" t="s">
        <v>48</v>
      </c>
      <c r="E1082" s="216" t="s">
        <v>610</v>
      </c>
      <c r="F1082" s="216" t="s">
        <v>319</v>
      </c>
      <c r="G1082" s="216" t="s">
        <v>455</v>
      </c>
      <c r="H1082" s="216" t="s">
        <v>396</v>
      </c>
      <c r="I1082" s="234" t="s">
        <v>454</v>
      </c>
      <c r="J1082" s="234"/>
      <c r="K1082" s="234"/>
      <c r="L1082" s="216" t="s">
        <v>3</v>
      </c>
      <c r="M1082" s="178">
        <v>2</v>
      </c>
      <c r="N1082" s="235">
        <v>40</v>
      </c>
      <c r="O1082" s="234">
        <v>80</v>
      </c>
      <c r="P1082" s="234">
        <v>80</v>
      </c>
      <c r="Q1082" s="180" t="str">
        <f>IF(PEDIDOS[[#This Row],[Valor do item pago]]=PEDIDOS[[#This Row],[Total Item ]],"PAGO", "")</f>
        <v>PAGO</v>
      </c>
    </row>
    <row r="1083" spans="1:17" s="216" customFormat="1" ht="39.950000000000003" customHeight="1" x14ac:dyDescent="0.25">
      <c r="A1083" s="231"/>
      <c r="B1083" s="216">
        <v>812</v>
      </c>
      <c r="C1083" s="232">
        <v>43531</v>
      </c>
      <c r="D1083" s="233" t="s">
        <v>44</v>
      </c>
      <c r="E1083" s="216" t="s">
        <v>25</v>
      </c>
      <c r="F1083" s="216" t="s">
        <v>291</v>
      </c>
      <c r="G1083" s="216" t="s">
        <v>330</v>
      </c>
      <c r="H1083" s="216" t="s">
        <v>406</v>
      </c>
      <c r="I1083" s="234" t="s">
        <v>329</v>
      </c>
      <c r="J1083" s="234" t="s">
        <v>1175</v>
      </c>
      <c r="K1083" s="234"/>
      <c r="L1083" s="216" t="s">
        <v>219</v>
      </c>
      <c r="M1083" s="178">
        <v>2</v>
      </c>
      <c r="N1083" s="235">
        <v>40</v>
      </c>
      <c r="O1083" s="234">
        <v>80</v>
      </c>
      <c r="P1083" s="234"/>
      <c r="Q1083" s="180" t="str">
        <f>IF(PEDIDOS[[#This Row],[Valor do item pago]]=PEDIDOS[[#This Row],[Total Item ]],"PAGO", "")</f>
        <v/>
      </c>
    </row>
    <row r="1084" spans="1:17" s="216" customFormat="1" ht="39.950000000000003" customHeight="1" x14ac:dyDescent="0.25">
      <c r="A1084" s="231"/>
      <c r="B1084" s="216">
        <v>811</v>
      </c>
      <c r="C1084" s="232">
        <v>43531</v>
      </c>
      <c r="D1084" s="233" t="s">
        <v>45</v>
      </c>
      <c r="E1084" s="216" t="s">
        <v>43</v>
      </c>
      <c r="F1084" s="216">
        <v>0</v>
      </c>
      <c r="G1084" s="216">
        <v>0</v>
      </c>
      <c r="H1084" s="216">
        <v>0</v>
      </c>
      <c r="I1084" s="234"/>
      <c r="J1084" s="234"/>
      <c r="K1084" s="234" t="s">
        <v>40</v>
      </c>
      <c r="L1084" s="216" t="s">
        <v>1</v>
      </c>
      <c r="M1084" s="178">
        <v>1</v>
      </c>
      <c r="N1084" s="235">
        <v>40</v>
      </c>
      <c r="O1084" s="234">
        <v>40</v>
      </c>
      <c r="P1084" s="234"/>
      <c r="Q1084" s="180" t="str">
        <f>IF(PEDIDOS[[#This Row],[Valor do item pago]]=PEDIDOS[[#This Row],[Total Item ]],"PAGO", "")</f>
        <v/>
      </c>
    </row>
    <row r="1085" spans="1:17" s="216" customFormat="1" ht="39.950000000000003" customHeight="1" x14ac:dyDescent="0.25">
      <c r="A1085" s="231"/>
      <c r="B1085" s="216">
        <v>809</v>
      </c>
      <c r="C1085" s="232">
        <v>43531</v>
      </c>
      <c r="D1085" s="233" t="s">
        <v>40</v>
      </c>
      <c r="E1085" s="216" t="s">
        <v>966</v>
      </c>
      <c r="F1085" s="216" t="s">
        <v>1073</v>
      </c>
      <c r="G1085" s="216">
        <v>0</v>
      </c>
      <c r="H1085" s="216" t="s">
        <v>40</v>
      </c>
      <c r="I1085" s="234"/>
      <c r="J1085" s="234"/>
      <c r="K1085" s="234" t="s">
        <v>40</v>
      </c>
      <c r="L1085" s="216" t="s">
        <v>3</v>
      </c>
      <c r="M1085" s="178">
        <v>2</v>
      </c>
      <c r="N1085" s="235">
        <v>40</v>
      </c>
      <c r="O1085" s="234">
        <v>80</v>
      </c>
      <c r="P1085" s="234"/>
      <c r="Q1085" s="180" t="str">
        <f>IF(PEDIDOS[[#This Row],[Valor do item pago]]=PEDIDOS[[#This Row],[Total Item ]],"PAGO", "")</f>
        <v/>
      </c>
    </row>
    <row r="1086" spans="1:17" s="216" customFormat="1" ht="39.950000000000003" customHeight="1" x14ac:dyDescent="0.25">
      <c r="A1086" s="231"/>
      <c r="B1086" s="216">
        <v>809</v>
      </c>
      <c r="C1086" s="232">
        <v>43531</v>
      </c>
      <c r="D1086" s="233" t="s">
        <v>40</v>
      </c>
      <c r="E1086" s="216" t="s">
        <v>966</v>
      </c>
      <c r="F1086" s="216" t="s">
        <v>1073</v>
      </c>
      <c r="G1086" s="216">
        <v>0</v>
      </c>
      <c r="H1086" s="216" t="s">
        <v>40</v>
      </c>
      <c r="I1086" s="234"/>
      <c r="J1086" s="234"/>
      <c r="K1086" s="234" t="s">
        <v>40</v>
      </c>
      <c r="L1086" s="216" t="s">
        <v>219</v>
      </c>
      <c r="M1086" s="178">
        <v>1</v>
      </c>
      <c r="N1086" s="235">
        <v>40</v>
      </c>
      <c r="O1086" s="234">
        <v>40</v>
      </c>
      <c r="P1086" s="234"/>
      <c r="Q1086" s="180" t="str">
        <f>IF(PEDIDOS[[#This Row],[Valor do item pago]]=PEDIDOS[[#This Row],[Total Item ]],"PAGO", "")</f>
        <v/>
      </c>
    </row>
    <row r="1087" spans="1:17" s="216" customFormat="1" ht="39.950000000000003" customHeight="1" x14ac:dyDescent="0.25">
      <c r="A1087" s="231"/>
      <c r="B1087" s="216">
        <v>809</v>
      </c>
      <c r="C1087" s="232">
        <v>43531</v>
      </c>
      <c r="D1087" s="233" t="s">
        <v>40</v>
      </c>
      <c r="E1087" s="216" t="s">
        <v>966</v>
      </c>
      <c r="F1087" s="216" t="s">
        <v>1073</v>
      </c>
      <c r="G1087" s="216">
        <v>0</v>
      </c>
      <c r="H1087" s="216" t="s">
        <v>40</v>
      </c>
      <c r="I1087" s="234"/>
      <c r="J1087" s="234"/>
      <c r="K1087" s="234" t="s">
        <v>40</v>
      </c>
      <c r="L1087" s="216" t="s">
        <v>1</v>
      </c>
      <c r="M1087" s="178">
        <v>2</v>
      </c>
      <c r="N1087" s="235">
        <v>40</v>
      </c>
      <c r="O1087" s="234">
        <v>80</v>
      </c>
      <c r="P1087" s="234"/>
      <c r="Q1087" s="180" t="str">
        <f>IF(PEDIDOS[[#This Row],[Valor do item pago]]=PEDIDOS[[#This Row],[Total Item ]],"PAGO", "")</f>
        <v/>
      </c>
    </row>
    <row r="1088" spans="1:17" s="216" customFormat="1" ht="39.950000000000003" customHeight="1" x14ac:dyDescent="0.25">
      <c r="A1088" s="231"/>
      <c r="B1088" s="216">
        <v>809</v>
      </c>
      <c r="C1088" s="232">
        <v>43531</v>
      </c>
      <c r="D1088" s="233" t="s">
        <v>40</v>
      </c>
      <c r="E1088" s="216" t="s">
        <v>966</v>
      </c>
      <c r="F1088" s="216" t="s">
        <v>1073</v>
      </c>
      <c r="G1088" s="216">
        <v>0</v>
      </c>
      <c r="H1088" s="216" t="s">
        <v>40</v>
      </c>
      <c r="I1088" s="234"/>
      <c r="J1088" s="234"/>
      <c r="K1088" s="234" t="s">
        <v>40</v>
      </c>
      <c r="L1088" s="216" t="s">
        <v>0</v>
      </c>
      <c r="M1088" s="178">
        <v>1</v>
      </c>
      <c r="N1088" s="235">
        <v>40</v>
      </c>
      <c r="O1088" s="234">
        <v>40</v>
      </c>
      <c r="P1088" s="234"/>
      <c r="Q1088" s="180" t="str">
        <f>IF(PEDIDOS[[#This Row],[Valor do item pago]]=PEDIDOS[[#This Row],[Total Item ]],"PAGO", "")</f>
        <v/>
      </c>
    </row>
    <row r="1089" spans="1:17" s="216" customFormat="1" ht="39.950000000000003" customHeight="1" x14ac:dyDescent="0.25">
      <c r="A1089" s="231"/>
      <c r="B1089" s="216">
        <v>807</v>
      </c>
      <c r="C1089" s="232">
        <v>43531</v>
      </c>
      <c r="D1089" s="233" t="s">
        <v>823</v>
      </c>
      <c r="E1089" s="216" t="s">
        <v>1169</v>
      </c>
      <c r="F1089" s="216" t="s">
        <v>1170</v>
      </c>
      <c r="G1089" s="216">
        <v>0</v>
      </c>
      <c r="H1089" s="216">
        <v>0</v>
      </c>
      <c r="I1089" s="234"/>
      <c r="J1089" s="234"/>
      <c r="K1089" s="234"/>
      <c r="L1089" s="216" t="s">
        <v>3</v>
      </c>
      <c r="M1089" s="178">
        <v>1</v>
      </c>
      <c r="N1089" s="235">
        <v>40</v>
      </c>
      <c r="O1089" s="234">
        <v>40</v>
      </c>
      <c r="P1089" s="234"/>
      <c r="Q1089" s="180" t="str">
        <f>IF(PEDIDOS[[#This Row],[Valor do item pago]]=PEDIDOS[[#This Row],[Total Item ]],"PAGO", "")</f>
        <v/>
      </c>
    </row>
    <row r="1090" spans="1:17" s="216" customFormat="1" ht="39.950000000000003" customHeight="1" x14ac:dyDescent="0.25">
      <c r="A1090" s="231"/>
      <c r="B1090" s="216">
        <v>807</v>
      </c>
      <c r="C1090" s="232">
        <v>43531</v>
      </c>
      <c r="D1090" s="233" t="s">
        <v>823</v>
      </c>
      <c r="E1090" s="216" t="s">
        <v>1169</v>
      </c>
      <c r="F1090" s="216" t="s">
        <v>1170</v>
      </c>
      <c r="G1090" s="216">
        <v>0</v>
      </c>
      <c r="H1090" s="216">
        <v>0</v>
      </c>
      <c r="I1090" s="234"/>
      <c r="J1090" s="234"/>
      <c r="K1090" s="234"/>
      <c r="L1090" s="216" t="s">
        <v>1</v>
      </c>
      <c r="M1090" s="178">
        <v>1</v>
      </c>
      <c r="N1090" s="235">
        <v>40</v>
      </c>
      <c r="O1090" s="234">
        <v>40</v>
      </c>
      <c r="P1090" s="234"/>
      <c r="Q1090" s="180" t="str">
        <f>IF(PEDIDOS[[#This Row],[Valor do item pago]]=PEDIDOS[[#This Row],[Total Item ]],"PAGO", "")</f>
        <v/>
      </c>
    </row>
    <row r="1091" spans="1:17" s="216" customFormat="1" ht="39.950000000000003" customHeight="1" x14ac:dyDescent="0.25">
      <c r="A1091" s="231"/>
      <c r="B1091" s="216">
        <v>807</v>
      </c>
      <c r="C1091" s="232">
        <v>43531</v>
      </c>
      <c r="D1091" s="233" t="s">
        <v>823</v>
      </c>
      <c r="E1091" s="216" t="s">
        <v>1169</v>
      </c>
      <c r="F1091" s="216" t="s">
        <v>1170</v>
      </c>
      <c r="G1091" s="216">
        <v>0</v>
      </c>
      <c r="H1091" s="216">
        <v>0</v>
      </c>
      <c r="I1091" s="234"/>
      <c r="J1091" s="234"/>
      <c r="K1091" s="234"/>
      <c r="L1091" s="216" t="s">
        <v>0</v>
      </c>
      <c r="M1091" s="178">
        <v>1</v>
      </c>
      <c r="N1091" s="235">
        <v>40</v>
      </c>
      <c r="O1091" s="234">
        <v>40</v>
      </c>
      <c r="P1091" s="234"/>
      <c r="Q1091" s="180" t="str">
        <f>IF(PEDIDOS[[#This Row],[Valor do item pago]]=PEDIDOS[[#This Row],[Total Item ]],"PAGO", "")</f>
        <v/>
      </c>
    </row>
    <row r="1092" spans="1:17" s="216" customFormat="1" ht="39.950000000000003" customHeight="1" x14ac:dyDescent="0.25">
      <c r="A1092" s="231"/>
      <c r="B1092" s="216">
        <v>805</v>
      </c>
      <c r="C1092" s="232">
        <v>43531</v>
      </c>
      <c r="D1092" s="233" t="s">
        <v>60</v>
      </c>
      <c r="E1092" s="216" t="s">
        <v>762</v>
      </c>
      <c r="F1092" s="216">
        <v>0</v>
      </c>
      <c r="G1092" s="216" t="s">
        <v>763</v>
      </c>
      <c r="H1092" s="216">
        <v>0</v>
      </c>
      <c r="I1092" s="234"/>
      <c r="J1092" s="234"/>
      <c r="K1092" s="234"/>
      <c r="L1092" s="216" t="s">
        <v>3</v>
      </c>
      <c r="M1092" s="178">
        <v>1</v>
      </c>
      <c r="N1092" s="235">
        <v>40</v>
      </c>
      <c r="O1092" s="234">
        <v>40</v>
      </c>
      <c r="P1092" s="234"/>
      <c r="Q1092" s="180" t="str">
        <f>IF(PEDIDOS[[#This Row],[Valor do item pago]]=PEDIDOS[[#This Row],[Total Item ]],"PAGO", "")</f>
        <v/>
      </c>
    </row>
    <row r="1093" spans="1:17" s="216" customFormat="1" ht="39.950000000000003" customHeight="1" x14ac:dyDescent="0.25">
      <c r="A1093" s="231"/>
      <c r="B1093" s="216">
        <v>804</v>
      </c>
      <c r="C1093" s="232">
        <v>43531</v>
      </c>
      <c r="D1093" s="233" t="s">
        <v>40</v>
      </c>
      <c r="E1093" s="216" t="s">
        <v>203</v>
      </c>
      <c r="F1093" s="216" t="s">
        <v>305</v>
      </c>
      <c r="G1093" s="216" t="s">
        <v>41</v>
      </c>
      <c r="H1093" s="216" t="s">
        <v>441</v>
      </c>
      <c r="I1093" s="234" t="s">
        <v>442</v>
      </c>
      <c r="J1093" s="234"/>
      <c r="K1093" s="234"/>
      <c r="L1093" s="216" t="s">
        <v>1</v>
      </c>
      <c r="M1093" s="178">
        <v>1</v>
      </c>
      <c r="N1093" s="235">
        <v>40</v>
      </c>
      <c r="O1093" s="234">
        <v>40</v>
      </c>
      <c r="P1093" s="234"/>
      <c r="Q1093" s="180" t="str">
        <f>IF(PEDIDOS[[#This Row],[Valor do item pago]]=PEDIDOS[[#This Row],[Total Item ]],"PAGO", "")</f>
        <v/>
      </c>
    </row>
    <row r="1094" spans="1:17" s="216" customFormat="1" ht="39.950000000000003" customHeight="1" x14ac:dyDescent="0.25">
      <c r="A1094" s="231"/>
      <c r="B1094" s="216">
        <v>804</v>
      </c>
      <c r="C1094" s="232">
        <v>43531</v>
      </c>
      <c r="D1094" s="233" t="s">
        <v>40</v>
      </c>
      <c r="E1094" s="216" t="s">
        <v>203</v>
      </c>
      <c r="F1094" s="216" t="s">
        <v>305</v>
      </c>
      <c r="G1094" s="216" t="s">
        <v>41</v>
      </c>
      <c r="H1094" s="216" t="s">
        <v>441</v>
      </c>
      <c r="I1094" s="234" t="s">
        <v>442</v>
      </c>
      <c r="J1094" s="234"/>
      <c r="K1094" s="234"/>
      <c r="L1094" s="216" t="s">
        <v>0</v>
      </c>
      <c r="M1094" s="178">
        <v>1</v>
      </c>
      <c r="N1094" s="235">
        <v>40</v>
      </c>
      <c r="O1094" s="234">
        <v>40</v>
      </c>
      <c r="P1094" s="234"/>
      <c r="Q1094" s="180" t="str">
        <f>IF(PEDIDOS[[#This Row],[Valor do item pago]]=PEDIDOS[[#This Row],[Total Item ]],"PAGO", "")</f>
        <v/>
      </c>
    </row>
    <row r="1095" spans="1:17" s="216" customFormat="1" ht="39.950000000000003" customHeight="1" x14ac:dyDescent="0.25">
      <c r="A1095" s="231"/>
      <c r="B1095" s="216">
        <v>803</v>
      </c>
      <c r="C1095" s="232">
        <v>43531</v>
      </c>
      <c r="D1095" s="233" t="s">
        <v>40</v>
      </c>
      <c r="E1095" s="216" t="s">
        <v>204</v>
      </c>
      <c r="F1095" s="216" t="s">
        <v>279</v>
      </c>
      <c r="G1095" s="216">
        <v>0</v>
      </c>
      <c r="H1095" s="216">
        <v>0</v>
      </c>
      <c r="I1095" s="234"/>
      <c r="J1095" s="234"/>
      <c r="K1095" s="234" t="s">
        <v>40</v>
      </c>
      <c r="L1095" s="216" t="s">
        <v>3</v>
      </c>
      <c r="M1095" s="178">
        <v>2</v>
      </c>
      <c r="N1095" s="235">
        <v>40</v>
      </c>
      <c r="O1095" s="234">
        <v>80</v>
      </c>
      <c r="P1095" s="234"/>
      <c r="Q1095" s="180" t="str">
        <f>IF(PEDIDOS[[#This Row],[Valor do item pago]]=PEDIDOS[[#This Row],[Total Item ]],"PAGO", "")</f>
        <v/>
      </c>
    </row>
    <row r="1096" spans="1:17" s="216" customFormat="1" ht="39.950000000000003" customHeight="1" x14ac:dyDescent="0.25">
      <c r="A1096" s="231"/>
      <c r="B1096" s="216">
        <v>802</v>
      </c>
      <c r="C1096" s="232">
        <v>43531</v>
      </c>
      <c r="D1096" s="233" t="s">
        <v>40</v>
      </c>
      <c r="E1096" s="216" t="s">
        <v>630</v>
      </c>
      <c r="F1096" s="216" t="s">
        <v>312</v>
      </c>
      <c r="G1096" s="216" t="s">
        <v>616</v>
      </c>
      <c r="H1096" s="216" t="s">
        <v>523</v>
      </c>
      <c r="I1096" s="234" t="s">
        <v>735</v>
      </c>
      <c r="J1096" s="234" t="s">
        <v>731</v>
      </c>
      <c r="K1096" s="234"/>
      <c r="L1096" s="216" t="s">
        <v>1</v>
      </c>
      <c r="M1096" s="178">
        <v>1</v>
      </c>
      <c r="N1096" s="235">
        <v>40</v>
      </c>
      <c r="O1096" s="234">
        <v>40</v>
      </c>
      <c r="P1096" s="234">
        <v>40</v>
      </c>
      <c r="Q1096" s="180" t="str">
        <f>IF(PEDIDOS[[#This Row],[Valor do item pago]]=PEDIDOS[[#This Row],[Total Item ]],"PAGO", "")</f>
        <v>PAGO</v>
      </c>
    </row>
    <row r="1097" spans="1:17" s="216" customFormat="1" ht="39.950000000000003" customHeight="1" x14ac:dyDescent="0.25">
      <c r="A1097" s="231"/>
      <c r="B1097" s="216">
        <v>802</v>
      </c>
      <c r="C1097" s="232">
        <v>43531</v>
      </c>
      <c r="D1097" s="233" t="s">
        <v>40</v>
      </c>
      <c r="E1097" s="216" t="s">
        <v>630</v>
      </c>
      <c r="F1097" s="216" t="s">
        <v>312</v>
      </c>
      <c r="G1097" s="216" t="s">
        <v>616</v>
      </c>
      <c r="H1097" s="216" t="s">
        <v>523</v>
      </c>
      <c r="I1097" s="234" t="s">
        <v>735</v>
      </c>
      <c r="J1097" s="234" t="s">
        <v>731</v>
      </c>
      <c r="K1097" s="234"/>
      <c r="L1097" s="216" t="s">
        <v>0</v>
      </c>
      <c r="M1097" s="178">
        <v>1</v>
      </c>
      <c r="N1097" s="235">
        <v>40</v>
      </c>
      <c r="O1097" s="234">
        <v>40</v>
      </c>
      <c r="P1097" s="234">
        <v>40</v>
      </c>
      <c r="Q1097" s="180" t="str">
        <f>IF(PEDIDOS[[#This Row],[Valor do item pago]]=PEDIDOS[[#This Row],[Total Item ]],"PAGO", "")</f>
        <v>PAGO</v>
      </c>
    </row>
    <row r="1098" spans="1:17" s="216" customFormat="1" ht="39.950000000000003" customHeight="1" x14ac:dyDescent="0.25">
      <c r="A1098" s="231"/>
      <c r="B1098" s="216">
        <v>801</v>
      </c>
      <c r="C1098" s="232">
        <v>43531</v>
      </c>
      <c r="D1098" s="233" t="s">
        <v>916</v>
      </c>
      <c r="E1098" s="216" t="s">
        <v>732</v>
      </c>
      <c r="F1098" s="216" t="s">
        <v>733</v>
      </c>
      <c r="G1098" s="216">
        <v>0</v>
      </c>
      <c r="H1098" s="216" t="s">
        <v>40</v>
      </c>
      <c r="I1098" s="234"/>
      <c r="J1098" s="234"/>
      <c r="K1098" s="234"/>
      <c r="L1098" s="216" t="s">
        <v>0</v>
      </c>
      <c r="M1098" s="178">
        <v>1</v>
      </c>
      <c r="N1098" s="235">
        <v>40</v>
      </c>
      <c r="O1098" s="234">
        <v>40</v>
      </c>
      <c r="P1098" s="234"/>
      <c r="Q1098" s="180" t="str">
        <f>IF(PEDIDOS[[#This Row],[Valor do item pago]]=PEDIDOS[[#This Row],[Total Item ]],"PAGO", "")</f>
        <v/>
      </c>
    </row>
    <row r="1099" spans="1:17" s="216" customFormat="1" ht="39.950000000000003" customHeight="1" x14ac:dyDescent="0.25">
      <c r="A1099" s="231"/>
      <c r="B1099" s="216">
        <v>800</v>
      </c>
      <c r="C1099" s="232">
        <v>43531</v>
      </c>
      <c r="D1099" s="233" t="s">
        <v>473</v>
      </c>
      <c r="E1099" s="216" t="s">
        <v>473</v>
      </c>
      <c r="F1099" s="216" t="s">
        <v>315</v>
      </c>
      <c r="G1099" s="216">
        <v>0</v>
      </c>
      <c r="H1099" s="216">
        <v>0</v>
      </c>
      <c r="I1099" s="234"/>
      <c r="J1099" s="234"/>
      <c r="K1099" s="234"/>
      <c r="L1099" s="216" t="s">
        <v>1</v>
      </c>
      <c r="M1099" s="178">
        <v>1</v>
      </c>
      <c r="N1099" s="235">
        <v>40</v>
      </c>
      <c r="O1099" s="234">
        <v>40</v>
      </c>
      <c r="P1099" s="234"/>
      <c r="Q1099" s="180" t="str">
        <f>IF(PEDIDOS[[#This Row],[Valor do item pago]]=PEDIDOS[[#This Row],[Total Item ]],"PAGO", "")</f>
        <v/>
      </c>
    </row>
    <row r="1100" spans="1:17" s="216" customFormat="1" ht="39.950000000000003" customHeight="1" x14ac:dyDescent="0.25">
      <c r="A1100" s="231"/>
      <c r="B1100" s="216">
        <v>799</v>
      </c>
      <c r="C1100" s="232">
        <v>43531</v>
      </c>
      <c r="D1100" s="233" t="s">
        <v>40</v>
      </c>
      <c r="E1100" s="216" t="s">
        <v>718</v>
      </c>
      <c r="F1100" s="216" t="s">
        <v>717</v>
      </c>
      <c r="G1100" s="216" t="s">
        <v>719</v>
      </c>
      <c r="H1100" s="216" t="s">
        <v>112</v>
      </c>
      <c r="I1100" s="234" t="s">
        <v>720</v>
      </c>
      <c r="J1100" s="234" t="s">
        <v>887</v>
      </c>
      <c r="K1100" s="234"/>
      <c r="L1100" s="216" t="s">
        <v>3</v>
      </c>
      <c r="M1100" s="178">
        <v>1</v>
      </c>
      <c r="N1100" s="235">
        <v>40</v>
      </c>
      <c r="O1100" s="234">
        <v>40</v>
      </c>
      <c r="P1100" s="234"/>
      <c r="Q1100" s="180" t="str">
        <f>IF(PEDIDOS[[#This Row],[Valor do item pago]]=PEDIDOS[[#This Row],[Total Item ]],"PAGO", "")</f>
        <v/>
      </c>
    </row>
    <row r="1101" spans="1:17" s="216" customFormat="1" ht="39.950000000000003" customHeight="1" x14ac:dyDescent="0.25">
      <c r="A1101" s="231"/>
      <c r="B1101" s="216">
        <v>798</v>
      </c>
      <c r="C1101" s="232">
        <v>43531</v>
      </c>
      <c r="D1101" s="233" t="s">
        <v>40</v>
      </c>
      <c r="E1101" s="216" t="s">
        <v>649</v>
      </c>
      <c r="F1101" s="216" t="s">
        <v>310</v>
      </c>
      <c r="G1101" s="216" t="s">
        <v>51</v>
      </c>
      <c r="H1101" s="216" t="s">
        <v>52</v>
      </c>
      <c r="I1101" s="234" t="s">
        <v>447</v>
      </c>
      <c r="J1101" s="234" t="s">
        <v>1168</v>
      </c>
      <c r="K1101" s="234"/>
      <c r="L1101" s="216" t="s">
        <v>219</v>
      </c>
      <c r="M1101" s="178">
        <v>1</v>
      </c>
      <c r="N1101" s="235">
        <v>40</v>
      </c>
      <c r="O1101" s="234">
        <v>40</v>
      </c>
      <c r="P1101" s="234"/>
      <c r="Q1101" s="180" t="str">
        <f>IF(PEDIDOS[[#This Row],[Valor do item pago]]=PEDIDOS[[#This Row],[Total Item ]],"PAGO", "")</f>
        <v/>
      </c>
    </row>
    <row r="1102" spans="1:17" s="216" customFormat="1" ht="39.950000000000003" customHeight="1" x14ac:dyDescent="0.25">
      <c r="A1102" s="231"/>
      <c r="B1102" s="216">
        <v>797</v>
      </c>
      <c r="C1102" s="232">
        <v>43531</v>
      </c>
      <c r="D1102" s="233" t="s">
        <v>40</v>
      </c>
      <c r="E1102" s="216" t="s">
        <v>209</v>
      </c>
      <c r="F1102" s="216" t="s">
        <v>306</v>
      </c>
      <c r="G1102" s="216" t="s">
        <v>114</v>
      </c>
      <c r="H1102" s="216" t="s">
        <v>115</v>
      </c>
      <c r="I1102" s="234" t="s">
        <v>443</v>
      </c>
      <c r="J1102" s="234"/>
      <c r="K1102" s="234"/>
      <c r="L1102" s="216" t="s">
        <v>0</v>
      </c>
      <c r="M1102" s="178">
        <v>1</v>
      </c>
      <c r="N1102" s="235">
        <v>40</v>
      </c>
      <c r="O1102" s="234">
        <v>40</v>
      </c>
      <c r="P1102" s="234"/>
      <c r="Q1102" s="180" t="str">
        <f>IF(PEDIDOS[[#This Row],[Valor do item pago]]=PEDIDOS[[#This Row],[Total Item ]],"PAGO", "")</f>
        <v/>
      </c>
    </row>
    <row r="1103" spans="1:17" s="216" customFormat="1" ht="39.950000000000003" customHeight="1" x14ac:dyDescent="0.25">
      <c r="A1103" s="231"/>
      <c r="B1103" s="216">
        <v>796</v>
      </c>
      <c r="C1103" s="232">
        <v>43531</v>
      </c>
      <c r="D1103" s="233" t="s">
        <v>49</v>
      </c>
      <c r="E1103" s="216" t="s">
        <v>615</v>
      </c>
      <c r="F1103" s="216" t="s">
        <v>324</v>
      </c>
      <c r="G1103" s="216" t="s">
        <v>616</v>
      </c>
      <c r="H1103" s="216" t="s">
        <v>523</v>
      </c>
      <c r="I1103" s="234" t="s">
        <v>735</v>
      </c>
      <c r="J1103" s="234"/>
      <c r="K1103" s="234"/>
      <c r="L1103" s="216" t="s">
        <v>3</v>
      </c>
      <c r="M1103" s="178">
        <v>1</v>
      </c>
      <c r="N1103" s="235">
        <v>40</v>
      </c>
      <c r="O1103" s="234">
        <v>40</v>
      </c>
      <c r="P1103" s="234">
        <v>40</v>
      </c>
      <c r="Q1103" s="180" t="str">
        <f>IF(PEDIDOS[[#This Row],[Valor do item pago]]=PEDIDOS[[#This Row],[Total Item ]],"PAGO", "")</f>
        <v>PAGO</v>
      </c>
    </row>
    <row r="1104" spans="1:17" s="216" customFormat="1" ht="39.950000000000003" customHeight="1" x14ac:dyDescent="0.25">
      <c r="A1104" s="231"/>
      <c r="B1104" s="216">
        <v>796</v>
      </c>
      <c r="C1104" s="232">
        <v>43531</v>
      </c>
      <c r="D1104" s="233" t="s">
        <v>49</v>
      </c>
      <c r="E1104" s="216" t="s">
        <v>615</v>
      </c>
      <c r="F1104" s="216" t="s">
        <v>324</v>
      </c>
      <c r="G1104" s="216" t="s">
        <v>616</v>
      </c>
      <c r="H1104" s="216" t="s">
        <v>523</v>
      </c>
      <c r="I1104" s="234" t="s">
        <v>735</v>
      </c>
      <c r="J1104" s="234"/>
      <c r="K1104" s="234"/>
      <c r="L1104" s="216" t="s">
        <v>1</v>
      </c>
      <c r="M1104" s="178">
        <v>1</v>
      </c>
      <c r="N1104" s="235">
        <v>40</v>
      </c>
      <c r="O1104" s="234">
        <v>40</v>
      </c>
      <c r="P1104" s="234">
        <v>40</v>
      </c>
      <c r="Q1104" s="180" t="str">
        <f>IF(PEDIDOS[[#This Row],[Valor do item pago]]=PEDIDOS[[#This Row],[Total Item ]],"PAGO", "")</f>
        <v>PAGO</v>
      </c>
    </row>
    <row r="1105" spans="1:17" s="216" customFormat="1" ht="39.950000000000003" customHeight="1" x14ac:dyDescent="0.25">
      <c r="A1105" s="231"/>
      <c r="B1105" s="216">
        <v>795</v>
      </c>
      <c r="C1105" s="232">
        <v>43531</v>
      </c>
      <c r="D1105" s="233" t="s">
        <v>49</v>
      </c>
      <c r="E1105" s="216" t="s">
        <v>614</v>
      </c>
      <c r="F1105" s="216" t="s">
        <v>289</v>
      </c>
      <c r="G1105" s="216" t="s">
        <v>72</v>
      </c>
      <c r="H1105" s="216" t="s">
        <v>393</v>
      </c>
      <c r="I1105" s="234" t="s">
        <v>423</v>
      </c>
      <c r="J1105" s="234"/>
      <c r="K1105" s="234"/>
      <c r="L1105" s="216" t="s">
        <v>219</v>
      </c>
      <c r="M1105" s="178">
        <v>1</v>
      </c>
      <c r="N1105" s="235">
        <v>40</v>
      </c>
      <c r="O1105" s="234">
        <v>40</v>
      </c>
      <c r="P1105" s="234">
        <v>40</v>
      </c>
      <c r="Q1105" s="180" t="str">
        <f>IF(PEDIDOS[[#This Row],[Valor do item pago]]=PEDIDOS[[#This Row],[Total Item ]],"PAGO", "")</f>
        <v>PAGO</v>
      </c>
    </row>
    <row r="1106" spans="1:17" s="216" customFormat="1" ht="39.950000000000003" customHeight="1" x14ac:dyDescent="0.25">
      <c r="A1106" s="231"/>
      <c r="B1106" s="216">
        <v>794</v>
      </c>
      <c r="C1106" s="232">
        <v>43531</v>
      </c>
      <c r="D1106" s="233" t="s">
        <v>49</v>
      </c>
      <c r="E1106" s="216" t="s">
        <v>613</v>
      </c>
      <c r="F1106" s="216" t="s">
        <v>296</v>
      </c>
      <c r="G1106" s="216" t="s">
        <v>76</v>
      </c>
      <c r="H1106" s="216" t="s">
        <v>84</v>
      </c>
      <c r="I1106" s="234" t="s">
        <v>428</v>
      </c>
      <c r="J1106" s="234"/>
      <c r="K1106" s="234"/>
      <c r="L1106" s="216" t="s">
        <v>1</v>
      </c>
      <c r="M1106" s="178">
        <v>1</v>
      </c>
      <c r="N1106" s="235">
        <v>40</v>
      </c>
      <c r="O1106" s="234">
        <v>40</v>
      </c>
      <c r="P1106" s="234"/>
      <c r="Q1106" s="180" t="str">
        <f>IF(PEDIDOS[[#This Row],[Valor do item pago]]=PEDIDOS[[#This Row],[Total Item ]],"PAGO", "")</f>
        <v/>
      </c>
    </row>
    <row r="1107" spans="1:17" s="216" customFormat="1" ht="39.950000000000003" customHeight="1" x14ac:dyDescent="0.25">
      <c r="A1107" s="231"/>
      <c r="B1107" s="216">
        <v>794</v>
      </c>
      <c r="C1107" s="232">
        <v>43531</v>
      </c>
      <c r="D1107" s="233" t="s">
        <v>49</v>
      </c>
      <c r="E1107" s="216" t="s">
        <v>613</v>
      </c>
      <c r="F1107" s="216" t="s">
        <v>296</v>
      </c>
      <c r="G1107" s="216" t="s">
        <v>76</v>
      </c>
      <c r="H1107" s="216" t="s">
        <v>84</v>
      </c>
      <c r="I1107" s="234" t="s">
        <v>428</v>
      </c>
      <c r="J1107" s="234"/>
      <c r="K1107" s="234"/>
      <c r="L1107" s="216" t="s">
        <v>0</v>
      </c>
      <c r="M1107" s="178">
        <v>1</v>
      </c>
      <c r="N1107" s="235">
        <v>40</v>
      </c>
      <c r="O1107" s="234">
        <v>40</v>
      </c>
      <c r="P1107" s="234"/>
      <c r="Q1107" s="180" t="str">
        <f>IF(PEDIDOS[[#This Row],[Valor do item pago]]=PEDIDOS[[#This Row],[Total Item ]],"PAGO", "")</f>
        <v/>
      </c>
    </row>
    <row r="1108" spans="1:17" s="216" customFormat="1" ht="39.950000000000003" customHeight="1" x14ac:dyDescent="0.25">
      <c r="A1108" s="231"/>
      <c r="B1108" s="216">
        <v>793</v>
      </c>
      <c r="C1108" s="232">
        <v>43531</v>
      </c>
      <c r="D1108" s="233" t="s">
        <v>49</v>
      </c>
      <c r="E1108" s="216" t="s">
        <v>611</v>
      </c>
      <c r="F1108" s="216" t="s">
        <v>276</v>
      </c>
      <c r="G1108" s="216" t="s">
        <v>66</v>
      </c>
      <c r="H1108" s="216" t="s">
        <v>390</v>
      </c>
      <c r="I1108" s="234" t="s">
        <v>253</v>
      </c>
      <c r="J1108" s="234"/>
      <c r="K1108" s="234"/>
      <c r="L1108" s="216" t="s">
        <v>3</v>
      </c>
      <c r="M1108" s="178">
        <v>1</v>
      </c>
      <c r="N1108" s="235">
        <v>40</v>
      </c>
      <c r="O1108" s="234">
        <v>40</v>
      </c>
      <c r="P1108" s="234"/>
      <c r="Q1108" s="180" t="str">
        <f>IF(PEDIDOS[[#This Row],[Valor do item pago]]=PEDIDOS[[#This Row],[Total Item ]],"PAGO", "")</f>
        <v/>
      </c>
    </row>
    <row r="1109" spans="1:17" s="216" customFormat="1" ht="39.950000000000003" customHeight="1" x14ac:dyDescent="0.25">
      <c r="A1109" s="231"/>
      <c r="B1109" s="216">
        <v>792</v>
      </c>
      <c r="C1109" s="232">
        <v>43531</v>
      </c>
      <c r="D1109" s="233" t="s">
        <v>231</v>
      </c>
      <c r="E1109" s="216" t="s">
        <v>381</v>
      </c>
      <c r="F1109" s="216">
        <v>0</v>
      </c>
      <c r="G1109" s="216">
        <v>0</v>
      </c>
      <c r="H1109" s="216">
        <v>0</v>
      </c>
      <c r="I1109" s="234"/>
      <c r="J1109" s="234"/>
      <c r="K1109" s="234" t="s">
        <v>231</v>
      </c>
      <c r="L1109" s="216" t="s">
        <v>1</v>
      </c>
      <c r="M1109" s="178">
        <v>1</v>
      </c>
      <c r="N1109" s="235">
        <v>40</v>
      </c>
      <c r="O1109" s="234">
        <v>40</v>
      </c>
      <c r="P1109" s="234"/>
      <c r="Q1109" s="180" t="str">
        <f>IF(PEDIDOS[[#This Row],[Valor do item pago]]=PEDIDOS[[#This Row],[Total Item ]],"PAGO", "")</f>
        <v/>
      </c>
    </row>
    <row r="1110" spans="1:17" s="216" customFormat="1" ht="39.950000000000003" customHeight="1" x14ac:dyDescent="0.25">
      <c r="A1110" s="231"/>
      <c r="B1110" s="216">
        <v>791</v>
      </c>
      <c r="C1110" s="232">
        <v>43531</v>
      </c>
      <c r="D1110" s="233" t="s">
        <v>231</v>
      </c>
      <c r="E1110" s="216" t="s">
        <v>345</v>
      </c>
      <c r="F1110" s="216" t="s">
        <v>285</v>
      </c>
      <c r="G1110" s="216">
        <v>0</v>
      </c>
      <c r="H1110" s="216">
        <v>0</v>
      </c>
      <c r="I1110" s="234"/>
      <c r="J1110" s="234"/>
      <c r="K1110" s="234" t="s">
        <v>1167</v>
      </c>
      <c r="L1110" s="216" t="s">
        <v>219</v>
      </c>
      <c r="M1110" s="178">
        <v>1</v>
      </c>
      <c r="N1110" s="235">
        <v>40</v>
      </c>
      <c r="O1110" s="234">
        <v>40</v>
      </c>
      <c r="P1110" s="234"/>
      <c r="Q1110" s="180" t="str">
        <f>IF(PEDIDOS[[#This Row],[Valor do item pago]]=PEDIDOS[[#This Row],[Total Item ]],"PAGO", "")</f>
        <v/>
      </c>
    </row>
    <row r="1111" spans="1:17" s="216" customFormat="1" ht="39.950000000000003" customHeight="1" x14ac:dyDescent="0.25">
      <c r="A1111" s="231"/>
      <c r="B1111" s="216">
        <v>791</v>
      </c>
      <c r="C1111" s="232">
        <v>43531</v>
      </c>
      <c r="D1111" s="233" t="s">
        <v>231</v>
      </c>
      <c r="E1111" s="216" t="s">
        <v>345</v>
      </c>
      <c r="F1111" s="216" t="s">
        <v>285</v>
      </c>
      <c r="G1111" s="216">
        <v>0</v>
      </c>
      <c r="H1111" s="216">
        <v>0</v>
      </c>
      <c r="I1111" s="234"/>
      <c r="J1111" s="234"/>
      <c r="K1111" s="234" t="s">
        <v>1167</v>
      </c>
      <c r="L1111" s="216" t="s">
        <v>0</v>
      </c>
      <c r="M1111" s="178">
        <v>1</v>
      </c>
      <c r="N1111" s="235">
        <v>40</v>
      </c>
      <c r="O1111" s="234">
        <v>40</v>
      </c>
      <c r="P1111" s="234"/>
      <c r="Q1111" s="180" t="str">
        <f>IF(PEDIDOS[[#This Row],[Valor do item pago]]=PEDIDOS[[#This Row],[Total Item ]],"PAGO", "")</f>
        <v/>
      </c>
    </row>
    <row r="1112" spans="1:17" s="216" customFormat="1" ht="39.950000000000003" customHeight="1" x14ac:dyDescent="0.25">
      <c r="A1112" s="231"/>
      <c r="B1112" s="216">
        <v>790</v>
      </c>
      <c r="C1112" s="232">
        <v>43531</v>
      </c>
      <c r="D1112" s="233" t="s">
        <v>231</v>
      </c>
      <c r="E1112" s="216" t="s">
        <v>362</v>
      </c>
      <c r="F1112" s="216">
        <v>0</v>
      </c>
      <c r="G1112" s="216" t="s">
        <v>186</v>
      </c>
      <c r="H1112" s="216" t="s">
        <v>398</v>
      </c>
      <c r="I1112" s="234" t="s">
        <v>431</v>
      </c>
      <c r="J1112" s="234"/>
      <c r="K1112" s="234"/>
      <c r="L1112" s="216" t="s">
        <v>219</v>
      </c>
      <c r="M1112" s="178">
        <v>1</v>
      </c>
      <c r="N1112" s="235">
        <v>40</v>
      </c>
      <c r="O1112" s="234">
        <v>40</v>
      </c>
      <c r="P1112" s="234"/>
      <c r="Q1112" s="180" t="str">
        <f>IF(PEDIDOS[[#This Row],[Valor do item pago]]=PEDIDOS[[#This Row],[Total Item ]],"PAGO", "")</f>
        <v/>
      </c>
    </row>
    <row r="1113" spans="1:17" s="216" customFormat="1" ht="39.950000000000003" customHeight="1" x14ac:dyDescent="0.25">
      <c r="A1113" s="231"/>
      <c r="B1113" s="216">
        <v>789</v>
      </c>
      <c r="C1113" s="232">
        <v>43531</v>
      </c>
      <c r="D1113" s="233" t="s">
        <v>231</v>
      </c>
      <c r="E1113" s="216" t="s">
        <v>375</v>
      </c>
      <c r="F1113" s="216" t="s">
        <v>1065</v>
      </c>
      <c r="G1113" s="216">
        <v>0</v>
      </c>
      <c r="H1113" s="216" t="s">
        <v>40</v>
      </c>
      <c r="I1113" s="234"/>
      <c r="J1113" s="234"/>
      <c r="K1113" s="234"/>
      <c r="L1113" s="216" t="s">
        <v>3</v>
      </c>
      <c r="M1113" s="178">
        <v>2</v>
      </c>
      <c r="N1113" s="235">
        <v>40</v>
      </c>
      <c r="O1113" s="234">
        <v>80</v>
      </c>
      <c r="P1113" s="234"/>
      <c r="Q1113" s="180" t="str">
        <f>IF(PEDIDOS[[#This Row],[Valor do item pago]]=PEDIDOS[[#This Row],[Total Item ]],"PAGO", "")</f>
        <v/>
      </c>
    </row>
    <row r="1114" spans="1:17" s="216" customFormat="1" ht="39.950000000000003" customHeight="1" x14ac:dyDescent="0.25">
      <c r="A1114" s="231"/>
      <c r="B1114" s="216">
        <v>788</v>
      </c>
      <c r="C1114" s="232">
        <v>43531</v>
      </c>
      <c r="D1114" s="233" t="s">
        <v>231</v>
      </c>
      <c r="E1114" s="216" t="s">
        <v>90</v>
      </c>
      <c r="F1114" s="216" t="s">
        <v>806</v>
      </c>
      <c r="G1114" s="216">
        <v>0</v>
      </c>
      <c r="H1114" s="216" t="s">
        <v>40</v>
      </c>
      <c r="I1114" s="234"/>
      <c r="J1114" s="234"/>
      <c r="K1114" s="234"/>
      <c r="L1114" s="216" t="s">
        <v>219</v>
      </c>
      <c r="M1114" s="178">
        <v>2</v>
      </c>
      <c r="N1114" s="235">
        <v>40</v>
      </c>
      <c r="O1114" s="234">
        <v>80</v>
      </c>
      <c r="P1114" s="234"/>
      <c r="Q1114" s="180" t="str">
        <f>IF(PEDIDOS[[#This Row],[Valor do item pago]]=PEDIDOS[[#This Row],[Total Item ]],"PAGO", "")</f>
        <v/>
      </c>
    </row>
    <row r="1115" spans="1:17" s="216" customFormat="1" ht="39.950000000000003" customHeight="1" x14ac:dyDescent="0.25">
      <c r="A1115" s="231"/>
      <c r="B1115" s="216">
        <v>787</v>
      </c>
      <c r="C1115" s="232">
        <v>43531</v>
      </c>
      <c r="D1115" s="233" t="s">
        <v>231</v>
      </c>
      <c r="E1115" s="216" t="s">
        <v>356</v>
      </c>
      <c r="F1115" s="216" t="s">
        <v>700</v>
      </c>
      <c r="G1115" s="216" t="s">
        <v>699</v>
      </c>
      <c r="H1115" s="216" t="s">
        <v>701</v>
      </c>
      <c r="I1115" s="234" t="s">
        <v>702</v>
      </c>
      <c r="J1115" s="234"/>
      <c r="K1115" s="234"/>
      <c r="L1115" s="216" t="s">
        <v>219</v>
      </c>
      <c r="M1115" s="178">
        <v>1</v>
      </c>
      <c r="N1115" s="235">
        <v>40</v>
      </c>
      <c r="O1115" s="234">
        <v>40</v>
      </c>
      <c r="P1115" s="234"/>
      <c r="Q1115" s="180" t="str">
        <f>IF(PEDIDOS[[#This Row],[Valor do item pago]]=PEDIDOS[[#This Row],[Total Item ]],"PAGO", "")</f>
        <v/>
      </c>
    </row>
    <row r="1116" spans="1:17" s="216" customFormat="1" ht="39.950000000000003" customHeight="1" x14ac:dyDescent="0.25">
      <c r="A1116" s="231"/>
      <c r="B1116" s="216">
        <v>786</v>
      </c>
      <c r="C1116" s="232">
        <v>43531</v>
      </c>
      <c r="D1116" s="233" t="s">
        <v>231</v>
      </c>
      <c r="E1116" s="216" t="s">
        <v>346</v>
      </c>
      <c r="F1116" s="216" t="s">
        <v>286</v>
      </c>
      <c r="G1116" s="216" t="s">
        <v>595</v>
      </c>
      <c r="H1116" s="216" t="s">
        <v>512</v>
      </c>
      <c r="I1116" s="234" t="s">
        <v>655</v>
      </c>
      <c r="J1116" s="234"/>
      <c r="K1116" s="234"/>
      <c r="L1116" s="216" t="s">
        <v>219</v>
      </c>
      <c r="M1116" s="178">
        <v>1</v>
      </c>
      <c r="N1116" s="235">
        <v>40</v>
      </c>
      <c r="O1116" s="234">
        <v>40</v>
      </c>
      <c r="P1116" s="234"/>
      <c r="Q1116" s="180" t="str">
        <f>IF(PEDIDOS[[#This Row],[Valor do item pago]]=PEDIDOS[[#This Row],[Total Item ]],"PAGO", "")</f>
        <v/>
      </c>
    </row>
    <row r="1117" spans="1:17" s="216" customFormat="1" ht="39.950000000000003" customHeight="1" x14ac:dyDescent="0.25">
      <c r="A1117" s="231"/>
      <c r="B1117" s="216">
        <v>785</v>
      </c>
      <c r="C1117" s="232">
        <v>43504</v>
      </c>
      <c r="D1117" s="233" t="s">
        <v>231</v>
      </c>
      <c r="E1117" s="216" t="s">
        <v>375</v>
      </c>
      <c r="F1117" s="216" t="s">
        <v>1065</v>
      </c>
      <c r="G1117" s="216">
        <v>0</v>
      </c>
      <c r="H1117" s="216" t="s">
        <v>40</v>
      </c>
      <c r="I1117" s="234"/>
      <c r="J1117" s="234"/>
      <c r="K1117" s="234"/>
      <c r="L1117" s="216" t="s">
        <v>3</v>
      </c>
      <c r="M1117" s="178">
        <v>3</v>
      </c>
      <c r="N1117" s="235">
        <v>40</v>
      </c>
      <c r="O1117" s="234">
        <v>120</v>
      </c>
      <c r="P1117" s="234"/>
      <c r="Q1117" s="180" t="str">
        <f>IF(PEDIDOS[[#This Row],[Valor do item pago]]=PEDIDOS[[#This Row],[Total Item ]],"PAGO", "")</f>
        <v/>
      </c>
    </row>
    <row r="1118" spans="1:17" s="216" customFormat="1" ht="39.950000000000003" customHeight="1" x14ac:dyDescent="0.25">
      <c r="A1118" s="231"/>
      <c r="B1118" s="216">
        <v>784</v>
      </c>
      <c r="C1118" s="232">
        <v>43504</v>
      </c>
      <c r="D1118" s="233" t="s">
        <v>477</v>
      </c>
      <c r="E1118" s="216" t="s">
        <v>1162</v>
      </c>
      <c r="F1118" s="216" t="s">
        <v>1163</v>
      </c>
      <c r="G1118" s="216" t="s">
        <v>1164</v>
      </c>
      <c r="H1118" s="216" t="s">
        <v>723</v>
      </c>
      <c r="I1118" s="234" t="s">
        <v>1166</v>
      </c>
      <c r="J1118" s="234"/>
      <c r="K1118" s="234"/>
      <c r="L1118" s="216" t="s">
        <v>219</v>
      </c>
      <c r="M1118" s="178">
        <v>2</v>
      </c>
      <c r="N1118" s="235">
        <v>40</v>
      </c>
      <c r="O1118" s="234">
        <v>80</v>
      </c>
      <c r="P1118" s="234">
        <v>80</v>
      </c>
      <c r="Q1118" s="180" t="str">
        <f>IF(PEDIDOS[[#This Row],[Valor do item pago]]=PEDIDOS[[#This Row],[Total Item ]],"PAGO", "")</f>
        <v>PAGO</v>
      </c>
    </row>
    <row r="1119" spans="1:17" s="216" customFormat="1" ht="39.950000000000003" customHeight="1" x14ac:dyDescent="0.25">
      <c r="A1119" s="231"/>
      <c r="B1119" s="216">
        <v>783</v>
      </c>
      <c r="C1119" s="232">
        <v>43504</v>
      </c>
      <c r="D1119" s="233" t="s">
        <v>477</v>
      </c>
      <c r="E1119" s="216" t="s">
        <v>1157</v>
      </c>
      <c r="F1119" s="216" t="s">
        <v>1158</v>
      </c>
      <c r="G1119" s="216" t="s">
        <v>1160</v>
      </c>
      <c r="H1119" s="216" t="s">
        <v>461</v>
      </c>
      <c r="I1119" s="234" t="s">
        <v>1161</v>
      </c>
      <c r="J1119" s="234"/>
      <c r="K1119" s="234"/>
      <c r="L1119" s="216" t="s">
        <v>219</v>
      </c>
      <c r="M1119" s="178">
        <v>1</v>
      </c>
      <c r="N1119" s="235">
        <v>40</v>
      </c>
      <c r="O1119" s="234">
        <v>40</v>
      </c>
      <c r="P1119" s="234">
        <v>40</v>
      </c>
      <c r="Q1119" s="180" t="str">
        <f>IF(PEDIDOS[[#This Row],[Valor do item pago]]=PEDIDOS[[#This Row],[Total Item ]],"PAGO", "")</f>
        <v>PAGO</v>
      </c>
    </row>
    <row r="1120" spans="1:17" s="216" customFormat="1" ht="39.950000000000003" customHeight="1" x14ac:dyDescent="0.25">
      <c r="A1120" s="231"/>
      <c r="B1120" s="216">
        <v>782</v>
      </c>
      <c r="C1120" s="232">
        <v>43504</v>
      </c>
      <c r="D1120" s="233" t="s">
        <v>477</v>
      </c>
      <c r="E1120" s="216" t="s">
        <v>1151</v>
      </c>
      <c r="F1120" s="216" t="s">
        <v>1152</v>
      </c>
      <c r="G1120" s="216" t="s">
        <v>1153</v>
      </c>
      <c r="H1120" s="216" t="s">
        <v>461</v>
      </c>
      <c r="I1120" s="234" t="s">
        <v>1156</v>
      </c>
      <c r="J1120" s="234"/>
      <c r="K1120" s="234"/>
      <c r="L1120" s="216" t="s">
        <v>219</v>
      </c>
      <c r="M1120" s="178">
        <v>1</v>
      </c>
      <c r="N1120" s="235">
        <v>40</v>
      </c>
      <c r="O1120" s="234">
        <v>40</v>
      </c>
      <c r="P1120" s="234">
        <v>40</v>
      </c>
      <c r="Q1120" s="180" t="str">
        <f>IF(PEDIDOS[[#This Row],[Valor do item pago]]=PEDIDOS[[#This Row],[Total Item ]],"PAGO", "")</f>
        <v>PAGO</v>
      </c>
    </row>
    <row r="1121" spans="1:17" s="216" customFormat="1" ht="39.950000000000003" customHeight="1" x14ac:dyDescent="0.25">
      <c r="A1121" s="231"/>
      <c r="B1121" s="216">
        <v>781</v>
      </c>
      <c r="C1121" s="232">
        <v>43504</v>
      </c>
      <c r="D1121" s="233" t="s">
        <v>477</v>
      </c>
      <c r="E1121" s="216" t="s">
        <v>1147</v>
      </c>
      <c r="F1121" s="216" t="s">
        <v>1148</v>
      </c>
      <c r="G1121" s="216" t="s">
        <v>1150</v>
      </c>
      <c r="H1121" s="216" t="s">
        <v>84</v>
      </c>
      <c r="I1121" s="234" t="s">
        <v>1155</v>
      </c>
      <c r="J1121" s="234"/>
      <c r="K1121" s="234"/>
      <c r="L1121" s="216" t="s">
        <v>219</v>
      </c>
      <c r="M1121" s="178">
        <v>2</v>
      </c>
      <c r="N1121" s="235">
        <v>40</v>
      </c>
      <c r="O1121" s="234">
        <v>80</v>
      </c>
      <c r="P1121" s="234">
        <v>80</v>
      </c>
      <c r="Q1121" s="180" t="str">
        <f>IF(PEDIDOS[[#This Row],[Valor do item pago]]=PEDIDOS[[#This Row],[Total Item ]],"PAGO", "")</f>
        <v>PAGO</v>
      </c>
    </row>
    <row r="1122" spans="1:17" s="216" customFormat="1" ht="39.950000000000003" customHeight="1" x14ac:dyDescent="0.25">
      <c r="A1122" s="231"/>
      <c r="B1122" s="216">
        <v>780</v>
      </c>
      <c r="C1122" s="232">
        <v>43504</v>
      </c>
      <c r="D1122" s="233" t="s">
        <v>477</v>
      </c>
      <c r="E1122" s="216" t="s">
        <v>1142</v>
      </c>
      <c r="F1122" s="216" t="s">
        <v>1143</v>
      </c>
      <c r="G1122" s="216" t="s">
        <v>1145</v>
      </c>
      <c r="H1122" s="216" t="s">
        <v>406</v>
      </c>
      <c r="I1122" s="234" t="s">
        <v>1146</v>
      </c>
      <c r="J1122" s="234"/>
      <c r="K1122" s="234"/>
      <c r="L1122" s="216" t="s">
        <v>219</v>
      </c>
      <c r="M1122" s="178">
        <v>1</v>
      </c>
      <c r="N1122" s="235">
        <v>40</v>
      </c>
      <c r="O1122" s="234">
        <v>40</v>
      </c>
      <c r="P1122" s="234"/>
      <c r="Q1122" s="180" t="str">
        <f>IF(PEDIDOS[[#This Row],[Valor do item pago]]=PEDIDOS[[#This Row],[Total Item ]],"PAGO", "")</f>
        <v/>
      </c>
    </row>
    <row r="1123" spans="1:17" s="216" customFormat="1" ht="39.950000000000003" customHeight="1" x14ac:dyDescent="0.25">
      <c r="A1123" s="231"/>
      <c r="B1123" s="216">
        <v>779</v>
      </c>
      <c r="C1123" s="232">
        <v>43504</v>
      </c>
      <c r="D1123" s="233" t="s">
        <v>477</v>
      </c>
      <c r="E1123" s="216" t="s">
        <v>894</v>
      </c>
      <c r="F1123" s="216" t="s">
        <v>895</v>
      </c>
      <c r="G1123" s="216" t="s">
        <v>896</v>
      </c>
      <c r="H1123" s="216" t="s">
        <v>581</v>
      </c>
      <c r="I1123" s="234" t="s">
        <v>897</v>
      </c>
      <c r="J1123" s="234"/>
      <c r="K1123" s="234"/>
      <c r="L1123" s="216" t="s">
        <v>3</v>
      </c>
      <c r="M1123" s="178">
        <v>1</v>
      </c>
      <c r="N1123" s="235">
        <v>40</v>
      </c>
      <c r="O1123" s="234">
        <v>40</v>
      </c>
      <c r="P1123" s="234"/>
      <c r="Q1123" s="180" t="str">
        <f>IF(PEDIDOS[[#This Row],[Valor do item pago]]=PEDIDOS[[#This Row],[Total Item ]],"PAGO", "")</f>
        <v/>
      </c>
    </row>
    <row r="1124" spans="1:17" s="216" customFormat="1" ht="39.950000000000003" customHeight="1" x14ac:dyDescent="0.25">
      <c r="A1124" s="231"/>
      <c r="B1124" s="216">
        <v>778</v>
      </c>
      <c r="C1124" s="232">
        <v>43504</v>
      </c>
      <c r="D1124" s="233" t="s">
        <v>477</v>
      </c>
      <c r="E1124" s="216" t="s">
        <v>547</v>
      </c>
      <c r="F1124" s="216" t="s">
        <v>521</v>
      </c>
      <c r="G1124" s="216" t="s">
        <v>522</v>
      </c>
      <c r="H1124" s="216" t="s">
        <v>523</v>
      </c>
      <c r="I1124" s="234" t="s">
        <v>663</v>
      </c>
      <c r="J1124" s="234" t="s">
        <v>1141</v>
      </c>
      <c r="K1124" s="234"/>
      <c r="L1124" s="216" t="s">
        <v>235</v>
      </c>
      <c r="M1124" s="178">
        <v>1</v>
      </c>
      <c r="N1124" s="235">
        <v>40</v>
      </c>
      <c r="O1124" s="234">
        <v>40</v>
      </c>
      <c r="P1124" s="234"/>
      <c r="Q1124" s="180" t="str">
        <f>IF(PEDIDOS[[#This Row],[Valor do item pago]]=PEDIDOS[[#This Row],[Total Item ]],"PAGO", "")</f>
        <v/>
      </c>
    </row>
    <row r="1125" spans="1:17" s="216" customFormat="1" ht="39.950000000000003" customHeight="1" x14ac:dyDescent="0.25">
      <c r="A1125" s="231"/>
      <c r="B1125" s="216">
        <v>777</v>
      </c>
      <c r="C1125" s="232">
        <v>43504</v>
      </c>
      <c r="D1125" s="233" t="s">
        <v>477</v>
      </c>
      <c r="E1125" s="216" t="s">
        <v>369</v>
      </c>
      <c r="F1125" s="216" t="s">
        <v>308</v>
      </c>
      <c r="G1125" s="216" t="s">
        <v>148</v>
      </c>
      <c r="H1125" s="216" t="s">
        <v>400</v>
      </c>
      <c r="I1125" s="234" t="s">
        <v>444</v>
      </c>
      <c r="J1125" s="234" t="s">
        <v>1140</v>
      </c>
      <c r="K1125" s="234"/>
      <c r="L1125" s="216" t="s">
        <v>219</v>
      </c>
      <c r="M1125" s="178">
        <v>1</v>
      </c>
      <c r="N1125" s="235">
        <v>40</v>
      </c>
      <c r="O1125" s="234">
        <v>40</v>
      </c>
      <c r="P1125" s="234"/>
      <c r="Q1125" s="180" t="str">
        <f>IF(PEDIDOS[[#This Row],[Valor do item pago]]=PEDIDOS[[#This Row],[Total Item ]],"PAGO", "")</f>
        <v/>
      </c>
    </row>
    <row r="1126" spans="1:17" s="216" customFormat="1" ht="39.950000000000003" customHeight="1" x14ac:dyDescent="0.25">
      <c r="A1126" s="231"/>
      <c r="B1126" s="216">
        <v>776</v>
      </c>
      <c r="C1126" s="232">
        <v>43504</v>
      </c>
      <c r="D1126" s="233" t="s">
        <v>477</v>
      </c>
      <c r="E1126" s="216" t="s">
        <v>513</v>
      </c>
      <c r="F1126" s="216" t="s">
        <v>514</v>
      </c>
      <c r="G1126" s="216" t="s">
        <v>515</v>
      </c>
      <c r="H1126" s="216" t="s">
        <v>183</v>
      </c>
      <c r="I1126" s="234" t="s">
        <v>661</v>
      </c>
      <c r="J1126" s="234"/>
      <c r="K1126" s="234"/>
      <c r="L1126" s="216" t="s">
        <v>219</v>
      </c>
      <c r="M1126" s="178">
        <v>1</v>
      </c>
      <c r="N1126" s="235">
        <v>40</v>
      </c>
      <c r="O1126" s="234">
        <v>40</v>
      </c>
      <c r="P1126" s="234"/>
      <c r="Q1126" s="180" t="str">
        <f>IF(PEDIDOS[[#This Row],[Valor do item pago]]=PEDIDOS[[#This Row],[Total Item ]],"PAGO", "")</f>
        <v/>
      </c>
    </row>
    <row r="1127" spans="1:17" s="216" customFormat="1" ht="39.950000000000003" customHeight="1" x14ac:dyDescent="0.25">
      <c r="A1127" s="231"/>
      <c r="B1127" s="216">
        <v>776</v>
      </c>
      <c r="C1127" s="232">
        <v>43504</v>
      </c>
      <c r="D1127" s="233" t="s">
        <v>477</v>
      </c>
      <c r="E1127" s="216" t="s">
        <v>513</v>
      </c>
      <c r="F1127" s="216" t="s">
        <v>514</v>
      </c>
      <c r="G1127" s="216" t="s">
        <v>515</v>
      </c>
      <c r="H1127" s="216" t="s">
        <v>183</v>
      </c>
      <c r="I1127" s="234" t="s">
        <v>661</v>
      </c>
      <c r="J1127" s="234"/>
      <c r="K1127" s="234"/>
      <c r="L1127" s="216" t="s">
        <v>1</v>
      </c>
      <c r="M1127" s="178">
        <v>1</v>
      </c>
      <c r="N1127" s="235">
        <v>40</v>
      </c>
      <c r="O1127" s="234">
        <v>40</v>
      </c>
      <c r="P1127" s="234"/>
      <c r="Q1127" s="180" t="str">
        <f>IF(PEDIDOS[[#This Row],[Valor do item pago]]=PEDIDOS[[#This Row],[Total Item ]],"PAGO", "")</f>
        <v/>
      </c>
    </row>
    <row r="1128" spans="1:17" s="216" customFormat="1" ht="39.950000000000003" customHeight="1" x14ac:dyDescent="0.25">
      <c r="A1128" s="231"/>
      <c r="B1128" s="216">
        <v>775</v>
      </c>
      <c r="C1128" s="232">
        <v>43504</v>
      </c>
      <c r="D1128" s="233" t="s">
        <v>477</v>
      </c>
      <c r="E1128" s="216" t="s">
        <v>367</v>
      </c>
      <c r="F1128" s="216" t="s">
        <v>323</v>
      </c>
      <c r="G1128" s="216" t="s">
        <v>151</v>
      </c>
      <c r="H1128" s="216" t="s">
        <v>392</v>
      </c>
      <c r="I1128" s="234" t="s">
        <v>656</v>
      </c>
      <c r="J1128" s="234"/>
      <c r="K1128" s="234"/>
      <c r="L1128" s="216" t="s">
        <v>0</v>
      </c>
      <c r="M1128" s="178">
        <v>1</v>
      </c>
      <c r="N1128" s="235">
        <v>40</v>
      </c>
      <c r="O1128" s="234">
        <v>40</v>
      </c>
      <c r="P1128" s="234"/>
      <c r="Q1128" s="180" t="str">
        <f>IF(PEDIDOS[[#This Row],[Valor do item pago]]=PEDIDOS[[#This Row],[Total Item ]],"PAGO", "")</f>
        <v/>
      </c>
    </row>
    <row r="1129" spans="1:17" s="216" customFormat="1" ht="39.950000000000003" customHeight="1" x14ac:dyDescent="0.25">
      <c r="A1129" s="231"/>
      <c r="B1129" s="216">
        <v>774</v>
      </c>
      <c r="C1129" s="232">
        <v>43504</v>
      </c>
      <c r="D1129" s="233" t="s">
        <v>477</v>
      </c>
      <c r="E1129" s="216" t="s">
        <v>383</v>
      </c>
      <c r="F1129" s="216" t="s">
        <v>304</v>
      </c>
      <c r="G1129" s="216" t="s">
        <v>191</v>
      </c>
      <c r="H1129" s="216" t="s">
        <v>387</v>
      </c>
      <c r="I1129" s="234" t="s">
        <v>440</v>
      </c>
      <c r="J1129" s="234"/>
      <c r="K1129" s="234"/>
      <c r="L1129" s="216" t="s">
        <v>219</v>
      </c>
      <c r="M1129" s="178">
        <v>1</v>
      </c>
      <c r="N1129" s="235">
        <v>40</v>
      </c>
      <c r="O1129" s="234">
        <v>40</v>
      </c>
      <c r="P1129" s="234"/>
      <c r="Q1129" s="180" t="str">
        <f>IF(PEDIDOS[[#This Row],[Valor do item pago]]=PEDIDOS[[#This Row],[Total Item ]],"PAGO", "")</f>
        <v/>
      </c>
    </row>
    <row r="1130" spans="1:17" s="216" customFormat="1" ht="39.950000000000003" customHeight="1" x14ac:dyDescent="0.25">
      <c r="A1130" s="231"/>
      <c r="B1130" s="216">
        <v>773</v>
      </c>
      <c r="C1130" s="232">
        <v>43504</v>
      </c>
      <c r="D1130" s="233" t="s">
        <v>477</v>
      </c>
      <c r="E1130" s="216" t="s">
        <v>363</v>
      </c>
      <c r="F1130" s="216">
        <v>0</v>
      </c>
      <c r="G1130" s="216">
        <v>0</v>
      </c>
      <c r="H1130" s="216">
        <v>0</v>
      </c>
      <c r="I1130" s="234"/>
      <c r="J1130" s="234"/>
      <c r="K1130" s="234" t="s">
        <v>40</v>
      </c>
      <c r="L1130" s="216" t="s">
        <v>1</v>
      </c>
      <c r="M1130" s="178">
        <v>1</v>
      </c>
      <c r="N1130" s="235">
        <v>40</v>
      </c>
      <c r="O1130" s="234">
        <v>40</v>
      </c>
      <c r="P1130" s="234">
        <v>40</v>
      </c>
      <c r="Q1130" s="180" t="str">
        <f>IF(PEDIDOS[[#This Row],[Valor do item pago]]=PEDIDOS[[#This Row],[Total Item ]],"PAGO", "")</f>
        <v>PAGO</v>
      </c>
    </row>
    <row r="1131" spans="1:17" s="216" customFormat="1" ht="39.950000000000003" customHeight="1" x14ac:dyDescent="0.25">
      <c r="A1131" s="231"/>
      <c r="B1131" s="216">
        <v>772</v>
      </c>
      <c r="C1131" s="232">
        <v>43504</v>
      </c>
      <c r="D1131" s="233" t="s">
        <v>477</v>
      </c>
      <c r="E1131" s="216" t="s">
        <v>506</v>
      </c>
      <c r="F1131" s="216" t="s">
        <v>503</v>
      </c>
      <c r="G1131" s="216" t="s">
        <v>504</v>
      </c>
      <c r="H1131" s="216" t="s">
        <v>505</v>
      </c>
      <c r="I1131" s="234" t="s">
        <v>660</v>
      </c>
      <c r="J1131" s="234"/>
      <c r="K1131" s="234"/>
      <c r="L1131" s="216" t="s">
        <v>3</v>
      </c>
      <c r="M1131" s="178">
        <v>1</v>
      </c>
      <c r="N1131" s="235">
        <v>40</v>
      </c>
      <c r="O1131" s="234">
        <v>40</v>
      </c>
      <c r="P1131" s="234"/>
      <c r="Q1131" s="180" t="str">
        <f>IF(PEDIDOS[[#This Row],[Valor do item pago]]=PEDIDOS[[#This Row],[Total Item ]],"PAGO", "")</f>
        <v/>
      </c>
    </row>
    <row r="1132" spans="1:17" s="216" customFormat="1" ht="39.950000000000003" customHeight="1" x14ac:dyDescent="0.25">
      <c r="A1132" s="231"/>
      <c r="B1132" s="216">
        <v>772</v>
      </c>
      <c r="C1132" s="232">
        <v>43504</v>
      </c>
      <c r="D1132" s="233" t="s">
        <v>477</v>
      </c>
      <c r="E1132" s="216" t="s">
        <v>506</v>
      </c>
      <c r="F1132" s="216" t="s">
        <v>503</v>
      </c>
      <c r="G1132" s="216" t="s">
        <v>504</v>
      </c>
      <c r="H1132" s="216" t="s">
        <v>505</v>
      </c>
      <c r="I1132" s="234" t="s">
        <v>660</v>
      </c>
      <c r="J1132" s="234"/>
      <c r="K1132" s="234"/>
      <c r="L1132" s="216" t="s">
        <v>1</v>
      </c>
      <c r="M1132" s="178">
        <v>1</v>
      </c>
      <c r="N1132" s="235">
        <v>40</v>
      </c>
      <c r="O1132" s="234">
        <v>40</v>
      </c>
      <c r="P1132" s="234"/>
      <c r="Q1132" s="180" t="str">
        <f>IF(PEDIDOS[[#This Row],[Valor do item pago]]=PEDIDOS[[#This Row],[Total Item ]],"PAGO", "")</f>
        <v/>
      </c>
    </row>
    <row r="1133" spans="1:17" s="216" customFormat="1" ht="39.950000000000003" customHeight="1" x14ac:dyDescent="0.25">
      <c r="A1133" s="231"/>
      <c r="B1133" s="216">
        <v>771</v>
      </c>
      <c r="C1133" s="232">
        <v>43504</v>
      </c>
      <c r="D1133" s="233" t="s">
        <v>477</v>
      </c>
      <c r="E1133" s="216" t="s">
        <v>507</v>
      </c>
      <c r="F1133" s="216" t="s">
        <v>497</v>
      </c>
      <c r="G1133" s="216" t="s">
        <v>499</v>
      </c>
      <c r="H1133" s="216" t="s">
        <v>461</v>
      </c>
      <c r="I1133" s="234" t="s">
        <v>659</v>
      </c>
      <c r="J1133" s="234"/>
      <c r="K1133" s="234"/>
      <c r="L1133" s="216" t="s">
        <v>1</v>
      </c>
      <c r="M1133" s="178">
        <v>1</v>
      </c>
      <c r="N1133" s="235">
        <v>40</v>
      </c>
      <c r="O1133" s="234">
        <v>40</v>
      </c>
      <c r="P1133" s="234"/>
      <c r="Q1133" s="180" t="str">
        <f>IF(PEDIDOS[[#This Row],[Valor do item pago]]=PEDIDOS[[#This Row],[Total Item ]],"PAGO", "")</f>
        <v/>
      </c>
    </row>
    <row r="1134" spans="1:17" s="216" customFormat="1" ht="39.950000000000003" customHeight="1" x14ac:dyDescent="0.25">
      <c r="A1134" s="231"/>
      <c r="B1134" s="216">
        <v>770</v>
      </c>
      <c r="C1134" s="232">
        <v>43504</v>
      </c>
      <c r="D1134" s="233" t="s">
        <v>477</v>
      </c>
      <c r="E1134" s="216" t="s">
        <v>355</v>
      </c>
      <c r="F1134" s="216" t="s">
        <v>294</v>
      </c>
      <c r="G1134" s="216" t="s">
        <v>145</v>
      </c>
      <c r="H1134" s="216" t="s">
        <v>390</v>
      </c>
      <c r="I1134" s="234" t="s">
        <v>251</v>
      </c>
      <c r="J1134" s="234"/>
      <c r="K1134" s="234"/>
      <c r="L1134" s="216" t="s">
        <v>3</v>
      </c>
      <c r="M1134" s="178">
        <v>1</v>
      </c>
      <c r="N1134" s="235">
        <v>40</v>
      </c>
      <c r="O1134" s="234">
        <v>40</v>
      </c>
      <c r="P1134" s="234"/>
      <c r="Q1134" s="180" t="str">
        <f>IF(PEDIDOS[[#This Row],[Valor do item pago]]=PEDIDOS[[#This Row],[Total Item ]],"PAGO", "")</f>
        <v/>
      </c>
    </row>
    <row r="1135" spans="1:17" s="216" customFormat="1" ht="39.950000000000003" customHeight="1" x14ac:dyDescent="0.25">
      <c r="A1135" s="231"/>
      <c r="B1135" s="216">
        <v>770</v>
      </c>
      <c r="C1135" s="232">
        <v>43504</v>
      </c>
      <c r="D1135" s="233" t="s">
        <v>477</v>
      </c>
      <c r="E1135" s="216" t="s">
        <v>355</v>
      </c>
      <c r="F1135" s="216" t="s">
        <v>294</v>
      </c>
      <c r="G1135" s="216" t="s">
        <v>145</v>
      </c>
      <c r="H1135" s="216" t="s">
        <v>390</v>
      </c>
      <c r="I1135" s="234" t="s">
        <v>251</v>
      </c>
      <c r="J1135" s="234"/>
      <c r="K1135" s="234"/>
      <c r="L1135" s="216" t="s">
        <v>1</v>
      </c>
      <c r="M1135" s="178">
        <v>1</v>
      </c>
      <c r="N1135" s="235">
        <v>40</v>
      </c>
      <c r="O1135" s="234">
        <v>40</v>
      </c>
      <c r="P1135" s="234"/>
      <c r="Q1135" s="180" t="str">
        <f>IF(PEDIDOS[[#This Row],[Valor do item pago]]=PEDIDOS[[#This Row],[Total Item ]],"PAGO", "")</f>
        <v/>
      </c>
    </row>
    <row r="1136" spans="1:17" s="216" customFormat="1" ht="39.950000000000003" customHeight="1" x14ac:dyDescent="0.25">
      <c r="A1136" s="231"/>
      <c r="B1136" s="216">
        <v>769</v>
      </c>
      <c r="C1136" s="232">
        <v>43504</v>
      </c>
      <c r="D1136" s="233" t="s">
        <v>477</v>
      </c>
      <c r="E1136" s="216" t="s">
        <v>25</v>
      </c>
      <c r="F1136" s="216" t="s">
        <v>291</v>
      </c>
      <c r="G1136" s="216" t="s">
        <v>330</v>
      </c>
      <c r="H1136" s="216" t="s">
        <v>406</v>
      </c>
      <c r="I1136" s="234" t="s">
        <v>329</v>
      </c>
      <c r="J1136" s="234" t="s">
        <v>1139</v>
      </c>
      <c r="K1136" s="234"/>
      <c r="L1136" s="216" t="s">
        <v>219</v>
      </c>
      <c r="M1136" s="178">
        <v>5</v>
      </c>
      <c r="N1136" s="235">
        <v>40</v>
      </c>
      <c r="O1136" s="234">
        <v>200</v>
      </c>
      <c r="P1136" s="234">
        <v>200</v>
      </c>
      <c r="Q1136" s="180" t="str">
        <f>IF(PEDIDOS[[#This Row],[Valor do item pago]]=PEDIDOS[[#This Row],[Total Item ]],"PAGO", "")</f>
        <v>PAGO</v>
      </c>
    </row>
    <row r="1137" spans="1:17" s="216" customFormat="1" ht="39.950000000000003" customHeight="1" x14ac:dyDescent="0.25">
      <c r="A1137" s="231"/>
      <c r="B1137" s="216">
        <v>768</v>
      </c>
      <c r="C1137" s="232">
        <v>43504</v>
      </c>
      <c r="D1137" s="233" t="s">
        <v>477</v>
      </c>
      <c r="E1137" s="216" t="s">
        <v>340</v>
      </c>
      <c r="F1137" s="216" t="s">
        <v>974</v>
      </c>
      <c r="G1137" s="216" t="s">
        <v>1138</v>
      </c>
      <c r="H1137" s="216" t="s">
        <v>388</v>
      </c>
      <c r="I1137" s="234" t="s">
        <v>417</v>
      </c>
      <c r="J1137" s="234"/>
      <c r="K1137" s="234"/>
      <c r="L1137" s="216" t="s">
        <v>219</v>
      </c>
      <c r="M1137" s="178">
        <v>1</v>
      </c>
      <c r="N1137" s="235">
        <v>40</v>
      </c>
      <c r="O1137" s="234">
        <v>40</v>
      </c>
      <c r="P1137" s="234"/>
      <c r="Q1137" s="180" t="str">
        <f>IF(PEDIDOS[[#This Row],[Valor do item pago]]=PEDIDOS[[#This Row],[Total Item ]],"PAGO", "")</f>
        <v/>
      </c>
    </row>
    <row r="1138" spans="1:17" s="216" customFormat="1" ht="39.950000000000003" customHeight="1" x14ac:dyDescent="0.25">
      <c r="A1138" s="231"/>
      <c r="B1138" s="216">
        <v>767</v>
      </c>
      <c r="C1138" s="232">
        <v>43504</v>
      </c>
      <c r="D1138" s="233" t="s">
        <v>473</v>
      </c>
      <c r="E1138" s="216" t="s">
        <v>473</v>
      </c>
      <c r="F1138" s="216" t="s">
        <v>315</v>
      </c>
      <c r="G1138" s="216">
        <v>0</v>
      </c>
      <c r="H1138" s="216">
        <v>0</v>
      </c>
      <c r="I1138" s="234"/>
      <c r="J1138" s="234"/>
      <c r="K1138" s="234" t="s">
        <v>40</v>
      </c>
      <c r="L1138" s="216" t="s">
        <v>1</v>
      </c>
      <c r="M1138" s="178">
        <v>1</v>
      </c>
      <c r="N1138" s="235">
        <v>40</v>
      </c>
      <c r="O1138" s="234">
        <v>40</v>
      </c>
      <c r="P1138" s="234"/>
      <c r="Q1138" s="180" t="str">
        <f>IF(PEDIDOS[[#This Row],[Valor do item pago]]=PEDIDOS[[#This Row],[Total Item ]],"PAGO", "")</f>
        <v/>
      </c>
    </row>
    <row r="1139" spans="1:17" s="216" customFormat="1" ht="39.950000000000003" customHeight="1" x14ac:dyDescent="0.25">
      <c r="A1139" s="231"/>
      <c r="B1139" s="216">
        <v>766</v>
      </c>
      <c r="C1139" s="232">
        <v>43504</v>
      </c>
      <c r="D1139" s="233" t="s">
        <v>60</v>
      </c>
      <c r="E1139" s="216" t="s">
        <v>762</v>
      </c>
      <c r="F1139" s="216">
        <v>0</v>
      </c>
      <c r="G1139" s="216" t="s">
        <v>763</v>
      </c>
      <c r="H1139" s="216">
        <v>0</v>
      </c>
      <c r="I1139" s="234"/>
      <c r="J1139" s="234"/>
      <c r="K1139" s="234" t="s">
        <v>40</v>
      </c>
      <c r="L1139" s="216" t="s">
        <v>3</v>
      </c>
      <c r="M1139" s="178">
        <v>1</v>
      </c>
      <c r="N1139" s="235">
        <v>40</v>
      </c>
      <c r="O1139" s="234">
        <v>40</v>
      </c>
      <c r="P1139" s="234"/>
      <c r="Q1139" s="180" t="str">
        <f>IF(PEDIDOS[[#This Row],[Valor do item pago]]=PEDIDOS[[#This Row],[Total Item ]],"PAGO", "")</f>
        <v/>
      </c>
    </row>
    <row r="1140" spans="1:17" s="216" customFormat="1" ht="39.950000000000003" customHeight="1" x14ac:dyDescent="0.25">
      <c r="A1140" s="231"/>
      <c r="B1140" s="216">
        <v>765</v>
      </c>
      <c r="C1140" s="232">
        <v>43504</v>
      </c>
      <c r="D1140" s="233" t="s">
        <v>463</v>
      </c>
      <c r="E1140" s="216" t="s">
        <v>202</v>
      </c>
      <c r="F1140" s="216" t="s">
        <v>281</v>
      </c>
      <c r="G1140" s="216">
        <v>0</v>
      </c>
      <c r="H1140" s="216">
        <v>0</v>
      </c>
      <c r="I1140" s="234"/>
      <c r="J1140" s="234"/>
      <c r="K1140" s="234" t="s">
        <v>40</v>
      </c>
      <c r="L1140" s="216" t="s">
        <v>219</v>
      </c>
      <c r="M1140" s="178">
        <v>2</v>
      </c>
      <c r="N1140" s="235">
        <v>40</v>
      </c>
      <c r="O1140" s="234">
        <v>80</v>
      </c>
      <c r="P1140" s="234"/>
      <c r="Q1140" s="180" t="str">
        <f>IF(PEDIDOS[[#This Row],[Valor do item pago]]=PEDIDOS[[#This Row],[Total Item ]],"PAGO", "")</f>
        <v/>
      </c>
    </row>
    <row r="1141" spans="1:17" s="216" customFormat="1" ht="39.950000000000003" customHeight="1" x14ac:dyDescent="0.25">
      <c r="A1141" s="231"/>
      <c r="B1141" s="216">
        <v>764</v>
      </c>
      <c r="C1141" s="232">
        <v>43504</v>
      </c>
      <c r="D1141" s="233" t="s">
        <v>24</v>
      </c>
      <c r="E1141" s="216" t="s">
        <v>23</v>
      </c>
      <c r="F1141" s="216">
        <v>0</v>
      </c>
      <c r="G1141" s="216">
        <v>0</v>
      </c>
      <c r="H1141" s="216">
        <v>0</v>
      </c>
      <c r="I1141" s="234"/>
      <c r="J1141" s="234"/>
      <c r="K1141" s="234" t="s">
        <v>40</v>
      </c>
      <c r="L1141" s="216" t="s">
        <v>219</v>
      </c>
      <c r="M1141" s="178">
        <v>3</v>
      </c>
      <c r="N1141" s="235">
        <v>40</v>
      </c>
      <c r="O1141" s="234">
        <v>120</v>
      </c>
      <c r="P1141" s="234"/>
      <c r="Q1141" s="180" t="str">
        <f>IF(PEDIDOS[[#This Row],[Valor do item pago]]=PEDIDOS[[#This Row],[Total Item ]],"PAGO", "")</f>
        <v/>
      </c>
    </row>
    <row r="1142" spans="1:17" s="216" customFormat="1" ht="39.950000000000003" customHeight="1" x14ac:dyDescent="0.25">
      <c r="A1142" s="231"/>
      <c r="B1142" s="216">
        <v>763</v>
      </c>
      <c r="C1142" s="232">
        <v>43504</v>
      </c>
      <c r="D1142" s="233" t="s">
        <v>40</v>
      </c>
      <c r="E1142" s="216" t="s">
        <v>966</v>
      </c>
      <c r="F1142" s="216" t="s">
        <v>1073</v>
      </c>
      <c r="G1142" s="216">
        <v>0</v>
      </c>
      <c r="H1142" s="216" t="s">
        <v>40</v>
      </c>
      <c r="I1142" s="234"/>
      <c r="J1142" s="234"/>
      <c r="K1142" s="234" t="s">
        <v>40</v>
      </c>
      <c r="L1142" s="216" t="s">
        <v>3</v>
      </c>
      <c r="M1142" s="178">
        <v>1</v>
      </c>
      <c r="N1142" s="235">
        <v>40</v>
      </c>
      <c r="O1142" s="234">
        <v>40</v>
      </c>
      <c r="P1142" s="234"/>
      <c r="Q1142" s="180" t="str">
        <f>IF(PEDIDOS[[#This Row],[Valor do item pago]]=PEDIDOS[[#This Row],[Total Item ]],"PAGO", "")</f>
        <v/>
      </c>
    </row>
    <row r="1143" spans="1:17" s="216" customFormat="1" ht="39.950000000000003" customHeight="1" x14ac:dyDescent="0.25">
      <c r="A1143" s="231"/>
      <c r="B1143" s="216">
        <v>763</v>
      </c>
      <c r="C1143" s="232">
        <v>43504</v>
      </c>
      <c r="D1143" s="233" t="s">
        <v>40</v>
      </c>
      <c r="E1143" s="216" t="s">
        <v>966</v>
      </c>
      <c r="F1143" s="216" t="s">
        <v>1073</v>
      </c>
      <c r="G1143" s="216">
        <v>0</v>
      </c>
      <c r="H1143" s="216" t="s">
        <v>40</v>
      </c>
      <c r="I1143" s="234"/>
      <c r="J1143" s="234"/>
      <c r="K1143" s="234" t="s">
        <v>40</v>
      </c>
      <c r="L1143" s="216" t="s">
        <v>219</v>
      </c>
      <c r="M1143" s="178">
        <v>1</v>
      </c>
      <c r="N1143" s="235">
        <v>40</v>
      </c>
      <c r="O1143" s="234">
        <v>40</v>
      </c>
      <c r="P1143" s="234"/>
      <c r="Q1143" s="180" t="str">
        <f>IF(PEDIDOS[[#This Row],[Valor do item pago]]=PEDIDOS[[#This Row],[Total Item ]],"PAGO", "")</f>
        <v/>
      </c>
    </row>
    <row r="1144" spans="1:17" s="216" customFormat="1" ht="39.950000000000003" customHeight="1" x14ac:dyDescent="0.25">
      <c r="A1144" s="231"/>
      <c r="B1144" s="216">
        <v>763</v>
      </c>
      <c r="C1144" s="232">
        <v>43504</v>
      </c>
      <c r="D1144" s="233" t="s">
        <v>40</v>
      </c>
      <c r="E1144" s="216" t="s">
        <v>966</v>
      </c>
      <c r="F1144" s="216" t="s">
        <v>1073</v>
      </c>
      <c r="G1144" s="216">
        <v>0</v>
      </c>
      <c r="H1144" s="216" t="s">
        <v>40</v>
      </c>
      <c r="I1144" s="234"/>
      <c r="J1144" s="234"/>
      <c r="K1144" s="234" t="s">
        <v>40</v>
      </c>
      <c r="L1144" s="216" t="s">
        <v>1</v>
      </c>
      <c r="M1144" s="178">
        <v>1</v>
      </c>
      <c r="N1144" s="235">
        <v>40</v>
      </c>
      <c r="O1144" s="234">
        <v>40</v>
      </c>
      <c r="P1144" s="234"/>
      <c r="Q1144" s="180" t="str">
        <f>IF(PEDIDOS[[#This Row],[Valor do item pago]]=PEDIDOS[[#This Row],[Total Item ]],"PAGO", "")</f>
        <v/>
      </c>
    </row>
    <row r="1145" spans="1:17" s="216" customFormat="1" ht="39.950000000000003" customHeight="1" x14ac:dyDescent="0.25">
      <c r="A1145" s="231"/>
      <c r="B1145" s="216">
        <v>763</v>
      </c>
      <c r="C1145" s="232">
        <v>43504</v>
      </c>
      <c r="D1145" s="233" t="s">
        <v>40</v>
      </c>
      <c r="E1145" s="216" t="s">
        <v>966</v>
      </c>
      <c r="F1145" s="216" t="s">
        <v>1073</v>
      </c>
      <c r="G1145" s="216">
        <v>0</v>
      </c>
      <c r="H1145" s="216" t="s">
        <v>40</v>
      </c>
      <c r="I1145" s="234"/>
      <c r="J1145" s="234"/>
      <c r="K1145" s="234" t="s">
        <v>40</v>
      </c>
      <c r="L1145" s="216" t="s">
        <v>0</v>
      </c>
      <c r="M1145" s="178">
        <v>1</v>
      </c>
      <c r="N1145" s="235">
        <v>40</v>
      </c>
      <c r="O1145" s="234">
        <v>40</v>
      </c>
      <c r="P1145" s="234"/>
      <c r="Q1145" s="180" t="str">
        <f>IF(PEDIDOS[[#This Row],[Valor do item pago]]=PEDIDOS[[#This Row],[Total Item ]],"PAGO", "")</f>
        <v/>
      </c>
    </row>
    <row r="1146" spans="1:17" s="216" customFormat="1" ht="39.950000000000003" customHeight="1" x14ac:dyDescent="0.25">
      <c r="A1146" s="231"/>
      <c r="B1146" s="216">
        <v>762</v>
      </c>
      <c r="C1146" s="232">
        <v>43504</v>
      </c>
      <c r="D1146" s="233" t="s">
        <v>44</v>
      </c>
      <c r="E1146" s="216" t="s">
        <v>374</v>
      </c>
      <c r="F1146" s="216" t="s">
        <v>313</v>
      </c>
      <c r="G1146" s="216" t="s">
        <v>107</v>
      </c>
      <c r="H1146" s="216" t="s">
        <v>402</v>
      </c>
      <c r="I1146" s="234" t="s">
        <v>658</v>
      </c>
      <c r="J1146" s="234"/>
      <c r="K1146" s="234"/>
      <c r="L1146" s="216" t="s">
        <v>1</v>
      </c>
      <c r="M1146" s="178">
        <v>1</v>
      </c>
      <c r="N1146" s="235">
        <v>40</v>
      </c>
      <c r="O1146" s="234">
        <v>40</v>
      </c>
      <c r="P1146" s="234"/>
      <c r="Q1146" s="180" t="str">
        <f>IF(PEDIDOS[[#This Row],[Valor do item pago]]=PEDIDOS[[#This Row],[Total Item ]],"PAGO", "")</f>
        <v/>
      </c>
    </row>
    <row r="1147" spans="1:17" s="216" customFormat="1" ht="39.950000000000003" customHeight="1" x14ac:dyDescent="0.25">
      <c r="A1147" s="231"/>
      <c r="B1147" s="216">
        <v>762</v>
      </c>
      <c r="C1147" s="232">
        <v>43504</v>
      </c>
      <c r="D1147" s="233" t="s">
        <v>44</v>
      </c>
      <c r="E1147" s="216" t="s">
        <v>374</v>
      </c>
      <c r="F1147" s="216" t="s">
        <v>313</v>
      </c>
      <c r="G1147" s="216" t="s">
        <v>107</v>
      </c>
      <c r="H1147" s="216" t="s">
        <v>402</v>
      </c>
      <c r="I1147" s="234" t="s">
        <v>658</v>
      </c>
      <c r="J1147" s="234"/>
      <c r="K1147" s="234"/>
      <c r="L1147" s="216" t="s">
        <v>0</v>
      </c>
      <c r="M1147" s="178">
        <v>1</v>
      </c>
      <c r="N1147" s="235">
        <v>40</v>
      </c>
      <c r="O1147" s="234">
        <v>40</v>
      </c>
      <c r="P1147" s="234"/>
      <c r="Q1147" s="180" t="str">
        <f>IF(PEDIDOS[[#This Row],[Valor do item pago]]=PEDIDOS[[#This Row],[Total Item ]],"PAGO", "")</f>
        <v/>
      </c>
    </row>
    <row r="1148" spans="1:17" s="216" customFormat="1" ht="39.950000000000003" customHeight="1" x14ac:dyDescent="0.25">
      <c r="A1148" s="231"/>
      <c r="B1148" s="216">
        <v>761</v>
      </c>
      <c r="C1148" s="232">
        <v>43504</v>
      </c>
      <c r="D1148" s="233" t="s">
        <v>44</v>
      </c>
      <c r="E1148" s="216" t="s">
        <v>25</v>
      </c>
      <c r="F1148" s="216" t="s">
        <v>291</v>
      </c>
      <c r="G1148" s="216" t="s">
        <v>330</v>
      </c>
      <c r="H1148" s="216" t="s">
        <v>406</v>
      </c>
      <c r="I1148" s="234" t="s">
        <v>329</v>
      </c>
      <c r="J1148" s="234" t="s">
        <v>1137</v>
      </c>
      <c r="K1148" s="234"/>
      <c r="L1148" s="216" t="s">
        <v>219</v>
      </c>
      <c r="M1148" s="178">
        <v>1</v>
      </c>
      <c r="N1148" s="235">
        <v>40</v>
      </c>
      <c r="O1148" s="234">
        <v>40</v>
      </c>
      <c r="P1148" s="234"/>
      <c r="Q1148" s="180" t="str">
        <f>IF(PEDIDOS[[#This Row],[Valor do item pago]]=PEDIDOS[[#This Row],[Total Item ]],"PAGO", "")</f>
        <v/>
      </c>
    </row>
    <row r="1149" spans="1:17" s="216" customFormat="1" ht="39.950000000000003" customHeight="1" x14ac:dyDescent="0.25">
      <c r="A1149" s="231"/>
      <c r="B1149" s="216">
        <v>760</v>
      </c>
      <c r="C1149" s="232">
        <v>43504</v>
      </c>
      <c r="D1149" s="233" t="s">
        <v>44</v>
      </c>
      <c r="E1149" s="216" t="s">
        <v>1134</v>
      </c>
      <c r="F1149" s="216" t="s">
        <v>1135</v>
      </c>
      <c r="G1149" s="216" t="s">
        <v>1136</v>
      </c>
      <c r="H1149" s="216" t="s">
        <v>549</v>
      </c>
      <c r="I1149" s="234" t="s">
        <v>1005</v>
      </c>
      <c r="J1149" s="234"/>
      <c r="K1149" s="234"/>
      <c r="L1149" s="216" t="s">
        <v>1</v>
      </c>
      <c r="M1149" s="178">
        <v>1</v>
      </c>
      <c r="N1149" s="235">
        <v>40</v>
      </c>
      <c r="O1149" s="234">
        <v>40</v>
      </c>
      <c r="P1149" s="234"/>
      <c r="Q1149" s="180" t="str">
        <f>IF(PEDIDOS[[#This Row],[Valor do item pago]]=PEDIDOS[[#This Row],[Total Item ]],"PAGO", "")</f>
        <v/>
      </c>
    </row>
    <row r="1150" spans="1:17" s="216" customFormat="1" ht="39.950000000000003" customHeight="1" x14ac:dyDescent="0.25">
      <c r="A1150" s="231"/>
      <c r="B1150" s="216">
        <v>760</v>
      </c>
      <c r="C1150" s="232">
        <v>43504</v>
      </c>
      <c r="D1150" s="233" t="s">
        <v>44</v>
      </c>
      <c r="E1150" s="216" t="s">
        <v>1134</v>
      </c>
      <c r="F1150" s="216" t="s">
        <v>1135</v>
      </c>
      <c r="G1150" s="216" t="s">
        <v>1136</v>
      </c>
      <c r="H1150" s="216" t="s">
        <v>549</v>
      </c>
      <c r="I1150" s="234" t="s">
        <v>1005</v>
      </c>
      <c r="J1150" s="234"/>
      <c r="K1150" s="234"/>
      <c r="L1150" s="216" t="s">
        <v>0</v>
      </c>
      <c r="M1150" s="178">
        <v>1</v>
      </c>
      <c r="N1150" s="235">
        <v>40</v>
      </c>
      <c r="O1150" s="234">
        <v>40</v>
      </c>
      <c r="P1150" s="234"/>
      <c r="Q1150" s="180" t="str">
        <f>IF(PEDIDOS[[#This Row],[Valor do item pago]]=PEDIDOS[[#This Row],[Total Item ]],"PAGO", "")</f>
        <v/>
      </c>
    </row>
    <row r="1151" spans="1:17" s="216" customFormat="1" ht="39.950000000000003" customHeight="1" x14ac:dyDescent="0.25">
      <c r="A1151" s="231"/>
      <c r="B1151" s="216">
        <v>759</v>
      </c>
      <c r="C1151" s="232">
        <v>43504</v>
      </c>
      <c r="D1151" s="233" t="s">
        <v>44</v>
      </c>
      <c r="E1151" s="216" t="s">
        <v>25</v>
      </c>
      <c r="F1151" s="216" t="s">
        <v>291</v>
      </c>
      <c r="G1151" s="216" t="s">
        <v>330</v>
      </c>
      <c r="H1151" s="216" t="s">
        <v>406</v>
      </c>
      <c r="I1151" s="234" t="s">
        <v>329</v>
      </c>
      <c r="J1151" s="234" t="s">
        <v>741</v>
      </c>
      <c r="K1151" s="234"/>
      <c r="L1151" s="216" t="s">
        <v>219</v>
      </c>
      <c r="M1151" s="178">
        <v>1</v>
      </c>
      <c r="N1151" s="235">
        <v>40</v>
      </c>
      <c r="O1151" s="234">
        <v>40</v>
      </c>
      <c r="P1151" s="234"/>
      <c r="Q1151" s="180" t="str">
        <f>IF(PEDIDOS[[#This Row],[Valor do item pago]]=PEDIDOS[[#This Row],[Total Item ]],"PAGO", "")</f>
        <v/>
      </c>
    </row>
    <row r="1152" spans="1:17" s="216" customFormat="1" ht="39.950000000000003" customHeight="1" x14ac:dyDescent="0.25">
      <c r="A1152" s="231"/>
      <c r="B1152" s="216">
        <v>758</v>
      </c>
      <c r="C1152" s="232">
        <v>43504</v>
      </c>
      <c r="D1152" s="233" t="s">
        <v>231</v>
      </c>
      <c r="E1152" s="216" t="s">
        <v>381</v>
      </c>
      <c r="F1152" s="216">
        <v>0</v>
      </c>
      <c r="G1152" s="216">
        <v>0</v>
      </c>
      <c r="H1152" s="216">
        <v>0</v>
      </c>
      <c r="I1152" s="234"/>
      <c r="J1152" s="234"/>
      <c r="K1152" s="234" t="s">
        <v>231</v>
      </c>
      <c r="L1152" s="216" t="s">
        <v>1</v>
      </c>
      <c r="M1152" s="178">
        <v>1</v>
      </c>
      <c r="N1152" s="235">
        <v>40</v>
      </c>
      <c r="O1152" s="234">
        <v>40</v>
      </c>
      <c r="P1152" s="234">
        <v>40</v>
      </c>
      <c r="Q1152" s="180" t="str">
        <f>IF(PEDIDOS[[#This Row],[Valor do item pago]]=PEDIDOS[[#This Row],[Total Item ]],"PAGO", "")</f>
        <v>PAGO</v>
      </c>
    </row>
    <row r="1153" spans="1:17" s="216" customFormat="1" ht="39.950000000000003" customHeight="1" x14ac:dyDescent="0.25">
      <c r="A1153" s="231"/>
      <c r="B1153" s="216">
        <v>757</v>
      </c>
      <c r="C1153" s="232">
        <v>43504</v>
      </c>
      <c r="D1153" s="233" t="s">
        <v>231</v>
      </c>
      <c r="E1153" s="216" t="s">
        <v>345</v>
      </c>
      <c r="F1153" s="216" t="s">
        <v>285</v>
      </c>
      <c r="G1153" s="216">
        <v>0</v>
      </c>
      <c r="H1153" s="216">
        <v>0</v>
      </c>
      <c r="I1153" s="234"/>
      <c r="J1153" s="234"/>
      <c r="K1153" s="234" t="s">
        <v>231</v>
      </c>
      <c r="L1153" s="216" t="s">
        <v>219</v>
      </c>
      <c r="M1153" s="178">
        <v>1</v>
      </c>
      <c r="N1153" s="235">
        <v>40</v>
      </c>
      <c r="O1153" s="234">
        <v>40</v>
      </c>
      <c r="P1153" s="234">
        <v>40</v>
      </c>
      <c r="Q1153" s="180" t="str">
        <f>IF(PEDIDOS[[#This Row],[Valor do item pago]]=PEDIDOS[[#This Row],[Total Item ]],"PAGO", "")</f>
        <v>PAGO</v>
      </c>
    </row>
    <row r="1154" spans="1:17" s="216" customFormat="1" ht="39.950000000000003" customHeight="1" x14ac:dyDescent="0.25">
      <c r="A1154" s="231"/>
      <c r="B1154" s="216">
        <v>757</v>
      </c>
      <c r="C1154" s="232">
        <v>43504</v>
      </c>
      <c r="D1154" s="233" t="s">
        <v>231</v>
      </c>
      <c r="E1154" s="216" t="s">
        <v>345</v>
      </c>
      <c r="F1154" s="216" t="s">
        <v>285</v>
      </c>
      <c r="G1154" s="216">
        <v>0</v>
      </c>
      <c r="H1154" s="216">
        <v>0</v>
      </c>
      <c r="I1154" s="234"/>
      <c r="J1154" s="234"/>
      <c r="K1154" s="234" t="s">
        <v>231</v>
      </c>
      <c r="L1154" s="216" t="s">
        <v>0</v>
      </c>
      <c r="M1154" s="178">
        <v>1</v>
      </c>
      <c r="N1154" s="235">
        <v>40</v>
      </c>
      <c r="O1154" s="234">
        <v>40</v>
      </c>
      <c r="P1154" s="234">
        <v>40</v>
      </c>
      <c r="Q1154" s="180" t="str">
        <f>IF(PEDIDOS[[#This Row],[Valor do item pago]]=PEDIDOS[[#This Row],[Total Item ]],"PAGO", "")</f>
        <v>PAGO</v>
      </c>
    </row>
    <row r="1155" spans="1:17" s="216" customFormat="1" ht="39.950000000000003" customHeight="1" x14ac:dyDescent="0.25">
      <c r="A1155" s="231"/>
      <c r="B1155" s="216">
        <v>756</v>
      </c>
      <c r="C1155" s="232">
        <v>43504</v>
      </c>
      <c r="D1155" s="233" t="s">
        <v>231</v>
      </c>
      <c r="E1155" s="216" t="s">
        <v>370</v>
      </c>
      <c r="F1155" s="216">
        <v>0</v>
      </c>
      <c r="G1155" s="216">
        <v>0</v>
      </c>
      <c r="H1155" s="216" t="s">
        <v>40</v>
      </c>
      <c r="I1155" s="234"/>
      <c r="J1155" s="234"/>
      <c r="K1155" s="234" t="s">
        <v>40</v>
      </c>
      <c r="L1155" s="216" t="s">
        <v>219</v>
      </c>
      <c r="M1155" s="178">
        <v>2</v>
      </c>
      <c r="N1155" s="235">
        <v>40</v>
      </c>
      <c r="O1155" s="234">
        <v>80</v>
      </c>
      <c r="P1155" s="234"/>
      <c r="Q1155" s="180" t="str">
        <f>IF(PEDIDOS[[#This Row],[Valor do item pago]]=PEDIDOS[[#This Row],[Total Item ]],"PAGO", "")</f>
        <v/>
      </c>
    </row>
    <row r="1156" spans="1:17" s="216" customFormat="1" ht="39.950000000000003" customHeight="1" x14ac:dyDescent="0.25">
      <c r="A1156" s="231"/>
      <c r="B1156" s="216">
        <v>755</v>
      </c>
      <c r="C1156" s="232">
        <v>43504</v>
      </c>
      <c r="D1156" s="233" t="s">
        <v>231</v>
      </c>
      <c r="E1156" s="216" t="s">
        <v>957</v>
      </c>
      <c r="F1156" s="216">
        <v>0</v>
      </c>
      <c r="G1156" s="216">
        <v>0</v>
      </c>
      <c r="H1156" s="216" t="s">
        <v>40</v>
      </c>
      <c r="I1156" s="234"/>
      <c r="J1156" s="234"/>
      <c r="K1156" s="234" t="s">
        <v>231</v>
      </c>
      <c r="L1156" s="216" t="s">
        <v>219</v>
      </c>
      <c r="M1156" s="178">
        <v>1</v>
      </c>
      <c r="N1156" s="235">
        <v>40</v>
      </c>
      <c r="O1156" s="234">
        <v>40</v>
      </c>
      <c r="P1156" s="234"/>
      <c r="Q1156" s="180" t="str">
        <f>IF(PEDIDOS[[#This Row],[Valor do item pago]]=PEDIDOS[[#This Row],[Total Item ]],"PAGO", "")</f>
        <v/>
      </c>
    </row>
    <row r="1157" spans="1:17" s="216" customFormat="1" ht="39.950000000000003" customHeight="1" x14ac:dyDescent="0.25">
      <c r="A1157" s="231"/>
      <c r="B1157" s="216">
        <v>754</v>
      </c>
      <c r="C1157" s="232">
        <v>43504</v>
      </c>
      <c r="D1157" s="233" t="s">
        <v>231</v>
      </c>
      <c r="E1157" s="216" t="s">
        <v>362</v>
      </c>
      <c r="F1157" s="216">
        <v>0</v>
      </c>
      <c r="G1157" s="216" t="s">
        <v>186</v>
      </c>
      <c r="H1157" s="216" t="s">
        <v>398</v>
      </c>
      <c r="I1157" s="234" t="s">
        <v>431</v>
      </c>
      <c r="J1157" s="234"/>
      <c r="K1157" s="234" t="s">
        <v>40</v>
      </c>
      <c r="L1157" s="216" t="s">
        <v>219</v>
      </c>
      <c r="M1157" s="178">
        <v>1</v>
      </c>
      <c r="N1157" s="235">
        <v>40</v>
      </c>
      <c r="O1157" s="234">
        <v>40</v>
      </c>
      <c r="P1157" s="234"/>
      <c r="Q1157" s="180" t="str">
        <f>IF(PEDIDOS[[#This Row],[Valor do item pago]]=PEDIDOS[[#This Row],[Total Item ]],"PAGO", "")</f>
        <v/>
      </c>
    </row>
    <row r="1158" spans="1:17" s="216" customFormat="1" ht="39.950000000000003" customHeight="1" x14ac:dyDescent="0.25">
      <c r="A1158" s="231"/>
      <c r="B1158" s="216">
        <v>754</v>
      </c>
      <c r="C1158" s="232">
        <v>43504</v>
      </c>
      <c r="D1158" s="233" t="s">
        <v>231</v>
      </c>
      <c r="E1158" s="216" t="s">
        <v>362</v>
      </c>
      <c r="F1158" s="216">
        <v>0</v>
      </c>
      <c r="G1158" s="216" t="s">
        <v>186</v>
      </c>
      <c r="H1158" s="216" t="s">
        <v>398</v>
      </c>
      <c r="I1158" s="234" t="s">
        <v>431</v>
      </c>
      <c r="J1158" s="234"/>
      <c r="K1158" s="234" t="s">
        <v>40</v>
      </c>
      <c r="L1158" s="216" t="s">
        <v>0</v>
      </c>
      <c r="M1158" s="178">
        <v>1</v>
      </c>
      <c r="N1158" s="235">
        <v>40</v>
      </c>
      <c r="O1158" s="234">
        <v>40</v>
      </c>
      <c r="P1158" s="234"/>
      <c r="Q1158" s="180" t="str">
        <f>IF(PEDIDOS[[#This Row],[Valor do item pago]]=PEDIDOS[[#This Row],[Total Item ]],"PAGO", "")</f>
        <v/>
      </c>
    </row>
    <row r="1159" spans="1:17" s="216" customFormat="1" ht="39.950000000000003" customHeight="1" x14ac:dyDescent="0.25">
      <c r="A1159" s="231"/>
      <c r="B1159" s="216">
        <v>753</v>
      </c>
      <c r="C1159" s="232">
        <v>43504</v>
      </c>
      <c r="D1159" s="233" t="s">
        <v>231</v>
      </c>
      <c r="E1159" s="216" t="s">
        <v>90</v>
      </c>
      <c r="F1159" s="216" t="s">
        <v>806</v>
      </c>
      <c r="G1159" s="216">
        <v>0</v>
      </c>
      <c r="H1159" s="216" t="s">
        <v>40</v>
      </c>
      <c r="I1159" s="234"/>
      <c r="J1159" s="234"/>
      <c r="K1159" s="234" t="s">
        <v>40</v>
      </c>
      <c r="L1159" s="216" t="s">
        <v>219</v>
      </c>
      <c r="M1159" s="178">
        <v>3</v>
      </c>
      <c r="N1159" s="235">
        <v>40</v>
      </c>
      <c r="O1159" s="234">
        <v>120</v>
      </c>
      <c r="P1159" s="234"/>
      <c r="Q1159" s="180" t="str">
        <f>IF(PEDIDOS[[#This Row],[Valor do item pago]]=PEDIDOS[[#This Row],[Total Item ]],"PAGO", "")</f>
        <v/>
      </c>
    </row>
    <row r="1160" spans="1:17" s="216" customFormat="1" ht="39.950000000000003" customHeight="1" x14ac:dyDescent="0.25">
      <c r="A1160" s="231"/>
      <c r="B1160" s="216">
        <v>752</v>
      </c>
      <c r="C1160" s="232">
        <v>43504</v>
      </c>
      <c r="D1160" s="233" t="s">
        <v>231</v>
      </c>
      <c r="E1160" s="216" t="s">
        <v>356</v>
      </c>
      <c r="F1160" s="216" t="s">
        <v>700</v>
      </c>
      <c r="G1160" s="216" t="s">
        <v>699</v>
      </c>
      <c r="H1160" s="216" t="s">
        <v>701</v>
      </c>
      <c r="I1160" s="234" t="s">
        <v>702</v>
      </c>
      <c r="J1160" s="234"/>
      <c r="K1160" s="234"/>
      <c r="L1160" s="216" t="s">
        <v>219</v>
      </c>
      <c r="M1160" s="178">
        <v>1</v>
      </c>
      <c r="N1160" s="235">
        <v>40</v>
      </c>
      <c r="O1160" s="234">
        <v>40</v>
      </c>
      <c r="P1160" s="234"/>
      <c r="Q1160" s="180" t="str">
        <f>IF(PEDIDOS[[#This Row],[Valor do item pago]]=PEDIDOS[[#This Row],[Total Item ]],"PAGO", "")</f>
        <v/>
      </c>
    </row>
    <row r="1161" spans="1:17" s="216" customFormat="1" ht="39.950000000000003" customHeight="1" x14ac:dyDescent="0.25">
      <c r="A1161" s="231"/>
      <c r="B1161" s="216">
        <v>751</v>
      </c>
      <c r="C1161" s="232">
        <v>43504</v>
      </c>
      <c r="D1161" s="233" t="s">
        <v>231</v>
      </c>
      <c r="E1161" s="216" t="s">
        <v>346</v>
      </c>
      <c r="F1161" s="216" t="s">
        <v>286</v>
      </c>
      <c r="G1161" s="216" t="s">
        <v>595</v>
      </c>
      <c r="H1161" s="216" t="s">
        <v>512</v>
      </c>
      <c r="I1161" s="234" t="s">
        <v>655</v>
      </c>
      <c r="J1161" s="234"/>
      <c r="K1161" s="234"/>
      <c r="L1161" s="216" t="s">
        <v>219</v>
      </c>
      <c r="M1161" s="178">
        <v>1</v>
      </c>
      <c r="N1161" s="235">
        <v>40</v>
      </c>
      <c r="O1161" s="234">
        <v>40</v>
      </c>
      <c r="P1161" s="234"/>
      <c r="Q1161" s="180" t="str">
        <f>IF(PEDIDOS[[#This Row],[Valor do item pago]]=PEDIDOS[[#This Row],[Total Item ]],"PAGO", "")</f>
        <v/>
      </c>
    </row>
    <row r="1162" spans="1:17" s="216" customFormat="1" ht="39.950000000000003" customHeight="1" x14ac:dyDescent="0.25">
      <c r="A1162" s="231"/>
      <c r="B1162" s="216">
        <v>749</v>
      </c>
      <c r="C1162" s="232">
        <v>43504</v>
      </c>
      <c r="D1162" s="233" t="s">
        <v>40</v>
      </c>
      <c r="E1162" s="216" t="s">
        <v>1132</v>
      </c>
      <c r="F1162" s="216">
        <v>0</v>
      </c>
      <c r="G1162" s="216" t="s">
        <v>1133</v>
      </c>
      <c r="H1162" s="216" t="s">
        <v>398</v>
      </c>
      <c r="I1162" s="234" t="s">
        <v>990</v>
      </c>
      <c r="J1162" s="234"/>
      <c r="K1162" s="234" t="s">
        <v>40</v>
      </c>
      <c r="L1162" s="216" t="s">
        <v>219</v>
      </c>
      <c r="M1162" s="178">
        <v>1</v>
      </c>
      <c r="N1162" s="235">
        <v>40</v>
      </c>
      <c r="O1162" s="234">
        <v>40</v>
      </c>
      <c r="P1162" s="234"/>
      <c r="Q1162" s="180" t="str">
        <f>IF(PEDIDOS[[#This Row],[Valor do item pago]]=PEDIDOS[[#This Row],[Total Item ]],"PAGO", "")</f>
        <v/>
      </c>
    </row>
    <row r="1163" spans="1:17" s="216" customFormat="1" ht="39.950000000000003" customHeight="1" x14ac:dyDescent="0.25">
      <c r="A1163" s="231"/>
      <c r="B1163" s="216">
        <v>749</v>
      </c>
      <c r="C1163" s="232">
        <v>43504</v>
      </c>
      <c r="D1163" s="233" t="s">
        <v>40</v>
      </c>
      <c r="E1163" s="216" t="s">
        <v>1132</v>
      </c>
      <c r="F1163" s="216">
        <v>0</v>
      </c>
      <c r="G1163" s="216" t="s">
        <v>1133</v>
      </c>
      <c r="H1163" s="216" t="s">
        <v>398</v>
      </c>
      <c r="I1163" s="234" t="s">
        <v>990</v>
      </c>
      <c r="J1163" s="234"/>
      <c r="K1163" s="234" t="s">
        <v>40</v>
      </c>
      <c r="L1163" s="216" t="s">
        <v>0</v>
      </c>
      <c r="M1163" s="178">
        <v>1</v>
      </c>
      <c r="N1163" s="235">
        <v>40</v>
      </c>
      <c r="O1163" s="234">
        <v>40</v>
      </c>
      <c r="P1163" s="234"/>
      <c r="Q1163" s="180" t="str">
        <f>IF(PEDIDOS[[#This Row],[Valor do item pago]]=PEDIDOS[[#This Row],[Total Item ]],"PAGO", "")</f>
        <v/>
      </c>
    </row>
    <row r="1164" spans="1:17" s="216" customFormat="1" ht="39.950000000000003" customHeight="1" x14ac:dyDescent="0.25">
      <c r="A1164" s="231"/>
      <c r="B1164" s="216">
        <v>748</v>
      </c>
      <c r="C1164" s="232">
        <v>43504</v>
      </c>
      <c r="D1164" s="233" t="s">
        <v>40</v>
      </c>
      <c r="E1164" s="216" t="s">
        <v>204</v>
      </c>
      <c r="F1164" s="216" t="s">
        <v>279</v>
      </c>
      <c r="G1164" s="216">
        <v>0</v>
      </c>
      <c r="H1164" s="216">
        <v>0</v>
      </c>
      <c r="I1164" s="234"/>
      <c r="J1164" s="234"/>
      <c r="K1164" s="234" t="s">
        <v>40</v>
      </c>
      <c r="L1164" s="216" t="s">
        <v>3</v>
      </c>
      <c r="M1164" s="178">
        <v>2</v>
      </c>
      <c r="N1164" s="235">
        <v>40</v>
      </c>
      <c r="O1164" s="234">
        <v>80</v>
      </c>
      <c r="P1164" s="234"/>
      <c r="Q1164" s="180" t="str">
        <f>IF(PEDIDOS[[#This Row],[Valor do item pago]]=PEDIDOS[[#This Row],[Total Item ]],"PAGO", "")</f>
        <v/>
      </c>
    </row>
    <row r="1165" spans="1:17" s="216" customFormat="1" ht="39.950000000000003" customHeight="1" x14ac:dyDescent="0.25">
      <c r="A1165" s="231"/>
      <c r="B1165" s="216">
        <v>747</v>
      </c>
      <c r="C1165" s="232">
        <v>43504</v>
      </c>
      <c r="D1165" s="233" t="s">
        <v>40</v>
      </c>
      <c r="E1165" s="216" t="s">
        <v>13</v>
      </c>
      <c r="F1165" s="216">
        <v>0</v>
      </c>
      <c r="G1165" s="216">
        <v>0</v>
      </c>
      <c r="H1165" s="216">
        <v>0</v>
      </c>
      <c r="I1165" s="234"/>
      <c r="J1165" s="234"/>
      <c r="K1165" s="234" t="s">
        <v>40</v>
      </c>
      <c r="L1165" s="216" t="s">
        <v>3</v>
      </c>
      <c r="M1165" s="178">
        <v>1</v>
      </c>
      <c r="N1165" s="235">
        <v>40</v>
      </c>
      <c r="O1165" s="234">
        <v>40</v>
      </c>
      <c r="P1165" s="234"/>
      <c r="Q1165" s="180" t="str">
        <f>IF(PEDIDOS[[#This Row],[Valor do item pago]]=PEDIDOS[[#This Row],[Total Item ]],"PAGO", "")</f>
        <v/>
      </c>
    </row>
    <row r="1166" spans="1:17" s="216" customFormat="1" ht="39.950000000000003" customHeight="1" x14ac:dyDescent="0.25">
      <c r="A1166" s="231"/>
      <c r="B1166" s="216">
        <v>747</v>
      </c>
      <c r="C1166" s="232">
        <v>43504</v>
      </c>
      <c r="D1166" s="233" t="s">
        <v>40</v>
      </c>
      <c r="E1166" s="216" t="s">
        <v>13</v>
      </c>
      <c r="F1166" s="216">
        <v>0</v>
      </c>
      <c r="G1166" s="216">
        <v>0</v>
      </c>
      <c r="H1166" s="216">
        <v>0</v>
      </c>
      <c r="I1166" s="234"/>
      <c r="J1166" s="234"/>
      <c r="K1166" s="234" t="s">
        <v>40</v>
      </c>
      <c r="L1166" s="216" t="s">
        <v>219</v>
      </c>
      <c r="M1166" s="178">
        <v>1</v>
      </c>
      <c r="N1166" s="235">
        <v>40</v>
      </c>
      <c r="O1166" s="234">
        <v>40</v>
      </c>
      <c r="P1166" s="234"/>
      <c r="Q1166" s="180" t="str">
        <f>IF(PEDIDOS[[#This Row],[Valor do item pago]]=PEDIDOS[[#This Row],[Total Item ]],"PAGO", "")</f>
        <v/>
      </c>
    </row>
    <row r="1167" spans="1:17" s="216" customFormat="1" ht="39.950000000000003" customHeight="1" x14ac:dyDescent="0.25">
      <c r="A1167" s="231"/>
      <c r="B1167" s="216">
        <v>746</v>
      </c>
      <c r="C1167" s="232">
        <v>43504</v>
      </c>
      <c r="D1167" s="233" t="s">
        <v>48</v>
      </c>
      <c r="E1167" s="216" t="s">
        <v>211</v>
      </c>
      <c r="F1167" s="216" t="s">
        <v>293</v>
      </c>
      <c r="G1167" s="216" t="s">
        <v>82</v>
      </c>
      <c r="H1167" s="216" t="s">
        <v>390</v>
      </c>
      <c r="I1167" s="234" t="s">
        <v>252</v>
      </c>
      <c r="J1167" s="234"/>
      <c r="K1167" s="234"/>
      <c r="L1167" s="216" t="s">
        <v>219</v>
      </c>
      <c r="M1167" s="178">
        <v>1</v>
      </c>
      <c r="N1167" s="235">
        <v>40</v>
      </c>
      <c r="O1167" s="234">
        <v>40</v>
      </c>
      <c r="P1167" s="234"/>
      <c r="Q1167" s="180" t="str">
        <f>IF(PEDIDOS[[#This Row],[Valor do item pago]]=PEDIDOS[[#This Row],[Total Item ]],"PAGO", "")</f>
        <v/>
      </c>
    </row>
    <row r="1168" spans="1:17" s="216" customFormat="1" ht="39.950000000000003" customHeight="1" x14ac:dyDescent="0.25">
      <c r="A1168" s="231"/>
      <c r="B1168" s="216">
        <v>745</v>
      </c>
      <c r="C1168" s="232">
        <v>43504</v>
      </c>
      <c r="D1168" s="233" t="s">
        <v>48</v>
      </c>
      <c r="E1168" s="216" t="s">
        <v>610</v>
      </c>
      <c r="F1168" s="216" t="s">
        <v>319</v>
      </c>
      <c r="G1168" s="216" t="s">
        <v>455</v>
      </c>
      <c r="H1168" s="216" t="s">
        <v>396</v>
      </c>
      <c r="I1168" s="234" t="s">
        <v>454</v>
      </c>
      <c r="J1168" s="234"/>
      <c r="K1168" s="234"/>
      <c r="L1168" s="216" t="s">
        <v>3</v>
      </c>
      <c r="M1168" s="178">
        <v>2</v>
      </c>
      <c r="N1168" s="235">
        <v>40</v>
      </c>
      <c r="O1168" s="234">
        <v>80</v>
      </c>
      <c r="P1168" s="234">
        <v>80</v>
      </c>
      <c r="Q1168" s="180" t="str">
        <f>IF(PEDIDOS[[#This Row],[Valor do item pago]]=PEDIDOS[[#This Row],[Total Item ]],"PAGO", "")</f>
        <v>PAGO</v>
      </c>
    </row>
    <row r="1169" spans="1:17" s="216" customFormat="1" ht="39.950000000000003" customHeight="1" x14ac:dyDescent="0.25">
      <c r="A1169" s="231"/>
      <c r="B1169" s="216">
        <v>744</v>
      </c>
      <c r="C1169" s="232">
        <v>43504</v>
      </c>
      <c r="D1169" s="233" t="s">
        <v>49</v>
      </c>
      <c r="E1169" s="216" t="s">
        <v>615</v>
      </c>
      <c r="F1169" s="216" t="s">
        <v>324</v>
      </c>
      <c r="G1169" s="216" t="s">
        <v>616</v>
      </c>
      <c r="H1169" s="216" t="s">
        <v>523</v>
      </c>
      <c r="I1169" s="234" t="s">
        <v>735</v>
      </c>
      <c r="J1169" s="234"/>
      <c r="K1169" s="234"/>
      <c r="L1169" s="216" t="s">
        <v>3</v>
      </c>
      <c r="M1169" s="178">
        <v>1</v>
      </c>
      <c r="N1169" s="235">
        <v>40</v>
      </c>
      <c r="O1169" s="234">
        <v>40</v>
      </c>
      <c r="P1169" s="234">
        <v>40</v>
      </c>
      <c r="Q1169" s="180" t="str">
        <f>IF(PEDIDOS[[#This Row],[Valor do item pago]]=PEDIDOS[[#This Row],[Total Item ]],"PAGO", "")</f>
        <v>PAGO</v>
      </c>
    </row>
    <row r="1170" spans="1:17" s="216" customFormat="1" ht="39.950000000000003" customHeight="1" x14ac:dyDescent="0.25">
      <c r="A1170" s="231"/>
      <c r="B1170" s="216">
        <v>744</v>
      </c>
      <c r="C1170" s="232">
        <v>43504</v>
      </c>
      <c r="D1170" s="233" t="s">
        <v>49</v>
      </c>
      <c r="E1170" s="216" t="s">
        <v>615</v>
      </c>
      <c r="F1170" s="216" t="s">
        <v>324</v>
      </c>
      <c r="G1170" s="216" t="s">
        <v>616</v>
      </c>
      <c r="H1170" s="216" t="s">
        <v>523</v>
      </c>
      <c r="I1170" s="234" t="s">
        <v>735</v>
      </c>
      <c r="J1170" s="234"/>
      <c r="K1170" s="234"/>
      <c r="L1170" s="216" t="s">
        <v>1</v>
      </c>
      <c r="M1170" s="178">
        <v>1</v>
      </c>
      <c r="N1170" s="235">
        <v>40</v>
      </c>
      <c r="O1170" s="234">
        <v>40</v>
      </c>
      <c r="P1170" s="234">
        <v>40</v>
      </c>
      <c r="Q1170" s="180" t="str">
        <f>IF(PEDIDOS[[#This Row],[Valor do item pago]]=PEDIDOS[[#This Row],[Total Item ]],"PAGO", "")</f>
        <v>PAGO</v>
      </c>
    </row>
    <row r="1171" spans="1:17" s="216" customFormat="1" ht="39.950000000000003" customHeight="1" x14ac:dyDescent="0.25">
      <c r="A1171" s="231"/>
      <c r="B1171" s="216">
        <v>743</v>
      </c>
      <c r="C1171" s="232">
        <v>43504</v>
      </c>
      <c r="D1171" s="233" t="s">
        <v>49</v>
      </c>
      <c r="E1171" s="216" t="s">
        <v>614</v>
      </c>
      <c r="F1171" s="216" t="s">
        <v>289</v>
      </c>
      <c r="G1171" s="216" t="s">
        <v>72</v>
      </c>
      <c r="H1171" s="216" t="s">
        <v>393</v>
      </c>
      <c r="I1171" s="234" t="s">
        <v>423</v>
      </c>
      <c r="J1171" s="234"/>
      <c r="K1171" s="234"/>
      <c r="L1171" s="216" t="s">
        <v>219</v>
      </c>
      <c r="M1171" s="178">
        <v>1</v>
      </c>
      <c r="N1171" s="235">
        <v>40</v>
      </c>
      <c r="O1171" s="234">
        <v>40</v>
      </c>
      <c r="P1171" s="234">
        <v>40</v>
      </c>
      <c r="Q1171" s="180" t="str">
        <f>IF(PEDIDOS[[#This Row],[Valor do item pago]]=PEDIDOS[[#This Row],[Total Item ]],"PAGO", "")</f>
        <v>PAGO</v>
      </c>
    </row>
    <row r="1172" spans="1:17" s="216" customFormat="1" ht="39.950000000000003" customHeight="1" x14ac:dyDescent="0.25">
      <c r="A1172" s="231"/>
      <c r="B1172" s="216">
        <v>742</v>
      </c>
      <c r="C1172" s="232">
        <v>43504</v>
      </c>
      <c r="D1172" s="233" t="s">
        <v>49</v>
      </c>
      <c r="E1172" s="216" t="s">
        <v>611</v>
      </c>
      <c r="F1172" s="216" t="s">
        <v>276</v>
      </c>
      <c r="G1172" s="216" t="s">
        <v>66</v>
      </c>
      <c r="H1172" s="216" t="s">
        <v>390</v>
      </c>
      <c r="I1172" s="234" t="s">
        <v>253</v>
      </c>
      <c r="J1172" s="234"/>
      <c r="K1172" s="234"/>
      <c r="L1172" s="216" t="s">
        <v>3</v>
      </c>
      <c r="M1172" s="178">
        <v>1</v>
      </c>
      <c r="N1172" s="235">
        <v>40</v>
      </c>
      <c r="O1172" s="234">
        <v>40</v>
      </c>
      <c r="P1172" s="234"/>
      <c r="Q1172" s="180" t="str">
        <f>IF(PEDIDOS[[#This Row],[Valor do item pago]]=PEDIDOS[[#This Row],[Total Item ]],"PAGO", "")</f>
        <v/>
      </c>
    </row>
    <row r="1173" spans="1:17" s="216" customFormat="1" ht="39.950000000000003" customHeight="1" x14ac:dyDescent="0.25">
      <c r="A1173" s="231"/>
      <c r="B1173" s="216">
        <v>741</v>
      </c>
      <c r="C1173" s="232">
        <v>43504</v>
      </c>
      <c r="D1173" s="233" t="s">
        <v>45</v>
      </c>
      <c r="E1173" s="216" t="s">
        <v>922</v>
      </c>
      <c r="F1173" s="216" t="s">
        <v>930</v>
      </c>
      <c r="G1173" s="216">
        <v>0</v>
      </c>
      <c r="H1173" s="216" t="s">
        <v>40</v>
      </c>
      <c r="I1173" s="234"/>
      <c r="J1173" s="234"/>
      <c r="K1173" s="234" t="s">
        <v>40</v>
      </c>
      <c r="L1173" s="216" t="s">
        <v>219</v>
      </c>
      <c r="M1173" s="178">
        <v>1</v>
      </c>
      <c r="N1173" s="235">
        <v>40</v>
      </c>
      <c r="O1173" s="234">
        <v>40</v>
      </c>
      <c r="P1173" s="234"/>
      <c r="Q1173" s="180" t="str">
        <f>IF(PEDIDOS[[#This Row],[Valor do item pago]]=PEDIDOS[[#This Row],[Total Item ]],"PAGO", "")</f>
        <v/>
      </c>
    </row>
    <row r="1174" spans="1:17" s="216" customFormat="1" ht="39.950000000000003" customHeight="1" x14ac:dyDescent="0.25">
      <c r="A1174" s="231"/>
      <c r="B1174" s="216">
        <v>740</v>
      </c>
      <c r="C1174" s="232">
        <v>43504</v>
      </c>
      <c r="D1174" s="233" t="s">
        <v>229</v>
      </c>
      <c r="E1174" s="216" t="s">
        <v>50</v>
      </c>
      <c r="F1174" s="216">
        <v>0</v>
      </c>
      <c r="G1174" s="216">
        <v>0</v>
      </c>
      <c r="H1174" s="216">
        <v>0</v>
      </c>
      <c r="I1174" s="234"/>
      <c r="J1174" s="234"/>
      <c r="K1174" s="234" t="s">
        <v>229</v>
      </c>
      <c r="L1174" s="216" t="s">
        <v>3</v>
      </c>
      <c r="M1174" s="178">
        <v>3</v>
      </c>
      <c r="N1174" s="235">
        <v>40</v>
      </c>
      <c r="O1174" s="234">
        <v>120</v>
      </c>
      <c r="P1174" s="234"/>
      <c r="Q1174" s="180" t="str">
        <f>IF(PEDIDOS[[#This Row],[Valor do item pago]]=PEDIDOS[[#This Row],[Total Item ]],"PAGO", "")</f>
        <v/>
      </c>
    </row>
    <row r="1175" spans="1:17" s="216" customFormat="1" ht="39.950000000000003" customHeight="1" x14ac:dyDescent="0.25">
      <c r="A1175" s="231"/>
      <c r="B1175" s="216">
        <v>740</v>
      </c>
      <c r="C1175" s="232">
        <v>43504</v>
      </c>
      <c r="D1175" s="233" t="s">
        <v>229</v>
      </c>
      <c r="E1175" s="216" t="s">
        <v>50</v>
      </c>
      <c r="F1175" s="216">
        <v>0</v>
      </c>
      <c r="G1175" s="216">
        <v>0</v>
      </c>
      <c r="H1175" s="216">
        <v>0</v>
      </c>
      <c r="I1175" s="234"/>
      <c r="J1175" s="234"/>
      <c r="K1175" s="234" t="s">
        <v>229</v>
      </c>
      <c r="L1175" s="216" t="s">
        <v>219</v>
      </c>
      <c r="M1175" s="178">
        <v>2</v>
      </c>
      <c r="N1175" s="235">
        <v>40</v>
      </c>
      <c r="O1175" s="234">
        <v>80</v>
      </c>
      <c r="P1175" s="234"/>
      <c r="Q1175" s="180" t="str">
        <f>IF(PEDIDOS[[#This Row],[Valor do item pago]]=PEDIDOS[[#This Row],[Total Item ]],"PAGO", "")</f>
        <v/>
      </c>
    </row>
    <row r="1176" spans="1:17" s="216" customFormat="1" ht="39.950000000000003" customHeight="1" x14ac:dyDescent="0.25">
      <c r="A1176" s="231"/>
      <c r="B1176" s="216">
        <v>740</v>
      </c>
      <c r="C1176" s="232">
        <v>43504</v>
      </c>
      <c r="D1176" s="233" t="s">
        <v>229</v>
      </c>
      <c r="E1176" s="216" t="s">
        <v>50</v>
      </c>
      <c r="F1176" s="216">
        <v>0</v>
      </c>
      <c r="G1176" s="216">
        <v>0</v>
      </c>
      <c r="H1176" s="216">
        <v>0</v>
      </c>
      <c r="I1176" s="234"/>
      <c r="J1176" s="234"/>
      <c r="K1176" s="234" t="s">
        <v>229</v>
      </c>
      <c r="L1176" s="216" t="s">
        <v>1</v>
      </c>
      <c r="M1176" s="178">
        <v>2</v>
      </c>
      <c r="N1176" s="235">
        <v>40</v>
      </c>
      <c r="O1176" s="234">
        <v>80</v>
      </c>
      <c r="P1176" s="234"/>
      <c r="Q1176" s="180" t="str">
        <f>IF(PEDIDOS[[#This Row],[Valor do item pago]]=PEDIDOS[[#This Row],[Total Item ]],"PAGO", "")</f>
        <v/>
      </c>
    </row>
    <row r="1177" spans="1:17" s="216" customFormat="1" ht="39.950000000000003" customHeight="1" x14ac:dyDescent="0.25">
      <c r="A1177" s="231"/>
      <c r="B1177" s="216">
        <v>740</v>
      </c>
      <c r="C1177" s="232">
        <v>43504</v>
      </c>
      <c r="D1177" s="233" t="s">
        <v>229</v>
      </c>
      <c r="E1177" s="216" t="s">
        <v>50</v>
      </c>
      <c r="F1177" s="216">
        <v>0</v>
      </c>
      <c r="G1177" s="216">
        <v>0</v>
      </c>
      <c r="H1177" s="216">
        <v>0</v>
      </c>
      <c r="I1177" s="234"/>
      <c r="J1177" s="234"/>
      <c r="K1177" s="234" t="s">
        <v>229</v>
      </c>
      <c r="L1177" s="216" t="s">
        <v>0</v>
      </c>
      <c r="M1177" s="178">
        <v>1</v>
      </c>
      <c r="N1177" s="235">
        <v>40</v>
      </c>
      <c r="O1177" s="234">
        <v>40</v>
      </c>
      <c r="P1177" s="234"/>
      <c r="Q1177" s="180" t="str">
        <f>IF(PEDIDOS[[#This Row],[Valor do item pago]]=PEDIDOS[[#This Row],[Total Item ]],"PAGO", "")</f>
        <v/>
      </c>
    </row>
    <row r="1178" spans="1:17" s="216" customFormat="1" ht="39.950000000000003" customHeight="1" x14ac:dyDescent="0.25">
      <c r="A1178" s="231"/>
      <c r="B1178" s="216">
        <v>739</v>
      </c>
      <c r="C1178" s="232">
        <v>43441</v>
      </c>
      <c r="D1178" s="233" t="s">
        <v>477</v>
      </c>
      <c r="E1178" s="216" t="s">
        <v>1126</v>
      </c>
      <c r="F1178" s="216" t="s">
        <v>1127</v>
      </c>
      <c r="G1178" s="216" t="s">
        <v>1128</v>
      </c>
      <c r="H1178" s="216" t="s">
        <v>125</v>
      </c>
      <c r="I1178" s="234"/>
      <c r="J1178" s="234"/>
      <c r="K1178" s="234"/>
      <c r="L1178" s="216" t="s">
        <v>219</v>
      </c>
      <c r="M1178" s="178">
        <v>1</v>
      </c>
      <c r="N1178" s="235">
        <v>30</v>
      </c>
      <c r="O1178" s="234">
        <v>30</v>
      </c>
      <c r="P1178" s="234">
        <v>30</v>
      </c>
      <c r="Q1178" s="180" t="str">
        <f>IF(PEDIDOS[[#This Row],[Valor do item pago]]=PEDIDOS[[#This Row],[Total Item ]],"PAGO", "")</f>
        <v>PAGO</v>
      </c>
    </row>
    <row r="1179" spans="1:17" s="216" customFormat="1" ht="39.950000000000003" customHeight="1" x14ac:dyDescent="0.25">
      <c r="A1179" s="231"/>
      <c r="B1179" s="216">
        <v>738</v>
      </c>
      <c r="C1179" s="232">
        <v>43441</v>
      </c>
      <c r="D1179" s="233" t="s">
        <v>477</v>
      </c>
      <c r="E1179" s="216" t="s">
        <v>1124</v>
      </c>
      <c r="F1179" s="216" t="s">
        <v>1125</v>
      </c>
      <c r="G1179" s="216" t="s">
        <v>1129</v>
      </c>
      <c r="H1179" s="216" t="s">
        <v>459</v>
      </c>
      <c r="I1179" s="234"/>
      <c r="J1179" s="234"/>
      <c r="K1179" s="234"/>
      <c r="L1179" s="216" t="s">
        <v>219</v>
      </c>
      <c r="M1179" s="178">
        <v>1</v>
      </c>
      <c r="N1179" s="235">
        <v>30</v>
      </c>
      <c r="O1179" s="234">
        <v>30</v>
      </c>
      <c r="P1179" s="234">
        <v>30</v>
      </c>
      <c r="Q1179" s="180" t="str">
        <f>IF(PEDIDOS[[#This Row],[Valor do item pago]]=PEDIDOS[[#This Row],[Total Item ]],"PAGO", "")</f>
        <v>PAGO</v>
      </c>
    </row>
    <row r="1180" spans="1:17" s="216" customFormat="1" ht="39.950000000000003" customHeight="1" x14ac:dyDescent="0.25">
      <c r="A1180" s="231"/>
      <c r="B1180" s="216">
        <v>737</v>
      </c>
      <c r="C1180" s="232">
        <v>43441</v>
      </c>
      <c r="D1180" s="233" t="s">
        <v>477</v>
      </c>
      <c r="E1180" s="216" t="s">
        <v>1087</v>
      </c>
      <c r="F1180" s="216" t="s">
        <v>1088</v>
      </c>
      <c r="G1180" s="216" t="s">
        <v>1089</v>
      </c>
      <c r="H1180" s="216" t="s">
        <v>570</v>
      </c>
      <c r="I1180" s="234" t="s">
        <v>1090</v>
      </c>
      <c r="J1180" s="234" t="s">
        <v>1095</v>
      </c>
      <c r="K1180" s="234"/>
      <c r="L1180" s="216" t="s">
        <v>219</v>
      </c>
      <c r="M1180" s="178">
        <v>1</v>
      </c>
      <c r="N1180" s="235">
        <v>30</v>
      </c>
      <c r="O1180" s="234">
        <v>30</v>
      </c>
      <c r="P1180" s="234">
        <v>30</v>
      </c>
      <c r="Q1180" s="180" t="str">
        <f>IF(PEDIDOS[[#This Row],[Valor do item pago]]=PEDIDOS[[#This Row],[Total Item ]],"PAGO", "")</f>
        <v>PAGO</v>
      </c>
    </row>
    <row r="1181" spans="1:17" s="216" customFormat="1" ht="39.950000000000003" customHeight="1" x14ac:dyDescent="0.25">
      <c r="A1181" s="231"/>
      <c r="B1181" s="216">
        <v>736</v>
      </c>
      <c r="C1181" s="232">
        <v>43441</v>
      </c>
      <c r="D1181" s="233" t="s">
        <v>477</v>
      </c>
      <c r="E1181" s="216" t="s">
        <v>840</v>
      </c>
      <c r="F1181" s="216" t="s">
        <v>839</v>
      </c>
      <c r="G1181" s="216" t="s">
        <v>1130</v>
      </c>
      <c r="H1181" s="216" t="s">
        <v>1131</v>
      </c>
      <c r="I1181" s="234"/>
      <c r="J1181" s="234"/>
      <c r="K1181" s="234"/>
      <c r="L1181" s="216" t="s">
        <v>219</v>
      </c>
      <c r="M1181" s="178">
        <v>2</v>
      </c>
      <c r="N1181" s="235">
        <v>30</v>
      </c>
      <c r="O1181" s="234">
        <v>60</v>
      </c>
      <c r="P1181" s="234">
        <v>60</v>
      </c>
      <c r="Q1181" s="180" t="str">
        <f>IF(PEDIDOS[[#This Row],[Valor do item pago]]=PEDIDOS[[#This Row],[Total Item ]],"PAGO", "")</f>
        <v>PAGO</v>
      </c>
    </row>
    <row r="1182" spans="1:17" s="216" customFormat="1" ht="39.950000000000003" customHeight="1" x14ac:dyDescent="0.25">
      <c r="A1182" s="231"/>
      <c r="B1182" s="216">
        <v>735</v>
      </c>
      <c r="C1182" s="232">
        <v>43441</v>
      </c>
      <c r="D1182" s="233" t="s">
        <v>477</v>
      </c>
      <c r="E1182" s="216" t="s">
        <v>1091</v>
      </c>
      <c r="F1182" s="216" t="s">
        <v>1092</v>
      </c>
      <c r="G1182" s="216" t="s">
        <v>1093</v>
      </c>
      <c r="H1182" s="216" t="s">
        <v>779</v>
      </c>
      <c r="I1182" s="234" t="s">
        <v>1094</v>
      </c>
      <c r="J1182" s="234"/>
      <c r="K1182" s="234"/>
      <c r="L1182" s="216" t="s">
        <v>3</v>
      </c>
      <c r="M1182" s="178">
        <v>1</v>
      </c>
      <c r="N1182" s="235">
        <v>30</v>
      </c>
      <c r="O1182" s="234">
        <v>30</v>
      </c>
      <c r="P1182" s="234">
        <v>30</v>
      </c>
      <c r="Q1182" s="180" t="str">
        <f>IF(PEDIDOS[[#This Row],[Valor do item pago]]=PEDIDOS[[#This Row],[Total Item ]],"PAGO", "")</f>
        <v>PAGO</v>
      </c>
    </row>
    <row r="1183" spans="1:17" s="216" customFormat="1" ht="39.950000000000003" customHeight="1" x14ac:dyDescent="0.25">
      <c r="A1183" s="231"/>
      <c r="B1183" s="216">
        <v>734</v>
      </c>
      <c r="C1183" s="232">
        <v>43441</v>
      </c>
      <c r="D1183" s="233" t="s">
        <v>477</v>
      </c>
      <c r="E1183" s="216" t="s">
        <v>1121</v>
      </c>
      <c r="F1183" s="216" t="s">
        <v>1122</v>
      </c>
      <c r="G1183" s="216" t="s">
        <v>1123</v>
      </c>
      <c r="H1183" s="216" t="s">
        <v>570</v>
      </c>
      <c r="I1183" s="234"/>
      <c r="J1183" s="234"/>
      <c r="K1183" s="234"/>
      <c r="L1183" s="216" t="s">
        <v>219</v>
      </c>
      <c r="M1183" s="178">
        <v>1</v>
      </c>
      <c r="N1183" s="235">
        <v>30</v>
      </c>
      <c r="O1183" s="234">
        <v>30</v>
      </c>
      <c r="P1183" s="234">
        <v>30</v>
      </c>
      <c r="Q1183" s="180" t="str">
        <f>IF(PEDIDOS[[#This Row],[Valor do item pago]]=PEDIDOS[[#This Row],[Total Item ]],"PAGO", "")</f>
        <v>PAGO</v>
      </c>
    </row>
    <row r="1184" spans="1:17" s="216" customFormat="1" ht="39.950000000000003" customHeight="1" x14ac:dyDescent="0.25">
      <c r="A1184" s="231"/>
      <c r="B1184" s="216">
        <v>733</v>
      </c>
      <c r="C1184" s="232">
        <v>43441</v>
      </c>
      <c r="D1184" s="233" t="s">
        <v>477</v>
      </c>
      <c r="E1184" s="216" t="s">
        <v>968</v>
      </c>
      <c r="F1184" s="216" t="s">
        <v>969</v>
      </c>
      <c r="G1184" s="216" t="s">
        <v>970</v>
      </c>
      <c r="H1184" s="216" t="s">
        <v>52</v>
      </c>
      <c r="I1184" s="234" t="s">
        <v>971</v>
      </c>
      <c r="J1184" s="234" t="s">
        <v>1036</v>
      </c>
      <c r="K1184" s="234"/>
      <c r="L1184" s="216" t="s">
        <v>219</v>
      </c>
      <c r="M1184" s="178">
        <v>1</v>
      </c>
      <c r="N1184" s="235">
        <v>30</v>
      </c>
      <c r="O1184" s="234">
        <v>30</v>
      </c>
      <c r="P1184" s="234">
        <v>30</v>
      </c>
      <c r="Q1184" s="180" t="str">
        <f>IF(PEDIDOS[[#This Row],[Valor do item pago]]=PEDIDOS[[#This Row],[Total Item ]],"PAGO", "")</f>
        <v>PAGO</v>
      </c>
    </row>
    <row r="1185" spans="1:17" s="216" customFormat="1" ht="39.950000000000003" customHeight="1" x14ac:dyDescent="0.25">
      <c r="A1185" s="231"/>
      <c r="B1185" s="216">
        <v>732</v>
      </c>
      <c r="C1185" s="232">
        <v>43441</v>
      </c>
      <c r="D1185" s="233" t="s">
        <v>477</v>
      </c>
      <c r="E1185" s="216" t="s">
        <v>902</v>
      </c>
      <c r="F1185" s="216" t="s">
        <v>903</v>
      </c>
      <c r="G1185" s="216" t="s">
        <v>904</v>
      </c>
      <c r="H1185" s="216" t="s">
        <v>520</v>
      </c>
      <c r="I1185" s="234" t="s">
        <v>905</v>
      </c>
      <c r="J1185" s="234"/>
      <c r="K1185" s="234"/>
      <c r="L1185" s="216" t="s">
        <v>219</v>
      </c>
      <c r="M1185" s="178">
        <v>1</v>
      </c>
      <c r="N1185" s="235">
        <v>30</v>
      </c>
      <c r="O1185" s="234">
        <v>30</v>
      </c>
      <c r="P1185" s="234"/>
      <c r="Q1185" s="180" t="str">
        <f>IF(PEDIDOS[[#This Row],[Valor do item pago]]=PEDIDOS[[#This Row],[Total Item ]],"PAGO", "")</f>
        <v/>
      </c>
    </row>
    <row r="1186" spans="1:17" s="216" customFormat="1" ht="39.950000000000003" customHeight="1" x14ac:dyDescent="0.25">
      <c r="A1186" s="231"/>
      <c r="B1186" s="216">
        <v>731</v>
      </c>
      <c r="C1186" s="232">
        <v>43441</v>
      </c>
      <c r="D1186" s="233" t="s">
        <v>477</v>
      </c>
      <c r="E1186" s="216" t="s">
        <v>849</v>
      </c>
      <c r="F1186" s="216" t="s">
        <v>850</v>
      </c>
      <c r="G1186" s="216" t="s">
        <v>851</v>
      </c>
      <c r="H1186" s="216" t="s">
        <v>84</v>
      </c>
      <c r="I1186" s="234" t="s">
        <v>436</v>
      </c>
      <c r="J1186" s="234"/>
      <c r="K1186" s="234"/>
      <c r="L1186" s="216" t="s">
        <v>219</v>
      </c>
      <c r="M1186" s="178">
        <v>1</v>
      </c>
      <c r="N1186" s="235">
        <v>30</v>
      </c>
      <c r="O1186" s="234">
        <v>30</v>
      </c>
      <c r="P1186" s="234"/>
      <c r="Q1186" s="180" t="str">
        <f>IF(PEDIDOS[[#This Row],[Valor do item pago]]=PEDIDOS[[#This Row],[Total Item ]],"PAGO", "")</f>
        <v/>
      </c>
    </row>
    <row r="1187" spans="1:17" s="216" customFormat="1" ht="39.950000000000003" customHeight="1" x14ac:dyDescent="0.25">
      <c r="A1187" s="231"/>
      <c r="B1187" s="216">
        <v>730</v>
      </c>
      <c r="C1187" s="232">
        <v>43441</v>
      </c>
      <c r="D1187" s="233" t="s">
        <v>477</v>
      </c>
      <c r="E1187" s="216" t="s">
        <v>845</v>
      </c>
      <c r="F1187" s="216" t="s">
        <v>846</v>
      </c>
      <c r="G1187" s="216" t="s">
        <v>847</v>
      </c>
      <c r="H1187" s="216" t="s">
        <v>461</v>
      </c>
      <c r="I1187" s="234" t="s">
        <v>848</v>
      </c>
      <c r="J1187" s="234" t="s">
        <v>1120</v>
      </c>
      <c r="K1187" s="234"/>
      <c r="L1187" s="216" t="s">
        <v>219</v>
      </c>
      <c r="M1187" s="178">
        <v>1</v>
      </c>
      <c r="N1187" s="235">
        <v>30</v>
      </c>
      <c r="O1187" s="234">
        <v>30</v>
      </c>
      <c r="P1187" s="234">
        <v>30</v>
      </c>
      <c r="Q1187" s="180" t="str">
        <f>IF(PEDIDOS[[#This Row],[Valor do item pago]]=PEDIDOS[[#This Row],[Total Item ]],"PAGO", "")</f>
        <v>PAGO</v>
      </c>
    </row>
    <row r="1188" spans="1:17" s="216" customFormat="1" ht="39.950000000000003" customHeight="1" x14ac:dyDescent="0.25">
      <c r="A1188" s="231"/>
      <c r="B1188" s="216">
        <v>729</v>
      </c>
      <c r="C1188" s="232">
        <v>43441</v>
      </c>
      <c r="D1188" s="233" t="s">
        <v>477</v>
      </c>
      <c r="E1188" s="216" t="s">
        <v>547</v>
      </c>
      <c r="F1188" s="216" t="s">
        <v>521</v>
      </c>
      <c r="G1188" s="216" t="s">
        <v>522</v>
      </c>
      <c r="H1188" s="216" t="s">
        <v>523</v>
      </c>
      <c r="I1188" s="234" t="s">
        <v>663</v>
      </c>
      <c r="J1188" s="234" t="s">
        <v>1119</v>
      </c>
      <c r="K1188" s="234"/>
      <c r="L1188" s="216" t="s">
        <v>235</v>
      </c>
      <c r="M1188" s="178">
        <v>1</v>
      </c>
      <c r="N1188" s="235">
        <v>30</v>
      </c>
      <c r="O1188" s="234">
        <v>30</v>
      </c>
      <c r="P1188" s="234"/>
      <c r="Q1188" s="180" t="str">
        <f>IF(PEDIDOS[[#This Row],[Valor do item pago]]=PEDIDOS[[#This Row],[Total Item ]],"PAGO", "")</f>
        <v/>
      </c>
    </row>
    <row r="1189" spans="1:17" s="216" customFormat="1" ht="39.950000000000003" customHeight="1" x14ac:dyDescent="0.25">
      <c r="A1189" s="231"/>
      <c r="B1189" s="216">
        <v>728</v>
      </c>
      <c r="C1189" s="232">
        <v>43441</v>
      </c>
      <c r="D1189" s="233" t="s">
        <v>477</v>
      </c>
      <c r="E1189" s="216" t="s">
        <v>836</v>
      </c>
      <c r="F1189" s="216" t="s">
        <v>837</v>
      </c>
      <c r="G1189" s="216" t="s">
        <v>449</v>
      </c>
      <c r="H1189" s="216" t="s">
        <v>403</v>
      </c>
      <c r="I1189" s="234" t="s">
        <v>450</v>
      </c>
      <c r="J1189" s="234"/>
      <c r="K1189" s="234"/>
      <c r="L1189" s="216" t="s">
        <v>219</v>
      </c>
      <c r="M1189" s="178">
        <v>2</v>
      </c>
      <c r="N1189" s="235">
        <v>30</v>
      </c>
      <c r="O1189" s="234">
        <v>60</v>
      </c>
      <c r="P1189" s="234"/>
      <c r="Q1189" s="180" t="str">
        <f>IF(PEDIDOS[[#This Row],[Valor do item pago]]=PEDIDOS[[#This Row],[Total Item ]],"PAGO", "")</f>
        <v/>
      </c>
    </row>
    <row r="1190" spans="1:17" s="216" customFormat="1" ht="39.950000000000003" customHeight="1" x14ac:dyDescent="0.25">
      <c r="A1190" s="231"/>
      <c r="B1190" s="216">
        <v>727</v>
      </c>
      <c r="C1190" s="232">
        <v>43441</v>
      </c>
      <c r="D1190" s="233" t="s">
        <v>477</v>
      </c>
      <c r="E1190" s="216" t="s">
        <v>371</v>
      </c>
      <c r="F1190" s="216" t="s">
        <v>309</v>
      </c>
      <c r="G1190" s="216" t="s">
        <v>159</v>
      </c>
      <c r="H1190" s="216" t="s">
        <v>401</v>
      </c>
      <c r="I1190" s="234" t="s">
        <v>445</v>
      </c>
      <c r="J1190" s="234"/>
      <c r="K1190" s="234"/>
      <c r="L1190" s="216" t="s">
        <v>3</v>
      </c>
      <c r="M1190" s="178">
        <v>1</v>
      </c>
      <c r="N1190" s="235">
        <v>30</v>
      </c>
      <c r="O1190" s="234">
        <v>30</v>
      </c>
      <c r="P1190" s="234"/>
      <c r="Q1190" s="180" t="str">
        <f>IF(PEDIDOS[[#This Row],[Valor do item pago]]=PEDIDOS[[#This Row],[Total Item ]],"PAGO", "")</f>
        <v/>
      </c>
    </row>
    <row r="1191" spans="1:17" s="216" customFormat="1" ht="39.950000000000003" customHeight="1" x14ac:dyDescent="0.25">
      <c r="A1191" s="231"/>
      <c r="B1191" s="216">
        <v>726</v>
      </c>
      <c r="C1191" s="232">
        <v>43441</v>
      </c>
      <c r="D1191" s="233" t="s">
        <v>477</v>
      </c>
      <c r="E1191" s="216" t="s">
        <v>369</v>
      </c>
      <c r="F1191" s="216" t="s">
        <v>308</v>
      </c>
      <c r="G1191" s="216" t="s">
        <v>148</v>
      </c>
      <c r="H1191" s="216" t="s">
        <v>400</v>
      </c>
      <c r="I1191" s="234" t="s">
        <v>444</v>
      </c>
      <c r="J1191" s="234"/>
      <c r="K1191" s="234"/>
      <c r="L1191" s="216" t="s">
        <v>219</v>
      </c>
      <c r="M1191" s="178">
        <v>1</v>
      </c>
      <c r="N1191" s="235">
        <v>30</v>
      </c>
      <c r="O1191" s="234">
        <v>30</v>
      </c>
      <c r="P1191" s="234"/>
      <c r="Q1191" s="180" t="str">
        <f>IF(PEDIDOS[[#This Row],[Valor do item pago]]=PEDIDOS[[#This Row],[Total Item ]],"PAGO", "")</f>
        <v/>
      </c>
    </row>
    <row r="1192" spans="1:17" s="216" customFormat="1" ht="39.950000000000003" customHeight="1" x14ac:dyDescent="0.25">
      <c r="A1192" s="231"/>
      <c r="B1192" s="216">
        <v>725</v>
      </c>
      <c r="C1192" s="232">
        <v>43441</v>
      </c>
      <c r="D1192" s="233" t="s">
        <v>477</v>
      </c>
      <c r="E1192" s="216" t="s">
        <v>513</v>
      </c>
      <c r="F1192" s="216" t="s">
        <v>514</v>
      </c>
      <c r="G1192" s="216" t="s">
        <v>515</v>
      </c>
      <c r="H1192" s="216" t="s">
        <v>183</v>
      </c>
      <c r="I1192" s="234" t="s">
        <v>661</v>
      </c>
      <c r="J1192" s="234"/>
      <c r="K1192" s="234"/>
      <c r="L1192" s="216" t="s">
        <v>219</v>
      </c>
      <c r="M1192" s="178">
        <v>1</v>
      </c>
      <c r="N1192" s="235">
        <v>30</v>
      </c>
      <c r="O1192" s="234">
        <v>30</v>
      </c>
      <c r="P1192" s="234"/>
      <c r="Q1192" s="180" t="str">
        <f>IF(PEDIDOS[[#This Row],[Valor do item pago]]=PEDIDOS[[#This Row],[Total Item ]],"PAGO", "")</f>
        <v/>
      </c>
    </row>
    <row r="1193" spans="1:17" s="216" customFormat="1" ht="39.950000000000003" customHeight="1" x14ac:dyDescent="0.25">
      <c r="A1193" s="231"/>
      <c r="B1193" s="216">
        <v>725</v>
      </c>
      <c r="C1193" s="232">
        <v>43441</v>
      </c>
      <c r="D1193" s="233" t="s">
        <v>477</v>
      </c>
      <c r="E1193" s="216" t="s">
        <v>513</v>
      </c>
      <c r="F1193" s="216" t="s">
        <v>514</v>
      </c>
      <c r="G1193" s="216" t="s">
        <v>515</v>
      </c>
      <c r="H1193" s="216" t="s">
        <v>183</v>
      </c>
      <c r="I1193" s="234" t="s">
        <v>661</v>
      </c>
      <c r="J1193" s="234"/>
      <c r="K1193" s="234"/>
      <c r="L1193" s="216" t="s">
        <v>1</v>
      </c>
      <c r="M1193" s="178">
        <v>1</v>
      </c>
      <c r="N1193" s="235">
        <v>30</v>
      </c>
      <c r="O1193" s="234">
        <v>30</v>
      </c>
      <c r="P1193" s="234"/>
      <c r="Q1193" s="180" t="str">
        <f>IF(PEDIDOS[[#This Row],[Valor do item pago]]=PEDIDOS[[#This Row],[Total Item ]],"PAGO", "")</f>
        <v/>
      </c>
    </row>
    <row r="1194" spans="1:17" s="216" customFormat="1" ht="39.950000000000003" customHeight="1" x14ac:dyDescent="0.25">
      <c r="A1194" s="231"/>
      <c r="B1194" s="216">
        <v>724</v>
      </c>
      <c r="C1194" s="232">
        <v>43441</v>
      </c>
      <c r="D1194" s="233" t="s">
        <v>477</v>
      </c>
      <c r="E1194" s="216" t="s">
        <v>1114</v>
      </c>
      <c r="F1194" s="216" t="s">
        <v>1115</v>
      </c>
      <c r="G1194" s="216" t="s">
        <v>1116</v>
      </c>
      <c r="H1194" s="216" t="s">
        <v>1117</v>
      </c>
      <c r="I1194" s="234" t="s">
        <v>1118</v>
      </c>
      <c r="J1194" s="234"/>
      <c r="K1194" s="234"/>
      <c r="L1194" s="216" t="s">
        <v>219</v>
      </c>
      <c r="M1194" s="178">
        <v>1</v>
      </c>
      <c r="N1194" s="235">
        <v>30</v>
      </c>
      <c r="O1194" s="234">
        <v>30</v>
      </c>
      <c r="P1194" s="234">
        <v>30</v>
      </c>
      <c r="Q1194" s="180" t="str">
        <f>IF(PEDIDOS[[#This Row],[Valor do item pago]]=PEDIDOS[[#This Row],[Total Item ]],"PAGO", "")</f>
        <v>PAGO</v>
      </c>
    </row>
    <row r="1195" spans="1:17" s="216" customFormat="1" ht="39.950000000000003" customHeight="1" x14ac:dyDescent="0.25">
      <c r="A1195" s="231"/>
      <c r="B1195" s="216">
        <v>723</v>
      </c>
      <c r="C1195" s="232">
        <v>43441</v>
      </c>
      <c r="D1195" s="233" t="s">
        <v>477</v>
      </c>
      <c r="E1195" s="216" t="s">
        <v>367</v>
      </c>
      <c r="F1195" s="216" t="s">
        <v>323</v>
      </c>
      <c r="G1195" s="216" t="s">
        <v>151</v>
      </c>
      <c r="H1195" s="216" t="s">
        <v>392</v>
      </c>
      <c r="I1195" s="234" t="s">
        <v>656</v>
      </c>
      <c r="J1195" s="234"/>
      <c r="K1195" s="234"/>
      <c r="L1195" s="216" t="s">
        <v>0</v>
      </c>
      <c r="M1195" s="178">
        <v>1</v>
      </c>
      <c r="N1195" s="235">
        <v>30</v>
      </c>
      <c r="O1195" s="234">
        <v>30</v>
      </c>
      <c r="P1195" s="234"/>
      <c r="Q1195" s="180" t="str">
        <f>IF(PEDIDOS[[#This Row],[Valor do item pago]]=PEDIDOS[[#This Row],[Total Item ]],"PAGO", "")</f>
        <v/>
      </c>
    </row>
    <row r="1196" spans="1:17" s="216" customFormat="1" ht="39.950000000000003" customHeight="1" x14ac:dyDescent="0.25">
      <c r="A1196" s="231"/>
      <c r="B1196" s="216">
        <v>722</v>
      </c>
      <c r="C1196" s="232">
        <v>43441</v>
      </c>
      <c r="D1196" s="233" t="s">
        <v>477</v>
      </c>
      <c r="E1196" s="216" t="s">
        <v>383</v>
      </c>
      <c r="F1196" s="216" t="s">
        <v>304</v>
      </c>
      <c r="G1196" s="216" t="s">
        <v>191</v>
      </c>
      <c r="H1196" s="216" t="s">
        <v>387</v>
      </c>
      <c r="I1196" s="234" t="s">
        <v>440</v>
      </c>
      <c r="J1196" s="234"/>
      <c r="K1196" s="234"/>
      <c r="L1196" s="216" t="s">
        <v>219</v>
      </c>
      <c r="M1196" s="178">
        <v>1</v>
      </c>
      <c r="N1196" s="235">
        <v>30</v>
      </c>
      <c r="O1196" s="234">
        <v>30</v>
      </c>
      <c r="P1196" s="234"/>
      <c r="Q1196" s="180" t="str">
        <f>IF(PEDIDOS[[#This Row],[Valor do item pago]]=PEDIDOS[[#This Row],[Total Item ]],"PAGO", "")</f>
        <v/>
      </c>
    </row>
    <row r="1197" spans="1:17" s="216" customFormat="1" ht="39.950000000000003" customHeight="1" x14ac:dyDescent="0.25">
      <c r="A1197" s="231"/>
      <c r="B1197" s="216">
        <v>721</v>
      </c>
      <c r="C1197" s="232">
        <v>43441</v>
      </c>
      <c r="D1197" s="233" t="s">
        <v>477</v>
      </c>
      <c r="E1197" s="216" t="s">
        <v>364</v>
      </c>
      <c r="F1197" s="216" t="s">
        <v>882</v>
      </c>
      <c r="G1197" s="216" t="s">
        <v>883</v>
      </c>
      <c r="H1197" s="216" t="s">
        <v>441</v>
      </c>
      <c r="I1197" s="234" t="s">
        <v>884</v>
      </c>
      <c r="J1197" s="234"/>
      <c r="K1197" s="234" t="s">
        <v>477</v>
      </c>
      <c r="L1197" s="216" t="s">
        <v>0</v>
      </c>
      <c r="M1197" s="178">
        <v>1</v>
      </c>
      <c r="N1197" s="235">
        <v>30</v>
      </c>
      <c r="O1197" s="234">
        <v>30</v>
      </c>
      <c r="P1197" s="234"/>
      <c r="Q1197" s="180" t="str">
        <f>IF(PEDIDOS[[#This Row],[Valor do item pago]]=PEDIDOS[[#This Row],[Total Item ]],"PAGO", "")</f>
        <v/>
      </c>
    </row>
    <row r="1198" spans="1:17" s="216" customFormat="1" ht="39.950000000000003" customHeight="1" x14ac:dyDescent="0.25">
      <c r="A1198" s="231"/>
      <c r="B1198" s="216">
        <v>720</v>
      </c>
      <c r="C1198" s="232">
        <v>43441</v>
      </c>
      <c r="D1198" s="233" t="s">
        <v>477</v>
      </c>
      <c r="E1198" s="216" t="s">
        <v>363</v>
      </c>
      <c r="F1198" s="216">
        <v>0</v>
      </c>
      <c r="G1198" s="216">
        <v>0</v>
      </c>
      <c r="H1198" s="216">
        <v>0</v>
      </c>
      <c r="I1198" s="234"/>
      <c r="J1198" s="234"/>
      <c r="K1198" s="234"/>
      <c r="L1198" s="216" t="s">
        <v>1</v>
      </c>
      <c r="M1198" s="178">
        <v>1</v>
      </c>
      <c r="N1198" s="235">
        <v>30</v>
      </c>
      <c r="O1198" s="234">
        <v>30</v>
      </c>
      <c r="P1198" s="234">
        <v>30</v>
      </c>
      <c r="Q1198" s="180" t="str">
        <f>IF(PEDIDOS[[#This Row],[Valor do item pago]]=PEDIDOS[[#This Row],[Total Item ]],"PAGO", "")</f>
        <v>PAGO</v>
      </c>
    </row>
    <row r="1199" spans="1:17" s="216" customFormat="1" ht="39.950000000000003" customHeight="1" x14ac:dyDescent="0.25">
      <c r="A1199" s="231"/>
      <c r="B1199" s="216">
        <v>719</v>
      </c>
      <c r="C1199" s="232">
        <v>43441</v>
      </c>
      <c r="D1199" s="233" t="s">
        <v>477</v>
      </c>
      <c r="E1199" s="216" t="s">
        <v>870</v>
      </c>
      <c r="F1199" s="216" t="s">
        <v>871</v>
      </c>
      <c r="G1199" s="216" t="s">
        <v>872</v>
      </c>
      <c r="H1199" s="216" t="s">
        <v>112</v>
      </c>
      <c r="I1199" s="234" t="s">
        <v>873</v>
      </c>
      <c r="J1199" s="234"/>
      <c r="K1199" s="234"/>
      <c r="L1199" s="216" t="s">
        <v>219</v>
      </c>
      <c r="M1199" s="178">
        <v>1</v>
      </c>
      <c r="N1199" s="235">
        <v>30</v>
      </c>
      <c r="O1199" s="234">
        <v>30</v>
      </c>
      <c r="P1199" s="234"/>
      <c r="Q1199" s="180" t="str">
        <f>IF(PEDIDOS[[#This Row],[Valor do item pago]]=PEDIDOS[[#This Row],[Total Item ]],"PAGO", "")</f>
        <v/>
      </c>
    </row>
    <row r="1200" spans="1:17" s="216" customFormat="1" ht="39.950000000000003" customHeight="1" x14ac:dyDescent="0.25">
      <c r="A1200" s="231"/>
      <c r="B1200" s="216">
        <v>718</v>
      </c>
      <c r="C1200" s="232">
        <v>43441</v>
      </c>
      <c r="D1200" s="233" t="s">
        <v>477</v>
      </c>
      <c r="E1200" s="216" t="s">
        <v>355</v>
      </c>
      <c r="F1200" s="216" t="s">
        <v>294</v>
      </c>
      <c r="G1200" s="216" t="s">
        <v>145</v>
      </c>
      <c r="H1200" s="216" t="s">
        <v>390</v>
      </c>
      <c r="I1200" s="234" t="s">
        <v>251</v>
      </c>
      <c r="J1200" s="234"/>
      <c r="K1200" s="234"/>
      <c r="L1200" s="216" t="s">
        <v>3</v>
      </c>
      <c r="M1200" s="178">
        <v>1</v>
      </c>
      <c r="N1200" s="235">
        <v>30</v>
      </c>
      <c r="O1200" s="234">
        <v>30</v>
      </c>
      <c r="P1200" s="234"/>
      <c r="Q1200" s="180" t="str">
        <f>IF(PEDIDOS[[#This Row],[Valor do item pago]]=PEDIDOS[[#This Row],[Total Item ]],"PAGO", "")</f>
        <v/>
      </c>
    </row>
    <row r="1201" spans="1:17" s="216" customFormat="1" ht="39.950000000000003" customHeight="1" x14ac:dyDescent="0.25">
      <c r="A1201" s="231"/>
      <c r="B1201" s="216">
        <v>717</v>
      </c>
      <c r="C1201" s="232">
        <v>43441</v>
      </c>
      <c r="D1201" s="233" t="s">
        <v>477</v>
      </c>
      <c r="E1201" s="216" t="s">
        <v>877</v>
      </c>
      <c r="F1201" s="216" t="s">
        <v>876</v>
      </c>
      <c r="G1201" s="216" t="s">
        <v>878</v>
      </c>
      <c r="H1201" s="216" t="s">
        <v>441</v>
      </c>
      <c r="I1201" s="234" t="s">
        <v>879</v>
      </c>
      <c r="J1201" s="234"/>
      <c r="K1201" s="234" t="s">
        <v>477</v>
      </c>
      <c r="L1201" s="216" t="s">
        <v>1</v>
      </c>
      <c r="M1201" s="178">
        <v>1</v>
      </c>
      <c r="N1201" s="235">
        <v>30</v>
      </c>
      <c r="O1201" s="234">
        <v>30</v>
      </c>
      <c r="P1201" s="234"/>
      <c r="Q1201" s="180" t="str">
        <f>IF(PEDIDOS[[#This Row],[Valor do item pago]]=PEDIDOS[[#This Row],[Total Item ]],"PAGO", "")</f>
        <v/>
      </c>
    </row>
    <row r="1202" spans="1:17" s="216" customFormat="1" ht="39.950000000000003" customHeight="1" x14ac:dyDescent="0.25">
      <c r="A1202" s="231"/>
      <c r="B1202" s="216">
        <v>716</v>
      </c>
      <c r="C1202" s="232">
        <v>43441</v>
      </c>
      <c r="D1202" s="233" t="s">
        <v>477</v>
      </c>
      <c r="E1202" s="216" t="s">
        <v>25</v>
      </c>
      <c r="F1202" s="216" t="s">
        <v>291</v>
      </c>
      <c r="G1202" s="216" t="s">
        <v>330</v>
      </c>
      <c r="H1202" s="216" t="s">
        <v>406</v>
      </c>
      <c r="I1202" s="234" t="s">
        <v>329</v>
      </c>
      <c r="J1202" s="234"/>
      <c r="K1202" s="234"/>
      <c r="L1202" s="216" t="s">
        <v>219</v>
      </c>
      <c r="M1202" s="178">
        <v>5</v>
      </c>
      <c r="N1202" s="235">
        <v>30</v>
      </c>
      <c r="O1202" s="234">
        <v>150</v>
      </c>
      <c r="P1202" s="234">
        <v>150</v>
      </c>
      <c r="Q1202" s="180" t="str">
        <f>IF(PEDIDOS[[#This Row],[Valor do item pago]]=PEDIDOS[[#This Row],[Total Item ]],"PAGO", "")</f>
        <v>PAGO</v>
      </c>
    </row>
    <row r="1203" spans="1:17" s="216" customFormat="1" ht="39.950000000000003" customHeight="1" x14ac:dyDescent="0.25">
      <c r="A1203" s="231"/>
      <c r="B1203" s="216">
        <v>715</v>
      </c>
      <c r="C1203" s="232">
        <v>43441</v>
      </c>
      <c r="D1203" s="233" t="s">
        <v>477</v>
      </c>
      <c r="E1203" s="216" t="s">
        <v>343</v>
      </c>
      <c r="F1203" s="216" t="s">
        <v>826</v>
      </c>
      <c r="G1203" s="216" t="s">
        <v>875</v>
      </c>
      <c r="H1203" s="216" t="s">
        <v>441</v>
      </c>
      <c r="I1203" s="234" t="s">
        <v>874</v>
      </c>
      <c r="J1203" s="234"/>
      <c r="K1203" s="234" t="s">
        <v>477</v>
      </c>
      <c r="L1203" s="216" t="s">
        <v>219</v>
      </c>
      <c r="M1203" s="178">
        <v>1</v>
      </c>
      <c r="N1203" s="235">
        <v>30</v>
      </c>
      <c r="O1203" s="234">
        <v>30</v>
      </c>
      <c r="P1203" s="234"/>
      <c r="Q1203" s="180" t="str">
        <f>IF(PEDIDOS[[#This Row],[Valor do item pago]]=PEDIDOS[[#This Row],[Total Item ]],"PAGO", "")</f>
        <v/>
      </c>
    </row>
    <row r="1204" spans="1:17" s="216" customFormat="1" ht="39.950000000000003" customHeight="1" x14ac:dyDescent="0.25">
      <c r="A1204" s="231"/>
      <c r="B1204" s="216">
        <v>714</v>
      </c>
      <c r="C1204" s="232">
        <v>43441</v>
      </c>
      <c r="D1204" s="233" t="s">
        <v>477</v>
      </c>
      <c r="E1204" s="216" t="s">
        <v>342</v>
      </c>
      <c r="F1204" s="216" t="s">
        <v>282</v>
      </c>
      <c r="G1204" s="216" t="s">
        <v>156</v>
      </c>
      <c r="H1204" s="216" t="s">
        <v>389</v>
      </c>
      <c r="I1204" s="234" t="s">
        <v>255</v>
      </c>
      <c r="J1204" s="234"/>
      <c r="K1204" s="234"/>
      <c r="L1204" s="216" t="s">
        <v>219</v>
      </c>
      <c r="M1204" s="178">
        <v>1</v>
      </c>
      <c r="N1204" s="235">
        <v>30</v>
      </c>
      <c r="O1204" s="234">
        <v>30</v>
      </c>
      <c r="P1204" s="234"/>
      <c r="Q1204" s="180" t="str">
        <f>IF(PEDIDOS[[#This Row],[Valor do item pago]]=PEDIDOS[[#This Row],[Total Item ]],"PAGO", "")</f>
        <v/>
      </c>
    </row>
    <row r="1205" spans="1:17" s="216" customFormat="1" ht="39.950000000000003" customHeight="1" x14ac:dyDescent="0.25">
      <c r="A1205" s="231"/>
      <c r="B1205" s="216">
        <v>713</v>
      </c>
      <c r="C1205" s="232">
        <v>43441</v>
      </c>
      <c r="D1205" s="233" t="s">
        <v>477</v>
      </c>
      <c r="E1205" s="216" t="s">
        <v>338</v>
      </c>
      <c r="F1205" s="216" t="s">
        <v>273</v>
      </c>
      <c r="G1205" s="216" t="s">
        <v>500</v>
      </c>
      <c r="H1205" s="216" t="s">
        <v>501</v>
      </c>
      <c r="I1205" s="234" t="s">
        <v>654</v>
      </c>
      <c r="J1205" s="234"/>
      <c r="K1205" s="234"/>
      <c r="L1205" s="216" t="s">
        <v>1</v>
      </c>
      <c r="M1205" s="178">
        <v>1</v>
      </c>
      <c r="N1205" s="235">
        <v>30</v>
      </c>
      <c r="O1205" s="234">
        <v>30</v>
      </c>
      <c r="P1205" s="234"/>
      <c r="Q1205" s="180" t="str">
        <f>IF(PEDIDOS[[#This Row],[Valor do item pago]]=PEDIDOS[[#This Row],[Total Item ]],"PAGO", "")</f>
        <v/>
      </c>
    </row>
    <row r="1206" spans="1:17" s="216" customFormat="1" ht="39.950000000000003" customHeight="1" x14ac:dyDescent="0.25">
      <c r="A1206" s="231"/>
      <c r="B1206" s="216">
        <v>712</v>
      </c>
      <c r="C1206" s="232">
        <v>43441</v>
      </c>
      <c r="D1206" s="233" t="s">
        <v>40</v>
      </c>
      <c r="E1206" s="216" t="s">
        <v>1109</v>
      </c>
      <c r="F1206" s="216" t="s">
        <v>1110</v>
      </c>
      <c r="G1206" s="216" t="s">
        <v>1111</v>
      </c>
      <c r="H1206" s="216" t="s">
        <v>1113</v>
      </c>
      <c r="I1206" s="234" t="s">
        <v>1112</v>
      </c>
      <c r="J1206" s="234"/>
      <c r="K1206" s="234"/>
      <c r="L1206" s="216" t="s">
        <v>1</v>
      </c>
      <c r="M1206" s="178">
        <v>2</v>
      </c>
      <c r="N1206" s="235">
        <v>30</v>
      </c>
      <c r="O1206" s="234">
        <v>60</v>
      </c>
      <c r="P1206" s="234"/>
      <c r="Q1206" s="180" t="str">
        <f>IF(PEDIDOS[[#This Row],[Valor do item pago]]=PEDIDOS[[#This Row],[Total Item ]],"PAGO", "")</f>
        <v/>
      </c>
    </row>
    <row r="1207" spans="1:17" s="216" customFormat="1" ht="39.950000000000003" customHeight="1" x14ac:dyDescent="0.25">
      <c r="A1207" s="231"/>
      <c r="B1207" s="216">
        <v>711</v>
      </c>
      <c r="C1207" s="232">
        <v>43441</v>
      </c>
      <c r="D1207" s="233" t="s">
        <v>40</v>
      </c>
      <c r="E1207" s="216" t="s">
        <v>718</v>
      </c>
      <c r="F1207" s="216" t="s">
        <v>717</v>
      </c>
      <c r="G1207" s="216" t="s">
        <v>719</v>
      </c>
      <c r="H1207" s="216" t="s">
        <v>112</v>
      </c>
      <c r="I1207" s="234" t="s">
        <v>720</v>
      </c>
      <c r="J1207" s="234"/>
      <c r="K1207" s="234"/>
      <c r="L1207" s="216" t="s">
        <v>3</v>
      </c>
      <c r="M1207" s="178">
        <v>1</v>
      </c>
      <c r="N1207" s="235">
        <v>30</v>
      </c>
      <c r="O1207" s="234">
        <v>30</v>
      </c>
      <c r="P1207" s="234"/>
      <c r="Q1207" s="180" t="str">
        <f>IF(PEDIDOS[[#This Row],[Valor do item pago]]=PEDIDOS[[#This Row],[Total Item ]],"PAGO", "")</f>
        <v/>
      </c>
    </row>
    <row r="1208" spans="1:17" s="216" customFormat="1" ht="39.950000000000003" customHeight="1" x14ac:dyDescent="0.25">
      <c r="A1208" s="231"/>
      <c r="B1208" s="216">
        <v>710</v>
      </c>
      <c r="C1208" s="232">
        <v>43441</v>
      </c>
      <c r="D1208" s="233" t="s">
        <v>40</v>
      </c>
      <c r="E1208" s="216" t="s">
        <v>1107</v>
      </c>
      <c r="F1208" s="216" t="s">
        <v>1108</v>
      </c>
      <c r="G1208" s="216">
        <v>0</v>
      </c>
      <c r="H1208" s="216" t="s">
        <v>40</v>
      </c>
      <c r="I1208" s="234"/>
      <c r="J1208" s="234"/>
      <c r="K1208" s="234" t="s">
        <v>40</v>
      </c>
      <c r="L1208" s="216" t="s">
        <v>1</v>
      </c>
      <c r="M1208" s="178">
        <v>1</v>
      </c>
      <c r="N1208" s="235">
        <v>30</v>
      </c>
      <c r="O1208" s="234">
        <v>30</v>
      </c>
      <c r="P1208" s="234"/>
      <c r="Q1208" s="180" t="str">
        <f>IF(PEDIDOS[[#This Row],[Valor do item pago]]=PEDIDOS[[#This Row],[Total Item ]],"PAGO", "")</f>
        <v/>
      </c>
    </row>
    <row r="1209" spans="1:17" s="216" customFormat="1" ht="39.950000000000003" customHeight="1" x14ac:dyDescent="0.25">
      <c r="A1209" s="231"/>
      <c r="B1209" s="216">
        <v>709</v>
      </c>
      <c r="C1209" s="232">
        <v>43441</v>
      </c>
      <c r="D1209" s="233" t="s">
        <v>40</v>
      </c>
      <c r="E1209" s="216" t="s">
        <v>649</v>
      </c>
      <c r="F1209" s="216" t="s">
        <v>310</v>
      </c>
      <c r="G1209" s="216" t="s">
        <v>51</v>
      </c>
      <c r="H1209" s="216" t="s">
        <v>52</v>
      </c>
      <c r="I1209" s="234" t="s">
        <v>447</v>
      </c>
      <c r="J1209" s="234"/>
      <c r="K1209" s="234"/>
      <c r="L1209" s="216" t="s">
        <v>219</v>
      </c>
      <c r="M1209" s="178">
        <v>1</v>
      </c>
      <c r="N1209" s="235">
        <v>30</v>
      </c>
      <c r="O1209" s="234">
        <v>30</v>
      </c>
      <c r="P1209" s="234"/>
      <c r="Q1209" s="180" t="str">
        <f>IF(PEDIDOS[[#This Row],[Valor do item pago]]=PEDIDOS[[#This Row],[Total Item ]],"PAGO", "")</f>
        <v/>
      </c>
    </row>
    <row r="1210" spans="1:17" s="216" customFormat="1" ht="39.950000000000003" customHeight="1" x14ac:dyDescent="0.25">
      <c r="A1210" s="231"/>
      <c r="B1210" s="216">
        <v>708</v>
      </c>
      <c r="C1210" s="232">
        <v>43441</v>
      </c>
      <c r="D1210" s="233" t="s">
        <v>40</v>
      </c>
      <c r="E1210" s="216" t="s">
        <v>13</v>
      </c>
      <c r="F1210" s="216">
        <v>0</v>
      </c>
      <c r="G1210" s="216">
        <v>0</v>
      </c>
      <c r="H1210" s="216">
        <v>0</v>
      </c>
      <c r="I1210" s="234"/>
      <c r="J1210" s="234"/>
      <c r="K1210" s="234"/>
      <c r="L1210" s="216" t="s">
        <v>3</v>
      </c>
      <c r="M1210" s="178">
        <v>1</v>
      </c>
      <c r="N1210" s="235">
        <v>30</v>
      </c>
      <c r="O1210" s="234">
        <v>30</v>
      </c>
      <c r="P1210" s="234"/>
      <c r="Q1210" s="180" t="str">
        <f>IF(PEDIDOS[[#This Row],[Valor do item pago]]=PEDIDOS[[#This Row],[Total Item ]],"PAGO", "")</f>
        <v/>
      </c>
    </row>
    <row r="1211" spans="1:17" s="216" customFormat="1" ht="39.950000000000003" customHeight="1" x14ac:dyDescent="0.25">
      <c r="A1211" s="231"/>
      <c r="B1211" s="216">
        <v>708</v>
      </c>
      <c r="C1211" s="232">
        <v>43441</v>
      </c>
      <c r="D1211" s="233" t="s">
        <v>40</v>
      </c>
      <c r="E1211" s="216" t="s">
        <v>13</v>
      </c>
      <c r="F1211" s="216">
        <v>0</v>
      </c>
      <c r="G1211" s="216">
        <v>0</v>
      </c>
      <c r="H1211" s="216">
        <v>0</v>
      </c>
      <c r="I1211" s="234"/>
      <c r="J1211" s="234"/>
      <c r="K1211" s="234"/>
      <c r="L1211" s="216" t="s">
        <v>0</v>
      </c>
      <c r="M1211" s="178">
        <v>1</v>
      </c>
      <c r="N1211" s="235">
        <v>30</v>
      </c>
      <c r="O1211" s="234">
        <v>30</v>
      </c>
      <c r="P1211" s="234"/>
      <c r="Q1211" s="180" t="str">
        <f>IF(PEDIDOS[[#This Row],[Valor do item pago]]=PEDIDOS[[#This Row],[Total Item ]],"PAGO", "")</f>
        <v/>
      </c>
    </row>
    <row r="1212" spans="1:17" s="216" customFormat="1" ht="39.950000000000003" customHeight="1" x14ac:dyDescent="0.25">
      <c r="A1212" s="231"/>
      <c r="B1212" s="216">
        <v>707</v>
      </c>
      <c r="C1212" s="232">
        <v>43441</v>
      </c>
      <c r="D1212" s="233" t="s">
        <v>40</v>
      </c>
      <c r="E1212" s="216" t="s">
        <v>204</v>
      </c>
      <c r="F1212" s="216" t="s">
        <v>279</v>
      </c>
      <c r="G1212" s="216">
        <v>0</v>
      </c>
      <c r="H1212" s="216">
        <v>0</v>
      </c>
      <c r="I1212" s="234"/>
      <c r="J1212" s="234"/>
      <c r="K1212" s="234"/>
      <c r="L1212" s="216" t="s">
        <v>3</v>
      </c>
      <c r="M1212" s="178">
        <v>2</v>
      </c>
      <c r="N1212" s="235">
        <v>30</v>
      </c>
      <c r="O1212" s="234">
        <v>60</v>
      </c>
      <c r="P1212" s="234"/>
      <c r="Q1212" s="180" t="str">
        <f>IF(PEDIDOS[[#This Row],[Valor do item pago]]=PEDIDOS[[#This Row],[Total Item ]],"PAGO", "")</f>
        <v/>
      </c>
    </row>
    <row r="1213" spans="1:17" s="216" customFormat="1" ht="39.950000000000003" customHeight="1" x14ac:dyDescent="0.25">
      <c r="A1213" s="231"/>
      <c r="B1213" s="216">
        <v>706</v>
      </c>
      <c r="C1213" s="232">
        <v>43441</v>
      </c>
      <c r="D1213" s="233" t="s">
        <v>40</v>
      </c>
      <c r="E1213" s="216" t="s">
        <v>203</v>
      </c>
      <c r="F1213" s="216" t="s">
        <v>305</v>
      </c>
      <c r="G1213" s="216" t="s">
        <v>41</v>
      </c>
      <c r="H1213" s="216" t="s">
        <v>441</v>
      </c>
      <c r="I1213" s="234" t="s">
        <v>442</v>
      </c>
      <c r="J1213" s="234"/>
      <c r="K1213" s="234"/>
      <c r="L1213" s="216" t="s">
        <v>1</v>
      </c>
      <c r="M1213" s="178">
        <v>1</v>
      </c>
      <c r="N1213" s="235">
        <v>30</v>
      </c>
      <c r="O1213" s="234">
        <v>30</v>
      </c>
      <c r="P1213" s="234"/>
      <c r="Q1213" s="180" t="str">
        <f>IF(PEDIDOS[[#This Row],[Valor do item pago]]=PEDIDOS[[#This Row],[Total Item ]],"PAGO", "")</f>
        <v/>
      </c>
    </row>
    <row r="1214" spans="1:17" s="216" customFormat="1" ht="39.950000000000003" customHeight="1" x14ac:dyDescent="0.25">
      <c r="A1214" s="231"/>
      <c r="B1214" s="216">
        <v>706</v>
      </c>
      <c r="C1214" s="232">
        <v>43441</v>
      </c>
      <c r="D1214" s="233" t="s">
        <v>40</v>
      </c>
      <c r="E1214" s="216" t="s">
        <v>203</v>
      </c>
      <c r="F1214" s="216" t="s">
        <v>305</v>
      </c>
      <c r="G1214" s="216" t="s">
        <v>41</v>
      </c>
      <c r="H1214" s="216" t="s">
        <v>441</v>
      </c>
      <c r="I1214" s="234" t="s">
        <v>442</v>
      </c>
      <c r="J1214" s="234"/>
      <c r="K1214" s="234"/>
      <c r="L1214" s="216" t="s">
        <v>0</v>
      </c>
      <c r="M1214" s="178">
        <v>1</v>
      </c>
      <c r="N1214" s="235">
        <v>30</v>
      </c>
      <c r="O1214" s="234">
        <v>30</v>
      </c>
      <c r="P1214" s="234"/>
      <c r="Q1214" s="180" t="str">
        <f>IF(PEDIDOS[[#This Row],[Valor do item pago]]=PEDIDOS[[#This Row],[Total Item ]],"PAGO", "")</f>
        <v/>
      </c>
    </row>
    <row r="1215" spans="1:17" s="216" customFormat="1" ht="39.950000000000003" customHeight="1" x14ac:dyDescent="0.25">
      <c r="A1215" s="231"/>
      <c r="B1215" s="216">
        <v>705</v>
      </c>
      <c r="C1215" s="232">
        <v>43441</v>
      </c>
      <c r="D1215" s="233" t="s">
        <v>44</v>
      </c>
      <c r="E1215" s="216" t="s">
        <v>351</v>
      </c>
      <c r="F1215" s="216">
        <v>0</v>
      </c>
      <c r="G1215" s="216" t="s">
        <v>405</v>
      </c>
      <c r="H1215" s="216" t="s">
        <v>425</v>
      </c>
      <c r="I1215" s="234" t="s">
        <v>426</v>
      </c>
      <c r="J1215" s="234" t="s">
        <v>38</v>
      </c>
      <c r="K1215" s="234"/>
      <c r="L1215" s="216" t="s">
        <v>1</v>
      </c>
      <c r="M1215" s="178">
        <v>1</v>
      </c>
      <c r="N1215" s="235">
        <v>30</v>
      </c>
      <c r="O1215" s="234">
        <v>30</v>
      </c>
      <c r="P1215" s="234"/>
      <c r="Q1215" s="180" t="str">
        <f>IF(PEDIDOS[[#This Row],[Valor do item pago]]=PEDIDOS[[#This Row],[Total Item ]],"PAGO", "")</f>
        <v/>
      </c>
    </row>
    <row r="1216" spans="1:17" s="216" customFormat="1" ht="39.950000000000003" customHeight="1" x14ac:dyDescent="0.25">
      <c r="A1216" s="231"/>
      <c r="B1216" s="216">
        <v>704</v>
      </c>
      <c r="C1216" s="232">
        <v>43441</v>
      </c>
      <c r="D1216" s="233" t="s">
        <v>231</v>
      </c>
      <c r="E1216" s="216" t="s">
        <v>362</v>
      </c>
      <c r="F1216" s="216">
        <v>0</v>
      </c>
      <c r="G1216" s="216" t="s">
        <v>186</v>
      </c>
      <c r="H1216" s="216" t="s">
        <v>398</v>
      </c>
      <c r="I1216" s="234" t="s">
        <v>431</v>
      </c>
      <c r="J1216" s="234"/>
      <c r="K1216" s="234"/>
      <c r="L1216" s="216" t="s">
        <v>219</v>
      </c>
      <c r="M1216" s="178">
        <v>1</v>
      </c>
      <c r="N1216" s="235">
        <v>30</v>
      </c>
      <c r="O1216" s="234">
        <v>30</v>
      </c>
      <c r="P1216" s="234"/>
      <c r="Q1216" s="180" t="str">
        <f>IF(PEDIDOS[[#This Row],[Valor do item pago]]=PEDIDOS[[#This Row],[Total Item ]],"PAGO", "")</f>
        <v/>
      </c>
    </row>
    <row r="1217" spans="1:17" s="216" customFormat="1" ht="39.950000000000003" customHeight="1" x14ac:dyDescent="0.25">
      <c r="A1217" s="231"/>
      <c r="B1217" s="216">
        <v>704</v>
      </c>
      <c r="C1217" s="232">
        <v>43441</v>
      </c>
      <c r="D1217" s="233" t="s">
        <v>231</v>
      </c>
      <c r="E1217" s="216" t="s">
        <v>362</v>
      </c>
      <c r="F1217" s="216">
        <v>0</v>
      </c>
      <c r="G1217" s="216" t="s">
        <v>186</v>
      </c>
      <c r="H1217" s="216" t="s">
        <v>398</v>
      </c>
      <c r="I1217" s="234" t="s">
        <v>431</v>
      </c>
      <c r="J1217" s="234"/>
      <c r="K1217" s="234"/>
      <c r="L1217" s="216" t="s">
        <v>0</v>
      </c>
      <c r="M1217" s="178">
        <v>1</v>
      </c>
      <c r="N1217" s="235">
        <v>30</v>
      </c>
      <c r="O1217" s="234">
        <v>30</v>
      </c>
      <c r="P1217" s="234"/>
      <c r="Q1217" s="180" t="str">
        <f>IF(PEDIDOS[[#This Row],[Valor do item pago]]=PEDIDOS[[#This Row],[Total Item ]],"PAGO", "")</f>
        <v/>
      </c>
    </row>
    <row r="1218" spans="1:17" s="216" customFormat="1" ht="39.950000000000003" customHeight="1" x14ac:dyDescent="0.25">
      <c r="A1218" s="231"/>
      <c r="B1218" s="216">
        <v>703</v>
      </c>
      <c r="C1218" s="232">
        <v>43441</v>
      </c>
      <c r="D1218" s="233" t="s">
        <v>231</v>
      </c>
      <c r="E1218" s="216" t="s">
        <v>382</v>
      </c>
      <c r="F1218" s="216">
        <v>0</v>
      </c>
      <c r="G1218" s="216">
        <v>0</v>
      </c>
      <c r="H1218" s="216">
        <v>0</v>
      </c>
      <c r="I1218" s="234"/>
      <c r="J1218" s="234"/>
      <c r="K1218" s="234"/>
      <c r="L1218" s="216" t="s">
        <v>1</v>
      </c>
      <c r="M1218" s="178">
        <v>1</v>
      </c>
      <c r="N1218" s="235">
        <v>30</v>
      </c>
      <c r="O1218" s="234">
        <v>30</v>
      </c>
      <c r="P1218" s="234"/>
      <c r="Q1218" s="180" t="str">
        <f>IF(PEDIDOS[[#This Row],[Valor do item pago]]=PEDIDOS[[#This Row],[Total Item ]],"PAGO", "")</f>
        <v/>
      </c>
    </row>
    <row r="1219" spans="1:17" s="216" customFormat="1" ht="39.950000000000003" customHeight="1" x14ac:dyDescent="0.25">
      <c r="A1219" s="231"/>
      <c r="B1219" s="216">
        <v>702</v>
      </c>
      <c r="C1219" s="232">
        <v>43441</v>
      </c>
      <c r="D1219" s="233" t="s">
        <v>231</v>
      </c>
      <c r="E1219" s="216" t="s">
        <v>25</v>
      </c>
      <c r="F1219" s="216" t="s">
        <v>291</v>
      </c>
      <c r="G1219" s="216" t="s">
        <v>330</v>
      </c>
      <c r="H1219" s="216" t="s">
        <v>406</v>
      </c>
      <c r="I1219" s="234" t="s">
        <v>329</v>
      </c>
      <c r="J1219" s="234" t="s">
        <v>375</v>
      </c>
      <c r="K1219" s="234"/>
      <c r="L1219" s="216" t="s">
        <v>219</v>
      </c>
      <c r="M1219" s="178">
        <v>1</v>
      </c>
      <c r="N1219" s="235">
        <v>30</v>
      </c>
      <c r="O1219" s="234">
        <v>30</v>
      </c>
      <c r="P1219" s="234"/>
      <c r="Q1219" s="180" t="str">
        <f>IF(PEDIDOS[[#This Row],[Valor do item pago]]=PEDIDOS[[#This Row],[Total Item ]],"PAGO", "")</f>
        <v/>
      </c>
    </row>
    <row r="1220" spans="1:17" s="216" customFormat="1" ht="39.950000000000003" customHeight="1" x14ac:dyDescent="0.25">
      <c r="A1220" s="231"/>
      <c r="B1220" s="216">
        <v>701</v>
      </c>
      <c r="C1220" s="232">
        <v>43441</v>
      </c>
      <c r="D1220" s="233" t="s">
        <v>231</v>
      </c>
      <c r="E1220" s="216" t="s">
        <v>375</v>
      </c>
      <c r="F1220" s="216" t="s">
        <v>1065</v>
      </c>
      <c r="G1220" s="216">
        <v>0</v>
      </c>
      <c r="H1220" s="216" t="s">
        <v>40</v>
      </c>
      <c r="I1220" s="234"/>
      <c r="J1220" s="234"/>
      <c r="K1220" s="234"/>
      <c r="L1220" s="216" t="s">
        <v>3</v>
      </c>
      <c r="M1220" s="178">
        <v>4</v>
      </c>
      <c r="N1220" s="235">
        <v>30</v>
      </c>
      <c r="O1220" s="234">
        <v>120</v>
      </c>
      <c r="P1220" s="234"/>
      <c r="Q1220" s="180" t="str">
        <f>IF(PEDIDOS[[#This Row],[Valor do item pago]]=PEDIDOS[[#This Row],[Total Item ]],"PAGO", "")</f>
        <v/>
      </c>
    </row>
    <row r="1221" spans="1:17" s="216" customFormat="1" ht="39.950000000000003" customHeight="1" x14ac:dyDescent="0.25">
      <c r="A1221" s="231"/>
      <c r="B1221" s="216">
        <v>700</v>
      </c>
      <c r="C1221" s="232">
        <v>43441</v>
      </c>
      <c r="D1221" s="233" t="s">
        <v>231</v>
      </c>
      <c r="E1221" s="216" t="s">
        <v>381</v>
      </c>
      <c r="F1221" s="216">
        <v>0</v>
      </c>
      <c r="G1221" s="216">
        <v>0</v>
      </c>
      <c r="H1221" s="216">
        <v>0</v>
      </c>
      <c r="I1221" s="234"/>
      <c r="J1221" s="234"/>
      <c r="K1221" s="234"/>
      <c r="L1221" s="216" t="s">
        <v>1</v>
      </c>
      <c r="M1221" s="178">
        <v>2</v>
      </c>
      <c r="N1221" s="235">
        <v>30</v>
      </c>
      <c r="O1221" s="234">
        <v>60</v>
      </c>
      <c r="P1221" s="234"/>
      <c r="Q1221" s="180" t="str">
        <f>IF(PEDIDOS[[#This Row],[Valor do item pago]]=PEDIDOS[[#This Row],[Total Item ]],"PAGO", "")</f>
        <v/>
      </c>
    </row>
    <row r="1222" spans="1:17" s="216" customFormat="1" ht="39.950000000000003" customHeight="1" x14ac:dyDescent="0.25">
      <c r="A1222" s="231"/>
      <c r="B1222" s="216">
        <v>699</v>
      </c>
      <c r="C1222" s="232">
        <v>43441</v>
      </c>
      <c r="D1222" s="233" t="s">
        <v>231</v>
      </c>
      <c r="E1222" s="216" t="s">
        <v>90</v>
      </c>
      <c r="F1222" s="216" t="s">
        <v>806</v>
      </c>
      <c r="G1222" s="216">
        <v>0</v>
      </c>
      <c r="H1222" s="216" t="s">
        <v>40</v>
      </c>
      <c r="I1222" s="234"/>
      <c r="J1222" s="234"/>
      <c r="K1222" s="234"/>
      <c r="L1222" s="216" t="s">
        <v>219</v>
      </c>
      <c r="M1222" s="178">
        <v>5</v>
      </c>
      <c r="N1222" s="235">
        <v>30</v>
      </c>
      <c r="O1222" s="234">
        <v>150</v>
      </c>
      <c r="P1222" s="234"/>
      <c r="Q1222" s="180" t="str">
        <f>IF(PEDIDOS[[#This Row],[Valor do item pago]]=PEDIDOS[[#This Row],[Total Item ]],"PAGO", "")</f>
        <v/>
      </c>
    </row>
    <row r="1223" spans="1:17" s="216" customFormat="1" ht="39.950000000000003" customHeight="1" x14ac:dyDescent="0.25">
      <c r="A1223" s="231"/>
      <c r="B1223" s="216">
        <v>698</v>
      </c>
      <c r="C1223" s="232">
        <v>43441</v>
      </c>
      <c r="D1223" s="233" t="s">
        <v>231</v>
      </c>
      <c r="E1223" s="216" t="s">
        <v>597</v>
      </c>
      <c r="F1223" s="216" t="s">
        <v>703</v>
      </c>
      <c r="G1223" s="216" t="s">
        <v>596</v>
      </c>
      <c r="H1223" s="216" t="s">
        <v>84</v>
      </c>
      <c r="I1223" s="234" t="s">
        <v>679</v>
      </c>
      <c r="J1223" s="234"/>
      <c r="K1223" s="234"/>
      <c r="L1223" s="216" t="s">
        <v>219</v>
      </c>
      <c r="M1223" s="178">
        <v>1</v>
      </c>
      <c r="N1223" s="235">
        <v>30</v>
      </c>
      <c r="O1223" s="234">
        <v>30</v>
      </c>
      <c r="P1223" s="234">
        <v>30</v>
      </c>
      <c r="Q1223" s="180" t="str">
        <f>IF(PEDIDOS[[#This Row],[Valor do item pago]]=PEDIDOS[[#This Row],[Total Item ]],"PAGO", "")</f>
        <v>PAGO</v>
      </c>
    </row>
    <row r="1224" spans="1:17" s="216" customFormat="1" ht="39.950000000000003" customHeight="1" x14ac:dyDescent="0.25">
      <c r="A1224" s="231"/>
      <c r="B1224" s="216">
        <v>697</v>
      </c>
      <c r="C1224" s="232">
        <v>43441</v>
      </c>
      <c r="D1224" s="233" t="s">
        <v>231</v>
      </c>
      <c r="E1224" s="216" t="s">
        <v>356</v>
      </c>
      <c r="F1224" s="216" t="s">
        <v>700</v>
      </c>
      <c r="G1224" s="216" t="s">
        <v>699</v>
      </c>
      <c r="H1224" s="216" t="s">
        <v>701</v>
      </c>
      <c r="I1224" s="234" t="s">
        <v>702</v>
      </c>
      <c r="J1224" s="234"/>
      <c r="K1224" s="234"/>
      <c r="L1224" s="216" t="s">
        <v>219</v>
      </c>
      <c r="M1224" s="178">
        <v>1</v>
      </c>
      <c r="N1224" s="235">
        <v>30</v>
      </c>
      <c r="O1224" s="234">
        <v>30</v>
      </c>
      <c r="P1224" s="234"/>
      <c r="Q1224" s="180" t="str">
        <f>IF(PEDIDOS[[#This Row],[Valor do item pago]]=PEDIDOS[[#This Row],[Total Item ]],"PAGO", "")</f>
        <v/>
      </c>
    </row>
    <row r="1225" spans="1:17" s="216" customFormat="1" ht="39.950000000000003" customHeight="1" x14ac:dyDescent="0.25">
      <c r="A1225" s="231"/>
      <c r="B1225" s="216">
        <v>696</v>
      </c>
      <c r="C1225" s="232">
        <v>43441</v>
      </c>
      <c r="D1225" s="233" t="s">
        <v>231</v>
      </c>
      <c r="E1225" s="216" t="s">
        <v>346</v>
      </c>
      <c r="F1225" s="216" t="s">
        <v>286</v>
      </c>
      <c r="G1225" s="216" t="s">
        <v>595</v>
      </c>
      <c r="H1225" s="216" t="s">
        <v>512</v>
      </c>
      <c r="I1225" s="234" t="s">
        <v>655</v>
      </c>
      <c r="J1225" s="234"/>
      <c r="K1225" s="234"/>
      <c r="L1225" s="216" t="s">
        <v>219</v>
      </c>
      <c r="M1225" s="178">
        <v>1</v>
      </c>
      <c r="N1225" s="235">
        <v>30</v>
      </c>
      <c r="O1225" s="234">
        <v>30</v>
      </c>
      <c r="P1225" s="234"/>
      <c r="Q1225" s="180" t="str">
        <f>IF(PEDIDOS[[#This Row],[Valor do item pago]]=PEDIDOS[[#This Row],[Total Item ]],"PAGO", "")</f>
        <v/>
      </c>
    </row>
    <row r="1226" spans="1:17" s="216" customFormat="1" ht="39.950000000000003" customHeight="1" x14ac:dyDescent="0.25">
      <c r="A1226" s="231"/>
      <c r="B1226" s="216">
        <v>695</v>
      </c>
      <c r="C1226" s="232">
        <v>43441</v>
      </c>
      <c r="D1226" s="233" t="s">
        <v>44</v>
      </c>
      <c r="E1226" s="216" t="s">
        <v>20</v>
      </c>
      <c r="F1226" s="216" t="s">
        <v>953</v>
      </c>
      <c r="G1226" s="216" t="s">
        <v>59</v>
      </c>
      <c r="H1226" s="216" t="s">
        <v>462</v>
      </c>
      <c r="I1226" s="234" t="s">
        <v>416</v>
      </c>
      <c r="J1226" s="234" t="s">
        <v>1106</v>
      </c>
      <c r="K1226" s="234"/>
      <c r="L1226" s="216" t="s">
        <v>1</v>
      </c>
      <c r="M1226" s="178">
        <v>2</v>
      </c>
      <c r="N1226" s="235">
        <v>30</v>
      </c>
      <c r="O1226" s="234">
        <v>60</v>
      </c>
      <c r="P1226" s="234"/>
      <c r="Q1226" s="180" t="str">
        <f>IF(PEDIDOS[[#This Row],[Valor do item pago]]=PEDIDOS[[#This Row],[Total Item ]],"PAGO", "")</f>
        <v/>
      </c>
    </row>
    <row r="1227" spans="1:17" s="216" customFormat="1" ht="39.950000000000003" customHeight="1" x14ac:dyDescent="0.25">
      <c r="A1227" s="231"/>
      <c r="B1227" s="216">
        <v>694</v>
      </c>
      <c r="C1227" s="232">
        <v>43441</v>
      </c>
      <c r="D1227" s="233" t="s">
        <v>48</v>
      </c>
      <c r="E1227" s="216" t="s">
        <v>607</v>
      </c>
      <c r="F1227" s="216" t="s">
        <v>606</v>
      </c>
      <c r="G1227" s="216" t="s">
        <v>608</v>
      </c>
      <c r="H1227" s="216" t="s">
        <v>609</v>
      </c>
      <c r="I1227" s="234" t="s">
        <v>681</v>
      </c>
      <c r="J1227" s="234"/>
      <c r="K1227" s="234"/>
      <c r="L1227" s="216" t="s">
        <v>3</v>
      </c>
      <c r="M1227" s="178">
        <v>1</v>
      </c>
      <c r="N1227" s="235">
        <v>30</v>
      </c>
      <c r="O1227" s="234">
        <v>30</v>
      </c>
      <c r="P1227" s="234"/>
      <c r="Q1227" s="180" t="str">
        <f>IF(PEDIDOS[[#This Row],[Valor do item pago]]=PEDIDOS[[#This Row],[Total Item ]],"PAGO", "")</f>
        <v/>
      </c>
    </row>
    <row r="1228" spans="1:17" s="216" customFormat="1" ht="39.950000000000003" customHeight="1" x14ac:dyDescent="0.25">
      <c r="A1228" s="231"/>
      <c r="B1228" s="216">
        <v>693</v>
      </c>
      <c r="C1228" s="232">
        <v>43441</v>
      </c>
      <c r="D1228" s="233" t="s">
        <v>48</v>
      </c>
      <c r="E1228" s="216" t="s">
        <v>213</v>
      </c>
      <c r="F1228" s="216" t="s">
        <v>284</v>
      </c>
      <c r="G1228" s="216" t="s">
        <v>85</v>
      </c>
      <c r="H1228" s="216" t="s">
        <v>420</v>
      </c>
      <c r="I1228" s="234" t="s">
        <v>419</v>
      </c>
      <c r="J1228" s="234" t="s">
        <v>887</v>
      </c>
      <c r="K1228" s="234"/>
      <c r="L1228" s="216" t="s">
        <v>1</v>
      </c>
      <c r="M1228" s="178">
        <v>1</v>
      </c>
      <c r="N1228" s="235">
        <v>30</v>
      </c>
      <c r="O1228" s="234">
        <v>30</v>
      </c>
      <c r="P1228" s="234"/>
      <c r="Q1228" s="180" t="str">
        <f>IF(PEDIDOS[[#This Row],[Valor do item pago]]=PEDIDOS[[#This Row],[Total Item ]],"PAGO", "")</f>
        <v/>
      </c>
    </row>
    <row r="1229" spans="1:17" s="216" customFormat="1" ht="39.950000000000003" customHeight="1" x14ac:dyDescent="0.25">
      <c r="A1229" s="231"/>
      <c r="B1229" s="216">
        <v>692</v>
      </c>
      <c r="C1229" s="232">
        <v>43441</v>
      </c>
      <c r="D1229" s="233" t="s">
        <v>48</v>
      </c>
      <c r="E1229" s="216" t="s">
        <v>610</v>
      </c>
      <c r="F1229" s="216" t="s">
        <v>319</v>
      </c>
      <c r="G1229" s="216" t="s">
        <v>455</v>
      </c>
      <c r="H1229" s="216" t="s">
        <v>396</v>
      </c>
      <c r="I1229" s="234" t="s">
        <v>454</v>
      </c>
      <c r="J1229" s="234" t="s">
        <v>1105</v>
      </c>
      <c r="K1229" s="234"/>
      <c r="L1229" s="216" t="s">
        <v>3</v>
      </c>
      <c r="M1229" s="178">
        <v>1</v>
      </c>
      <c r="N1229" s="235">
        <v>30</v>
      </c>
      <c r="O1229" s="234">
        <v>30</v>
      </c>
      <c r="P1229" s="234">
        <v>30</v>
      </c>
      <c r="Q1229" s="180" t="str">
        <f>IF(PEDIDOS[[#This Row],[Valor do item pago]]=PEDIDOS[[#This Row],[Total Item ]],"PAGO", "")</f>
        <v>PAGO</v>
      </c>
    </row>
    <row r="1230" spans="1:17" s="216" customFormat="1" ht="39.950000000000003" customHeight="1" x14ac:dyDescent="0.25">
      <c r="A1230" s="231"/>
      <c r="B1230" s="216">
        <v>691</v>
      </c>
      <c r="C1230" s="232">
        <v>43441</v>
      </c>
      <c r="D1230" s="233" t="s">
        <v>44</v>
      </c>
      <c r="E1230" s="216" t="s">
        <v>750</v>
      </c>
      <c r="F1230" s="216" t="s">
        <v>751</v>
      </c>
      <c r="G1230" s="216" t="s">
        <v>752</v>
      </c>
      <c r="H1230" s="216" t="s">
        <v>753</v>
      </c>
      <c r="I1230" s="234" t="s">
        <v>754</v>
      </c>
      <c r="J1230" s="234"/>
      <c r="K1230" s="234"/>
      <c r="L1230" s="216" t="s">
        <v>1</v>
      </c>
      <c r="M1230" s="178">
        <v>1</v>
      </c>
      <c r="N1230" s="235">
        <v>30</v>
      </c>
      <c r="O1230" s="234">
        <v>30</v>
      </c>
      <c r="P1230" s="234"/>
      <c r="Q1230" s="180" t="str">
        <f>IF(PEDIDOS[[#This Row],[Valor do item pago]]=PEDIDOS[[#This Row],[Total Item ]],"PAGO", "")</f>
        <v/>
      </c>
    </row>
    <row r="1231" spans="1:17" s="216" customFormat="1" ht="39.950000000000003" customHeight="1" x14ac:dyDescent="0.25">
      <c r="A1231" s="231"/>
      <c r="B1231" s="216">
        <v>690</v>
      </c>
      <c r="C1231" s="232">
        <v>43441</v>
      </c>
      <c r="D1231" s="233" t="s">
        <v>44</v>
      </c>
      <c r="E1231" s="216" t="s">
        <v>744</v>
      </c>
      <c r="F1231" s="216" t="s">
        <v>1102</v>
      </c>
      <c r="G1231" s="216" t="s">
        <v>1103</v>
      </c>
      <c r="H1231" s="216" t="s">
        <v>52</v>
      </c>
      <c r="I1231" s="234" t="s">
        <v>1104</v>
      </c>
      <c r="J1231" s="234"/>
      <c r="K1231" s="234"/>
      <c r="L1231" s="216" t="s">
        <v>219</v>
      </c>
      <c r="M1231" s="178">
        <v>1</v>
      </c>
      <c r="N1231" s="235">
        <v>30</v>
      </c>
      <c r="O1231" s="234">
        <v>30</v>
      </c>
      <c r="P1231" s="234"/>
      <c r="Q1231" s="180" t="str">
        <f>IF(PEDIDOS[[#This Row],[Valor do item pago]]=PEDIDOS[[#This Row],[Total Item ]],"PAGO", "")</f>
        <v/>
      </c>
    </row>
    <row r="1232" spans="1:17" s="216" customFormat="1" ht="39.950000000000003" customHeight="1" x14ac:dyDescent="0.25">
      <c r="A1232" s="231"/>
      <c r="B1232" s="216">
        <v>689</v>
      </c>
      <c r="C1232" s="232">
        <v>43441</v>
      </c>
      <c r="D1232" s="233" t="s">
        <v>44</v>
      </c>
      <c r="E1232" s="216" t="s">
        <v>746</v>
      </c>
      <c r="F1232" s="216" t="s">
        <v>774</v>
      </c>
      <c r="G1232" s="216" t="s">
        <v>747</v>
      </c>
      <c r="H1232" s="216" t="s">
        <v>748</v>
      </c>
      <c r="I1232" s="234" t="s">
        <v>749</v>
      </c>
      <c r="J1232" s="234"/>
      <c r="K1232" s="234"/>
      <c r="L1232" s="216" t="s">
        <v>219</v>
      </c>
      <c r="M1232" s="178">
        <v>1</v>
      </c>
      <c r="N1232" s="235">
        <v>30</v>
      </c>
      <c r="O1232" s="234">
        <v>30</v>
      </c>
      <c r="P1232" s="234"/>
      <c r="Q1232" s="180" t="str">
        <f>IF(PEDIDOS[[#This Row],[Valor do item pago]]=PEDIDOS[[#This Row],[Total Item ]],"PAGO", "")</f>
        <v/>
      </c>
    </row>
    <row r="1233" spans="1:17" s="216" customFormat="1" ht="39.950000000000003" customHeight="1" x14ac:dyDescent="0.25">
      <c r="A1233" s="231"/>
      <c r="B1233" s="216">
        <v>689</v>
      </c>
      <c r="C1233" s="232">
        <v>43441</v>
      </c>
      <c r="D1233" s="233" t="s">
        <v>44</v>
      </c>
      <c r="E1233" s="216" t="s">
        <v>746</v>
      </c>
      <c r="F1233" s="216" t="s">
        <v>774</v>
      </c>
      <c r="G1233" s="216" t="s">
        <v>747</v>
      </c>
      <c r="H1233" s="216" t="s">
        <v>748</v>
      </c>
      <c r="I1233" s="234" t="s">
        <v>749</v>
      </c>
      <c r="J1233" s="234"/>
      <c r="K1233" s="234"/>
      <c r="L1233" s="216" t="s">
        <v>0</v>
      </c>
      <c r="M1233" s="178">
        <v>1</v>
      </c>
      <c r="N1233" s="235">
        <v>30</v>
      </c>
      <c r="O1233" s="234">
        <v>30</v>
      </c>
      <c r="P1233" s="234"/>
      <c r="Q1233" s="180" t="str">
        <f>IF(PEDIDOS[[#This Row],[Valor do item pago]]=PEDIDOS[[#This Row],[Total Item ]],"PAGO", "")</f>
        <v/>
      </c>
    </row>
    <row r="1234" spans="1:17" s="216" customFormat="1" ht="39.950000000000003" customHeight="1" x14ac:dyDescent="0.25">
      <c r="A1234" s="231"/>
      <c r="B1234" s="216">
        <v>688</v>
      </c>
      <c r="C1234" s="232">
        <v>43441</v>
      </c>
      <c r="D1234" s="233" t="s">
        <v>44</v>
      </c>
      <c r="E1234" s="216" t="s">
        <v>1058</v>
      </c>
      <c r="F1234" s="216">
        <v>0</v>
      </c>
      <c r="G1234" s="216">
        <v>0</v>
      </c>
      <c r="H1234" s="216" t="s">
        <v>741</v>
      </c>
      <c r="I1234" s="234"/>
      <c r="J1234" s="234" t="s">
        <v>741</v>
      </c>
      <c r="K1234" s="234"/>
      <c r="L1234" s="216" t="s">
        <v>219</v>
      </c>
      <c r="M1234" s="178">
        <v>1</v>
      </c>
      <c r="N1234" s="235">
        <v>30</v>
      </c>
      <c r="O1234" s="234">
        <v>30</v>
      </c>
      <c r="P1234" s="234"/>
      <c r="Q1234" s="180" t="str">
        <f>IF(PEDIDOS[[#This Row],[Valor do item pago]]=PEDIDOS[[#This Row],[Total Item ]],"PAGO", "")</f>
        <v/>
      </c>
    </row>
    <row r="1235" spans="1:17" s="216" customFormat="1" ht="39.950000000000003" customHeight="1" x14ac:dyDescent="0.25">
      <c r="A1235" s="231"/>
      <c r="B1235" s="216">
        <v>687</v>
      </c>
      <c r="C1235" s="232">
        <v>43441</v>
      </c>
      <c r="D1235" s="233" t="s">
        <v>44</v>
      </c>
      <c r="E1235" s="216" t="s">
        <v>1101</v>
      </c>
      <c r="F1235" s="216">
        <v>0</v>
      </c>
      <c r="G1235" s="216">
        <v>0</v>
      </c>
      <c r="H1235" s="216" t="s">
        <v>38</v>
      </c>
      <c r="I1235" s="234"/>
      <c r="J1235" s="234"/>
      <c r="K1235" s="234"/>
      <c r="L1235" s="216" t="s">
        <v>219</v>
      </c>
      <c r="M1235" s="178">
        <v>1</v>
      </c>
      <c r="N1235" s="235">
        <v>30</v>
      </c>
      <c r="O1235" s="234">
        <v>30</v>
      </c>
      <c r="P1235" s="234"/>
      <c r="Q1235" s="180" t="str">
        <f>IF(PEDIDOS[[#This Row],[Valor do item pago]]=PEDIDOS[[#This Row],[Total Item ]],"PAGO", "")</f>
        <v/>
      </c>
    </row>
    <row r="1236" spans="1:17" s="216" customFormat="1" ht="39.950000000000003" customHeight="1" x14ac:dyDescent="0.25">
      <c r="A1236" s="231"/>
      <c r="B1236" s="216">
        <v>686</v>
      </c>
      <c r="C1236" s="232">
        <v>43441</v>
      </c>
      <c r="D1236" s="233" t="s">
        <v>44</v>
      </c>
      <c r="E1236" s="216" t="s">
        <v>380</v>
      </c>
      <c r="F1236" s="216">
        <v>0</v>
      </c>
      <c r="G1236" s="216">
        <v>0</v>
      </c>
      <c r="H1236" s="216">
        <v>0</v>
      </c>
      <c r="I1236" s="234"/>
      <c r="J1236" s="234" t="s">
        <v>1025</v>
      </c>
      <c r="K1236" s="234"/>
      <c r="L1236" s="216" t="s">
        <v>1</v>
      </c>
      <c r="M1236" s="178">
        <v>1</v>
      </c>
      <c r="N1236" s="235">
        <v>30</v>
      </c>
      <c r="O1236" s="234">
        <v>30</v>
      </c>
      <c r="P1236" s="234"/>
      <c r="Q1236" s="180" t="str">
        <f>IF(PEDIDOS[[#This Row],[Valor do item pago]]=PEDIDOS[[#This Row],[Total Item ]],"PAGO", "")</f>
        <v/>
      </c>
    </row>
    <row r="1237" spans="1:17" s="216" customFormat="1" ht="39.950000000000003" customHeight="1" x14ac:dyDescent="0.25">
      <c r="A1237" s="231"/>
      <c r="B1237" s="216">
        <v>685</v>
      </c>
      <c r="C1237" s="232">
        <v>43441</v>
      </c>
      <c r="D1237" s="233" t="s">
        <v>44</v>
      </c>
      <c r="E1237" s="216" t="s">
        <v>25</v>
      </c>
      <c r="F1237" s="216" t="s">
        <v>291</v>
      </c>
      <c r="G1237" s="216" t="s">
        <v>330</v>
      </c>
      <c r="H1237" s="216" t="s">
        <v>406</v>
      </c>
      <c r="I1237" s="234" t="s">
        <v>329</v>
      </c>
      <c r="J1237" s="234"/>
      <c r="K1237" s="234"/>
      <c r="L1237" s="216" t="s">
        <v>219</v>
      </c>
      <c r="M1237" s="178">
        <v>2</v>
      </c>
      <c r="N1237" s="235">
        <v>30</v>
      </c>
      <c r="O1237" s="234">
        <v>60</v>
      </c>
      <c r="P1237" s="234"/>
      <c r="Q1237" s="180" t="str">
        <f>IF(PEDIDOS[[#This Row],[Valor do item pago]]=PEDIDOS[[#This Row],[Total Item ]],"PAGO", "")</f>
        <v/>
      </c>
    </row>
    <row r="1238" spans="1:17" s="216" customFormat="1" ht="39.950000000000003" customHeight="1" x14ac:dyDescent="0.25">
      <c r="A1238" s="231"/>
      <c r="B1238" s="216">
        <v>684</v>
      </c>
      <c r="C1238" s="232">
        <v>43441</v>
      </c>
      <c r="D1238" s="233" t="s">
        <v>44</v>
      </c>
      <c r="E1238" s="216" t="s">
        <v>741</v>
      </c>
      <c r="F1238" s="216" t="s">
        <v>742</v>
      </c>
      <c r="G1238" s="216">
        <v>0</v>
      </c>
      <c r="H1238" s="216" t="s">
        <v>40</v>
      </c>
      <c r="I1238" s="234"/>
      <c r="J1238" s="234" t="s">
        <v>1100</v>
      </c>
      <c r="K1238" s="234"/>
      <c r="L1238" s="216" t="s">
        <v>235</v>
      </c>
      <c r="M1238" s="178">
        <v>1</v>
      </c>
      <c r="N1238" s="235">
        <v>30</v>
      </c>
      <c r="O1238" s="234">
        <v>30</v>
      </c>
      <c r="P1238" s="234"/>
      <c r="Q1238" s="180" t="str">
        <f>IF(PEDIDOS[[#This Row],[Valor do item pago]]=PEDIDOS[[#This Row],[Total Item ]],"PAGO", "")</f>
        <v/>
      </c>
    </row>
    <row r="1239" spans="1:17" s="216" customFormat="1" ht="39.950000000000003" customHeight="1" x14ac:dyDescent="0.25">
      <c r="A1239" s="231"/>
      <c r="B1239" s="216">
        <v>683</v>
      </c>
      <c r="C1239" s="232">
        <v>43441</v>
      </c>
      <c r="D1239" s="233" t="s">
        <v>473</v>
      </c>
      <c r="E1239" s="216" t="s">
        <v>1098</v>
      </c>
      <c r="F1239" s="216" t="s">
        <v>1099</v>
      </c>
      <c r="G1239" s="216">
        <v>0</v>
      </c>
      <c r="H1239" s="216" t="s">
        <v>40</v>
      </c>
      <c r="I1239" s="234"/>
      <c r="J1239" s="234" t="s">
        <v>40</v>
      </c>
      <c r="K1239" s="234"/>
      <c r="L1239" s="216" t="s">
        <v>3</v>
      </c>
      <c r="M1239" s="178">
        <v>1</v>
      </c>
      <c r="N1239" s="235">
        <v>30</v>
      </c>
      <c r="O1239" s="234">
        <v>30</v>
      </c>
      <c r="P1239" s="234"/>
      <c r="Q1239" s="180" t="str">
        <f>IF(PEDIDOS[[#This Row],[Valor do item pago]]=PEDIDOS[[#This Row],[Total Item ]],"PAGO", "")</f>
        <v/>
      </c>
    </row>
    <row r="1240" spans="1:17" s="216" customFormat="1" ht="39.950000000000003" customHeight="1" x14ac:dyDescent="0.25">
      <c r="A1240" s="231"/>
      <c r="B1240" s="216">
        <v>683</v>
      </c>
      <c r="C1240" s="232">
        <v>43441</v>
      </c>
      <c r="D1240" s="233" t="s">
        <v>473</v>
      </c>
      <c r="E1240" s="216" t="s">
        <v>1098</v>
      </c>
      <c r="F1240" s="216" t="s">
        <v>1099</v>
      </c>
      <c r="G1240" s="216">
        <v>0</v>
      </c>
      <c r="H1240" s="216" t="s">
        <v>40</v>
      </c>
      <c r="I1240" s="234"/>
      <c r="J1240" s="234" t="s">
        <v>40</v>
      </c>
      <c r="K1240" s="234"/>
      <c r="L1240" s="216" t="s">
        <v>219</v>
      </c>
      <c r="M1240" s="178">
        <v>1</v>
      </c>
      <c r="N1240" s="235">
        <v>30</v>
      </c>
      <c r="O1240" s="234">
        <v>30</v>
      </c>
      <c r="P1240" s="234"/>
      <c r="Q1240" s="180" t="str">
        <f>IF(PEDIDOS[[#This Row],[Valor do item pago]]=PEDIDOS[[#This Row],[Total Item ]],"PAGO", "")</f>
        <v/>
      </c>
    </row>
    <row r="1241" spans="1:17" s="216" customFormat="1" ht="39.950000000000003" customHeight="1" x14ac:dyDescent="0.25">
      <c r="A1241" s="231"/>
      <c r="B1241" s="216">
        <v>683</v>
      </c>
      <c r="C1241" s="232">
        <v>43441</v>
      </c>
      <c r="D1241" s="233" t="s">
        <v>473</v>
      </c>
      <c r="E1241" s="216" t="s">
        <v>1098</v>
      </c>
      <c r="F1241" s="216" t="s">
        <v>1099</v>
      </c>
      <c r="G1241" s="216">
        <v>0</v>
      </c>
      <c r="H1241" s="216" t="s">
        <v>40</v>
      </c>
      <c r="I1241" s="234"/>
      <c r="J1241" s="234" t="s">
        <v>40</v>
      </c>
      <c r="K1241" s="234"/>
      <c r="L1241" s="216" t="s">
        <v>0</v>
      </c>
      <c r="M1241" s="178">
        <v>1</v>
      </c>
      <c r="N1241" s="235">
        <v>30</v>
      </c>
      <c r="O1241" s="234">
        <v>30</v>
      </c>
      <c r="P1241" s="234"/>
      <c r="Q1241" s="180" t="str">
        <f>IF(PEDIDOS[[#This Row],[Valor do item pago]]=PEDIDOS[[#This Row],[Total Item ]],"PAGO", "")</f>
        <v/>
      </c>
    </row>
    <row r="1242" spans="1:17" s="216" customFormat="1" ht="39.950000000000003" customHeight="1" x14ac:dyDescent="0.25">
      <c r="A1242" s="231"/>
      <c r="B1242" s="216">
        <v>682</v>
      </c>
      <c r="C1242" s="232">
        <v>43441</v>
      </c>
      <c r="D1242" s="233" t="s">
        <v>473</v>
      </c>
      <c r="E1242" s="216" t="s">
        <v>473</v>
      </c>
      <c r="F1242" s="216" t="s">
        <v>315</v>
      </c>
      <c r="G1242" s="216">
        <v>0</v>
      </c>
      <c r="H1242" s="216">
        <v>0</v>
      </c>
      <c r="I1242" s="234"/>
      <c r="J1242" s="234"/>
      <c r="K1242" s="234"/>
      <c r="L1242" s="216" t="s">
        <v>1</v>
      </c>
      <c r="M1242" s="178">
        <v>1</v>
      </c>
      <c r="N1242" s="235">
        <v>30</v>
      </c>
      <c r="O1242" s="234">
        <v>30</v>
      </c>
      <c r="P1242" s="234"/>
      <c r="Q1242" s="180" t="str">
        <f>IF(PEDIDOS[[#This Row],[Valor do item pago]]=PEDIDOS[[#This Row],[Total Item ]],"PAGO", "")</f>
        <v/>
      </c>
    </row>
    <row r="1243" spans="1:17" s="216" customFormat="1" ht="39.950000000000003" customHeight="1" x14ac:dyDescent="0.25">
      <c r="A1243" s="231"/>
      <c r="B1243" s="216">
        <v>681</v>
      </c>
      <c r="C1243" s="232">
        <v>43441</v>
      </c>
      <c r="D1243" s="233" t="s">
        <v>24</v>
      </c>
      <c r="E1243" s="216" t="s">
        <v>23</v>
      </c>
      <c r="F1243" s="216">
        <v>0</v>
      </c>
      <c r="G1243" s="216">
        <v>0</v>
      </c>
      <c r="H1243" s="216">
        <v>0</v>
      </c>
      <c r="I1243" s="234"/>
      <c r="J1243" s="234" t="s">
        <v>1097</v>
      </c>
      <c r="K1243" s="234"/>
      <c r="L1243" s="216" t="s">
        <v>219</v>
      </c>
      <c r="M1243" s="178">
        <v>2</v>
      </c>
      <c r="N1243" s="235">
        <v>30</v>
      </c>
      <c r="O1243" s="234">
        <v>60</v>
      </c>
      <c r="P1243" s="234"/>
      <c r="Q1243" s="180" t="str">
        <f>IF(PEDIDOS[[#This Row],[Valor do item pago]]=PEDIDOS[[#This Row],[Total Item ]],"PAGO", "")</f>
        <v/>
      </c>
    </row>
    <row r="1244" spans="1:17" s="216" customFormat="1" ht="39.950000000000003" customHeight="1" x14ac:dyDescent="0.25">
      <c r="A1244" s="231"/>
      <c r="B1244" s="216">
        <v>680</v>
      </c>
      <c r="C1244" s="232">
        <v>43441</v>
      </c>
      <c r="D1244" s="233" t="s">
        <v>24</v>
      </c>
      <c r="E1244" s="216" t="s">
        <v>25</v>
      </c>
      <c r="F1244" s="216" t="s">
        <v>291</v>
      </c>
      <c r="G1244" s="216" t="s">
        <v>330</v>
      </c>
      <c r="H1244" s="216" t="s">
        <v>406</v>
      </c>
      <c r="I1244" s="234" t="s">
        <v>329</v>
      </c>
      <c r="J1244" s="234"/>
      <c r="K1244" s="234"/>
      <c r="L1244" s="216" t="s">
        <v>219</v>
      </c>
      <c r="M1244" s="178">
        <v>1</v>
      </c>
      <c r="N1244" s="235">
        <v>30</v>
      </c>
      <c r="O1244" s="234">
        <v>30</v>
      </c>
      <c r="P1244" s="234"/>
      <c r="Q1244" s="180" t="str">
        <f>IF(PEDIDOS[[#This Row],[Valor do item pago]]=PEDIDOS[[#This Row],[Total Item ]],"PAGO", "")</f>
        <v/>
      </c>
    </row>
    <row r="1245" spans="1:17" s="216" customFormat="1" ht="39.950000000000003" customHeight="1" x14ac:dyDescent="0.25">
      <c r="A1245" s="231"/>
      <c r="B1245" s="216">
        <v>679</v>
      </c>
      <c r="C1245" s="232">
        <v>43441</v>
      </c>
      <c r="D1245" s="233" t="s">
        <v>34</v>
      </c>
      <c r="E1245" s="216" t="s">
        <v>1075</v>
      </c>
      <c r="F1245" s="216" t="s">
        <v>1076</v>
      </c>
      <c r="G1245" s="216" t="s">
        <v>1077</v>
      </c>
      <c r="H1245" s="216" t="s">
        <v>651</v>
      </c>
      <c r="I1245" s="234" t="s">
        <v>1078</v>
      </c>
      <c r="J1245" s="234" t="s">
        <v>1096</v>
      </c>
      <c r="K1245" s="234"/>
      <c r="L1245" s="216" t="s">
        <v>0</v>
      </c>
      <c r="M1245" s="178">
        <v>1</v>
      </c>
      <c r="N1245" s="235">
        <v>30</v>
      </c>
      <c r="O1245" s="234">
        <v>30</v>
      </c>
      <c r="P1245" s="234"/>
      <c r="Q1245" s="180" t="str">
        <f>IF(PEDIDOS[[#This Row],[Valor do item pago]]=PEDIDOS[[#This Row],[Total Item ]],"PAGO", "")</f>
        <v/>
      </c>
    </row>
    <row r="1246" spans="1:17" s="216" customFormat="1" ht="39.950000000000003" customHeight="1" x14ac:dyDescent="0.25">
      <c r="A1246" s="231"/>
      <c r="B1246" s="216">
        <v>678</v>
      </c>
      <c r="C1246" s="232">
        <v>43441</v>
      </c>
      <c r="D1246" s="233" t="s">
        <v>34</v>
      </c>
      <c r="E1246" s="216" t="s">
        <v>588</v>
      </c>
      <c r="F1246" s="216" t="s">
        <v>1079</v>
      </c>
      <c r="G1246" s="216" t="s">
        <v>586</v>
      </c>
      <c r="H1246" s="216" t="s">
        <v>544</v>
      </c>
      <c r="I1246" s="234" t="s">
        <v>677</v>
      </c>
      <c r="J1246" s="234"/>
      <c r="K1246" s="234"/>
      <c r="L1246" s="216" t="s">
        <v>3</v>
      </c>
      <c r="M1246" s="178">
        <v>1</v>
      </c>
      <c r="N1246" s="235">
        <v>30</v>
      </c>
      <c r="O1246" s="234">
        <v>30</v>
      </c>
      <c r="P1246" s="234"/>
      <c r="Q1246" s="180" t="str">
        <f>IF(PEDIDOS[[#This Row],[Valor do item pago]]=PEDIDOS[[#This Row],[Total Item ]],"PAGO", "")</f>
        <v/>
      </c>
    </row>
    <row r="1247" spans="1:17" s="216" customFormat="1" ht="39.950000000000003" customHeight="1" x14ac:dyDescent="0.25">
      <c r="A1247" s="231"/>
      <c r="B1247" s="216">
        <v>677</v>
      </c>
      <c r="C1247" s="232">
        <v>43441</v>
      </c>
      <c r="D1247" s="233" t="s">
        <v>823</v>
      </c>
      <c r="E1247" s="216" t="s">
        <v>578</v>
      </c>
      <c r="F1247" s="216" t="s">
        <v>573</v>
      </c>
      <c r="G1247" s="216" t="s">
        <v>621</v>
      </c>
      <c r="H1247" s="216" t="s">
        <v>582</v>
      </c>
      <c r="I1247" s="234" t="s">
        <v>674</v>
      </c>
      <c r="J1247" s="234"/>
      <c r="K1247" s="234"/>
      <c r="L1247" s="216" t="s">
        <v>1</v>
      </c>
      <c r="M1247" s="178">
        <v>1</v>
      </c>
      <c r="N1247" s="235">
        <v>30</v>
      </c>
      <c r="O1247" s="234">
        <v>30</v>
      </c>
      <c r="P1247" s="234"/>
      <c r="Q1247" s="180" t="str">
        <f>IF(PEDIDOS[[#This Row],[Valor do item pago]]=PEDIDOS[[#This Row],[Total Item ]],"PAGO", "")</f>
        <v/>
      </c>
    </row>
    <row r="1248" spans="1:17" s="216" customFormat="1" ht="39.950000000000003" customHeight="1" x14ac:dyDescent="0.25">
      <c r="A1248" s="231"/>
      <c r="B1248" s="216">
        <v>676</v>
      </c>
      <c r="C1248" s="232">
        <v>43441</v>
      </c>
      <c r="D1248" s="233" t="s">
        <v>804</v>
      </c>
      <c r="E1248" s="216" t="s">
        <v>804</v>
      </c>
      <c r="F1248" s="216" t="s">
        <v>803</v>
      </c>
      <c r="G1248" s="216">
        <v>0</v>
      </c>
      <c r="H1248" s="216">
        <v>0</v>
      </c>
      <c r="I1248" s="234"/>
      <c r="J1248" s="234"/>
      <c r="K1248" s="234"/>
      <c r="L1248" s="216" t="s">
        <v>3</v>
      </c>
      <c r="M1248" s="178">
        <v>1</v>
      </c>
      <c r="N1248" s="235">
        <v>30</v>
      </c>
      <c r="O1248" s="234">
        <v>30</v>
      </c>
      <c r="P1248" s="234"/>
      <c r="Q1248" s="180" t="str">
        <f>IF(PEDIDOS[[#This Row],[Valor do item pago]]=PEDIDOS[[#This Row],[Total Item ]],"PAGO", "")</f>
        <v/>
      </c>
    </row>
    <row r="1249" spans="1:17" s="216" customFormat="1" ht="39.950000000000003" customHeight="1" x14ac:dyDescent="0.25">
      <c r="A1249" s="231"/>
      <c r="B1249" s="216">
        <v>675</v>
      </c>
      <c r="C1249" s="232">
        <v>43441</v>
      </c>
      <c r="D1249" s="233" t="s">
        <v>60</v>
      </c>
      <c r="E1249" s="216" t="s">
        <v>762</v>
      </c>
      <c r="F1249" s="216">
        <v>0</v>
      </c>
      <c r="G1249" s="216" t="s">
        <v>763</v>
      </c>
      <c r="H1249" s="216">
        <v>0</v>
      </c>
      <c r="I1249" s="234"/>
      <c r="J1249" s="234"/>
      <c r="K1249" s="234"/>
      <c r="L1249" s="216" t="s">
        <v>3</v>
      </c>
      <c r="M1249" s="178">
        <v>1</v>
      </c>
      <c r="N1249" s="235">
        <v>30</v>
      </c>
      <c r="O1249" s="234">
        <v>30</v>
      </c>
      <c r="P1249" s="234"/>
      <c r="Q1249" s="180" t="str">
        <f>IF(PEDIDOS[[#This Row],[Valor do item pago]]=PEDIDOS[[#This Row],[Total Item ]],"PAGO", "")</f>
        <v/>
      </c>
    </row>
    <row r="1250" spans="1:17" s="216" customFormat="1" ht="39.950000000000003" customHeight="1" x14ac:dyDescent="0.25">
      <c r="A1250" s="231"/>
      <c r="B1250" s="216">
        <v>674</v>
      </c>
      <c r="C1250" s="232">
        <v>43441</v>
      </c>
      <c r="D1250" s="233" t="s">
        <v>229</v>
      </c>
      <c r="E1250" s="216" t="s">
        <v>50</v>
      </c>
      <c r="F1250" s="216">
        <v>0</v>
      </c>
      <c r="G1250" s="216">
        <v>0</v>
      </c>
      <c r="H1250" s="216">
        <v>0</v>
      </c>
      <c r="I1250" s="234"/>
      <c r="J1250" s="234"/>
      <c r="K1250" s="234"/>
      <c r="L1250" s="216" t="s">
        <v>3</v>
      </c>
      <c r="M1250" s="178">
        <v>2</v>
      </c>
      <c r="N1250" s="235">
        <v>30</v>
      </c>
      <c r="O1250" s="234">
        <v>60</v>
      </c>
      <c r="P1250" s="234"/>
      <c r="Q1250" s="180" t="str">
        <f>IF(PEDIDOS[[#This Row],[Valor do item pago]]=PEDIDOS[[#This Row],[Total Item ]],"PAGO", "")</f>
        <v/>
      </c>
    </row>
    <row r="1251" spans="1:17" s="216" customFormat="1" ht="39.950000000000003" customHeight="1" x14ac:dyDescent="0.25">
      <c r="A1251" s="231"/>
      <c r="B1251" s="216">
        <v>674</v>
      </c>
      <c r="C1251" s="232">
        <v>43441</v>
      </c>
      <c r="D1251" s="233" t="s">
        <v>229</v>
      </c>
      <c r="E1251" s="216" t="s">
        <v>50</v>
      </c>
      <c r="F1251" s="216">
        <v>0</v>
      </c>
      <c r="G1251" s="216">
        <v>0</v>
      </c>
      <c r="H1251" s="216">
        <v>0</v>
      </c>
      <c r="I1251" s="234"/>
      <c r="J1251" s="234"/>
      <c r="K1251" s="234"/>
      <c r="L1251" s="216" t="s">
        <v>219</v>
      </c>
      <c r="M1251" s="178">
        <v>1</v>
      </c>
      <c r="N1251" s="235">
        <v>30</v>
      </c>
      <c r="O1251" s="234">
        <v>30</v>
      </c>
      <c r="P1251" s="234"/>
      <c r="Q1251" s="180" t="str">
        <f>IF(PEDIDOS[[#This Row],[Valor do item pago]]=PEDIDOS[[#This Row],[Total Item ]],"PAGO", "")</f>
        <v/>
      </c>
    </row>
    <row r="1252" spans="1:17" s="216" customFormat="1" ht="39.950000000000003" customHeight="1" x14ac:dyDescent="0.25">
      <c r="A1252" s="231"/>
      <c r="B1252" s="216">
        <v>674</v>
      </c>
      <c r="C1252" s="232">
        <v>43441</v>
      </c>
      <c r="D1252" s="233" t="s">
        <v>229</v>
      </c>
      <c r="E1252" s="216" t="s">
        <v>50</v>
      </c>
      <c r="F1252" s="216">
        <v>0</v>
      </c>
      <c r="G1252" s="216">
        <v>0</v>
      </c>
      <c r="H1252" s="216">
        <v>0</v>
      </c>
      <c r="I1252" s="234"/>
      <c r="J1252" s="234"/>
      <c r="K1252" s="234"/>
      <c r="L1252" s="216" t="s">
        <v>1</v>
      </c>
      <c r="M1252" s="178">
        <v>2</v>
      </c>
      <c r="N1252" s="235">
        <v>30</v>
      </c>
      <c r="O1252" s="234">
        <v>60</v>
      </c>
      <c r="P1252" s="234"/>
      <c r="Q1252" s="180" t="str">
        <f>IF(PEDIDOS[[#This Row],[Valor do item pago]]=PEDIDOS[[#This Row],[Total Item ]],"PAGO", "")</f>
        <v/>
      </c>
    </row>
    <row r="1253" spans="1:17" s="216" customFormat="1" ht="39.950000000000003" customHeight="1" x14ac:dyDescent="0.25">
      <c r="A1253" s="231"/>
      <c r="B1253" s="216">
        <v>674</v>
      </c>
      <c r="C1253" s="232">
        <v>43441</v>
      </c>
      <c r="D1253" s="233" t="s">
        <v>229</v>
      </c>
      <c r="E1253" s="216" t="s">
        <v>50</v>
      </c>
      <c r="F1253" s="216">
        <v>0</v>
      </c>
      <c r="G1253" s="216">
        <v>0</v>
      </c>
      <c r="H1253" s="216">
        <v>0</v>
      </c>
      <c r="I1253" s="234"/>
      <c r="J1253" s="234"/>
      <c r="K1253" s="234"/>
      <c r="L1253" s="216" t="s">
        <v>0</v>
      </c>
      <c r="M1253" s="178">
        <v>2</v>
      </c>
      <c r="N1253" s="235">
        <v>30</v>
      </c>
      <c r="O1253" s="234">
        <v>60</v>
      </c>
      <c r="P1253" s="234"/>
      <c r="Q1253" s="180" t="str">
        <f>IF(PEDIDOS[[#This Row],[Valor do item pago]]=PEDIDOS[[#This Row],[Total Item ]],"PAGO", "")</f>
        <v/>
      </c>
    </row>
    <row r="1254" spans="1:17" s="216" customFormat="1" ht="39.950000000000003" customHeight="1" x14ac:dyDescent="0.25">
      <c r="A1254" s="231"/>
      <c r="B1254" s="216">
        <v>673</v>
      </c>
      <c r="C1254" s="232">
        <v>43441</v>
      </c>
      <c r="D1254" s="233" t="s">
        <v>45</v>
      </c>
      <c r="E1254" s="216" t="s">
        <v>478</v>
      </c>
      <c r="F1254" s="216" t="s">
        <v>297</v>
      </c>
      <c r="G1254" s="216">
        <v>0</v>
      </c>
      <c r="H1254" s="216">
        <v>0</v>
      </c>
      <c r="I1254" s="234"/>
      <c r="J1254" s="234"/>
      <c r="K1254" s="234"/>
      <c r="L1254" s="216" t="s">
        <v>3</v>
      </c>
      <c r="M1254" s="178">
        <v>1</v>
      </c>
      <c r="N1254" s="235">
        <v>30</v>
      </c>
      <c r="O1254" s="234">
        <v>30</v>
      </c>
      <c r="P1254" s="234"/>
      <c r="Q1254" s="180" t="str">
        <f>IF(PEDIDOS[[#This Row],[Valor do item pago]]=PEDIDOS[[#This Row],[Total Item ]],"PAGO", "")</f>
        <v/>
      </c>
    </row>
    <row r="1255" spans="1:17" s="216" customFormat="1" ht="39.950000000000003" customHeight="1" x14ac:dyDescent="0.25">
      <c r="A1255" s="231"/>
      <c r="B1255" s="216">
        <v>672</v>
      </c>
      <c r="C1255" s="232">
        <v>43441</v>
      </c>
      <c r="D1255" s="233" t="s">
        <v>45</v>
      </c>
      <c r="E1255" s="216" t="s">
        <v>948</v>
      </c>
      <c r="F1255" s="216" t="s">
        <v>951</v>
      </c>
      <c r="G1255" s="216" t="s">
        <v>949</v>
      </c>
      <c r="H1255" s="216" t="s">
        <v>520</v>
      </c>
      <c r="I1255" s="234" t="s">
        <v>950</v>
      </c>
      <c r="J1255" s="234"/>
      <c r="K1255" s="234"/>
      <c r="L1255" s="216" t="s">
        <v>1</v>
      </c>
      <c r="M1255" s="178">
        <v>1</v>
      </c>
      <c r="N1255" s="235">
        <v>30</v>
      </c>
      <c r="O1255" s="234">
        <v>30</v>
      </c>
      <c r="P1255" s="234"/>
      <c r="Q1255" s="180" t="str">
        <f>IF(PEDIDOS[[#This Row],[Valor do item pago]]=PEDIDOS[[#This Row],[Total Item ]],"PAGO", "")</f>
        <v/>
      </c>
    </row>
    <row r="1256" spans="1:17" s="216" customFormat="1" ht="39.950000000000003" customHeight="1" x14ac:dyDescent="0.25">
      <c r="A1256" s="231"/>
      <c r="B1256" s="216">
        <v>671</v>
      </c>
      <c r="C1256" s="232">
        <v>43441</v>
      </c>
      <c r="D1256" s="233" t="s">
        <v>916</v>
      </c>
      <c r="E1256" s="216" t="s">
        <v>732</v>
      </c>
      <c r="F1256" s="216" t="s">
        <v>733</v>
      </c>
      <c r="G1256" s="216">
        <v>0</v>
      </c>
      <c r="H1256" s="216" t="s">
        <v>40</v>
      </c>
      <c r="I1256" s="234"/>
      <c r="J1256" s="234"/>
      <c r="K1256" s="234"/>
      <c r="L1256" s="216" t="s">
        <v>0</v>
      </c>
      <c r="M1256" s="178">
        <v>2</v>
      </c>
      <c r="N1256" s="235">
        <v>30</v>
      </c>
      <c r="O1256" s="234">
        <v>60</v>
      </c>
      <c r="P1256" s="234"/>
      <c r="Q1256" s="180" t="str">
        <f>IF(PEDIDOS[[#This Row],[Valor do item pago]]=PEDIDOS[[#This Row],[Total Item ]],"PAGO", "")</f>
        <v/>
      </c>
    </row>
    <row r="1257" spans="1:17" s="216" customFormat="1" ht="39.950000000000003" customHeight="1" x14ac:dyDescent="0.25">
      <c r="A1257" s="231"/>
      <c r="B1257" s="216">
        <v>670</v>
      </c>
      <c r="C1257" s="232">
        <v>43413</v>
      </c>
      <c r="D1257" s="233" t="s">
        <v>477</v>
      </c>
      <c r="E1257" s="216" t="s">
        <v>1087</v>
      </c>
      <c r="F1257" s="216" t="s">
        <v>1088</v>
      </c>
      <c r="G1257" s="216" t="s">
        <v>1089</v>
      </c>
      <c r="H1257" s="216" t="s">
        <v>570</v>
      </c>
      <c r="I1257" s="234" t="s">
        <v>1090</v>
      </c>
      <c r="J1257" s="234" t="s">
        <v>1095</v>
      </c>
      <c r="K1257" s="234"/>
      <c r="L1257" s="216" t="s">
        <v>219</v>
      </c>
      <c r="M1257" s="178">
        <v>1</v>
      </c>
      <c r="N1257" s="235">
        <v>30</v>
      </c>
      <c r="O1257" s="234">
        <v>30</v>
      </c>
      <c r="P1257" s="234">
        <v>30</v>
      </c>
      <c r="Q1257" s="180" t="str">
        <f>IF(PEDIDOS[[#This Row],[Valor do item pago]]=PEDIDOS[[#This Row],[Total Item ]],"PAGO", "")</f>
        <v>PAGO</v>
      </c>
    </row>
    <row r="1258" spans="1:17" s="216" customFormat="1" ht="39.950000000000003" customHeight="1" x14ac:dyDescent="0.25">
      <c r="A1258" s="231"/>
      <c r="B1258" s="216">
        <v>669</v>
      </c>
      <c r="C1258" s="232">
        <v>43413</v>
      </c>
      <c r="D1258" s="233" t="s">
        <v>477</v>
      </c>
      <c r="E1258" s="216" t="s">
        <v>1091</v>
      </c>
      <c r="F1258" s="216" t="s">
        <v>1092</v>
      </c>
      <c r="G1258" s="216" t="s">
        <v>1093</v>
      </c>
      <c r="H1258" s="216" t="s">
        <v>779</v>
      </c>
      <c r="I1258" s="234" t="s">
        <v>1094</v>
      </c>
      <c r="J1258" s="234"/>
      <c r="K1258" s="234"/>
      <c r="L1258" s="216" t="s">
        <v>3</v>
      </c>
      <c r="M1258" s="178">
        <v>1</v>
      </c>
      <c r="N1258" s="235">
        <v>30</v>
      </c>
      <c r="O1258" s="234">
        <v>30</v>
      </c>
      <c r="P1258" s="234">
        <v>30</v>
      </c>
      <c r="Q1258" s="180" t="str">
        <f>IF(PEDIDOS[[#This Row],[Valor do item pago]]=PEDIDOS[[#This Row],[Total Item ]],"PAGO", "")</f>
        <v>PAGO</v>
      </c>
    </row>
    <row r="1259" spans="1:17" s="216" customFormat="1" ht="39.950000000000003" customHeight="1" x14ac:dyDescent="0.25">
      <c r="A1259" s="231"/>
      <c r="B1259" s="216">
        <v>668</v>
      </c>
      <c r="C1259" s="232">
        <v>43413</v>
      </c>
      <c r="D1259" s="233" t="s">
        <v>477</v>
      </c>
      <c r="E1259" s="216" t="s">
        <v>363</v>
      </c>
      <c r="F1259" s="216">
        <v>0</v>
      </c>
      <c r="G1259" s="216">
        <v>0</v>
      </c>
      <c r="H1259" s="216">
        <v>0</v>
      </c>
      <c r="I1259" s="234"/>
      <c r="J1259" s="234"/>
      <c r="K1259" s="234"/>
      <c r="L1259" s="216" t="s">
        <v>1</v>
      </c>
      <c r="M1259" s="178">
        <v>1</v>
      </c>
      <c r="N1259" s="235">
        <v>30</v>
      </c>
      <c r="O1259" s="234">
        <v>30</v>
      </c>
      <c r="P1259" s="234">
        <v>30</v>
      </c>
      <c r="Q1259" s="180" t="str">
        <f>IF(PEDIDOS[[#This Row],[Valor do item pago]]=PEDIDOS[[#This Row],[Total Item ]],"PAGO", "")</f>
        <v>PAGO</v>
      </c>
    </row>
    <row r="1260" spans="1:17" s="216" customFormat="1" ht="39.950000000000003" customHeight="1" x14ac:dyDescent="0.25">
      <c r="A1260" s="231"/>
      <c r="B1260" s="216">
        <v>667</v>
      </c>
      <c r="C1260" s="232">
        <v>43413</v>
      </c>
      <c r="D1260" s="233" t="s">
        <v>477</v>
      </c>
      <c r="E1260" s="216" t="s">
        <v>1040</v>
      </c>
      <c r="F1260" s="216" t="s">
        <v>1041</v>
      </c>
      <c r="G1260" s="216" t="s">
        <v>1042</v>
      </c>
      <c r="H1260" s="216" t="s">
        <v>461</v>
      </c>
      <c r="I1260" s="234" t="s">
        <v>656</v>
      </c>
      <c r="J1260" s="234"/>
      <c r="K1260" s="234"/>
      <c r="L1260" s="216" t="s">
        <v>219</v>
      </c>
      <c r="M1260" s="178">
        <v>1</v>
      </c>
      <c r="N1260" s="235">
        <v>30</v>
      </c>
      <c r="O1260" s="234">
        <v>30</v>
      </c>
      <c r="P1260" s="234"/>
      <c r="Q1260" s="180" t="str">
        <f>IF(PEDIDOS[[#This Row],[Valor do item pago]]=PEDIDOS[[#This Row],[Total Item ]],"PAGO", "")</f>
        <v/>
      </c>
    </row>
    <row r="1261" spans="1:17" s="216" customFormat="1" ht="39.950000000000003" customHeight="1" x14ac:dyDescent="0.25">
      <c r="A1261" s="231"/>
      <c r="B1261" s="216">
        <v>666</v>
      </c>
      <c r="C1261" s="232">
        <v>43413</v>
      </c>
      <c r="D1261" s="233" t="s">
        <v>477</v>
      </c>
      <c r="E1261" s="216" t="s">
        <v>968</v>
      </c>
      <c r="F1261" s="216" t="s">
        <v>969</v>
      </c>
      <c r="G1261" s="216" t="s">
        <v>970</v>
      </c>
      <c r="H1261" s="216" t="s">
        <v>52</v>
      </c>
      <c r="I1261" s="234" t="s">
        <v>971</v>
      </c>
      <c r="J1261" s="234" t="s">
        <v>1086</v>
      </c>
      <c r="K1261" s="234"/>
      <c r="L1261" s="216" t="s">
        <v>219</v>
      </c>
      <c r="M1261" s="178">
        <v>1</v>
      </c>
      <c r="N1261" s="235">
        <v>30</v>
      </c>
      <c r="O1261" s="234">
        <v>30</v>
      </c>
      <c r="P1261" s="234">
        <v>30</v>
      </c>
      <c r="Q1261" s="180" t="str">
        <f>IF(PEDIDOS[[#This Row],[Valor do item pago]]=PEDIDOS[[#This Row],[Total Item ]],"PAGO", "")</f>
        <v>PAGO</v>
      </c>
    </row>
    <row r="1262" spans="1:17" s="216" customFormat="1" ht="39.950000000000003" customHeight="1" x14ac:dyDescent="0.25">
      <c r="A1262" s="231"/>
      <c r="B1262" s="216">
        <v>665</v>
      </c>
      <c r="C1262" s="232">
        <v>43413</v>
      </c>
      <c r="D1262" s="233" t="s">
        <v>477</v>
      </c>
      <c r="E1262" s="216" t="s">
        <v>925</v>
      </c>
      <c r="F1262" s="216" t="s">
        <v>924</v>
      </c>
      <c r="G1262" s="216" t="s">
        <v>926</v>
      </c>
      <c r="H1262" s="216" t="s">
        <v>639</v>
      </c>
      <c r="I1262" s="234" t="s">
        <v>927</v>
      </c>
      <c r="J1262" s="234"/>
      <c r="K1262" s="234"/>
      <c r="L1262" s="216" t="s">
        <v>1</v>
      </c>
      <c r="M1262" s="178">
        <v>1</v>
      </c>
      <c r="N1262" s="235">
        <v>30</v>
      </c>
      <c r="O1262" s="234">
        <v>30</v>
      </c>
      <c r="P1262" s="234"/>
      <c r="Q1262" s="180" t="str">
        <f>IF(PEDIDOS[[#This Row],[Valor do item pago]]=PEDIDOS[[#This Row],[Total Item ]],"PAGO", "")</f>
        <v/>
      </c>
    </row>
    <row r="1263" spans="1:17" s="216" customFormat="1" ht="39.950000000000003" customHeight="1" x14ac:dyDescent="0.25">
      <c r="A1263" s="231"/>
      <c r="B1263" s="216">
        <v>664</v>
      </c>
      <c r="C1263" s="232">
        <v>43413</v>
      </c>
      <c r="D1263" s="233" t="s">
        <v>477</v>
      </c>
      <c r="E1263" s="216" t="s">
        <v>343</v>
      </c>
      <c r="F1263" s="216" t="s">
        <v>826</v>
      </c>
      <c r="G1263" s="216" t="s">
        <v>875</v>
      </c>
      <c r="H1263" s="216" t="s">
        <v>441</v>
      </c>
      <c r="I1263" s="234" t="s">
        <v>874</v>
      </c>
      <c r="J1263" s="234"/>
      <c r="K1263" s="234" t="s">
        <v>477</v>
      </c>
      <c r="L1263" s="216" t="s">
        <v>219</v>
      </c>
      <c r="M1263" s="178">
        <v>1</v>
      </c>
      <c r="N1263" s="235">
        <v>30</v>
      </c>
      <c r="O1263" s="234">
        <v>30</v>
      </c>
      <c r="P1263" s="234"/>
      <c r="Q1263" s="180" t="str">
        <f>IF(PEDIDOS[[#This Row],[Valor do item pago]]=PEDIDOS[[#This Row],[Total Item ]],"PAGO", "")</f>
        <v/>
      </c>
    </row>
    <row r="1264" spans="1:17" s="216" customFormat="1" ht="39.950000000000003" customHeight="1" x14ac:dyDescent="0.25">
      <c r="A1264" s="231"/>
      <c r="B1264" s="216">
        <v>663</v>
      </c>
      <c r="C1264" s="232">
        <v>43413</v>
      </c>
      <c r="D1264" s="233" t="s">
        <v>477</v>
      </c>
      <c r="E1264" s="216" t="s">
        <v>369</v>
      </c>
      <c r="F1264" s="216" t="s">
        <v>308</v>
      </c>
      <c r="G1264" s="216" t="s">
        <v>148</v>
      </c>
      <c r="H1264" s="216" t="s">
        <v>400</v>
      </c>
      <c r="I1264" s="234" t="s">
        <v>444</v>
      </c>
      <c r="J1264" s="234"/>
      <c r="K1264" s="234"/>
      <c r="L1264" s="216" t="s">
        <v>219</v>
      </c>
      <c r="M1264" s="178">
        <v>1</v>
      </c>
      <c r="N1264" s="235">
        <v>30</v>
      </c>
      <c r="O1264" s="234">
        <v>30</v>
      </c>
      <c r="P1264" s="234"/>
      <c r="Q1264" s="180" t="str">
        <f>IF(PEDIDOS[[#This Row],[Valor do item pago]]=PEDIDOS[[#This Row],[Total Item ]],"PAGO", "")</f>
        <v/>
      </c>
    </row>
    <row r="1265" spans="1:17" s="216" customFormat="1" ht="39.950000000000003" customHeight="1" x14ac:dyDescent="0.25">
      <c r="A1265" s="231"/>
      <c r="B1265" s="216">
        <v>662</v>
      </c>
      <c r="C1265" s="232">
        <v>43413</v>
      </c>
      <c r="D1265" s="233" t="s">
        <v>477</v>
      </c>
      <c r="E1265" s="216" t="s">
        <v>506</v>
      </c>
      <c r="F1265" s="216" t="s">
        <v>503</v>
      </c>
      <c r="G1265" s="216" t="s">
        <v>504</v>
      </c>
      <c r="H1265" s="216" t="s">
        <v>505</v>
      </c>
      <c r="I1265" s="234" t="s">
        <v>660</v>
      </c>
      <c r="J1265" s="234"/>
      <c r="K1265" s="234"/>
      <c r="L1265" s="216" t="s">
        <v>1</v>
      </c>
      <c r="M1265" s="178">
        <v>2</v>
      </c>
      <c r="N1265" s="235">
        <v>30</v>
      </c>
      <c r="O1265" s="234">
        <v>60</v>
      </c>
      <c r="P1265" s="234"/>
      <c r="Q1265" s="180" t="str">
        <f>IF(PEDIDOS[[#This Row],[Valor do item pago]]=PEDIDOS[[#This Row],[Total Item ]],"PAGO", "")</f>
        <v/>
      </c>
    </row>
    <row r="1266" spans="1:17" s="216" customFormat="1" ht="39.950000000000003" customHeight="1" x14ac:dyDescent="0.25">
      <c r="A1266" s="231"/>
      <c r="B1266" s="216">
        <v>661</v>
      </c>
      <c r="C1266" s="232">
        <v>43413</v>
      </c>
      <c r="D1266" s="233" t="s">
        <v>477</v>
      </c>
      <c r="E1266" s="216" t="s">
        <v>849</v>
      </c>
      <c r="F1266" s="216" t="s">
        <v>850</v>
      </c>
      <c r="G1266" s="216" t="s">
        <v>851</v>
      </c>
      <c r="H1266" s="216" t="s">
        <v>84</v>
      </c>
      <c r="I1266" s="234" t="s">
        <v>436</v>
      </c>
      <c r="J1266" s="234"/>
      <c r="K1266" s="234"/>
      <c r="L1266" s="216" t="s">
        <v>219</v>
      </c>
      <c r="M1266" s="178">
        <v>1</v>
      </c>
      <c r="N1266" s="235">
        <v>30</v>
      </c>
      <c r="O1266" s="234">
        <v>30</v>
      </c>
      <c r="P1266" s="234"/>
      <c r="Q1266" s="180" t="str">
        <f>IF(PEDIDOS[[#This Row],[Valor do item pago]]=PEDIDOS[[#This Row],[Total Item ]],"PAGO", "")</f>
        <v/>
      </c>
    </row>
    <row r="1267" spans="1:17" s="216" customFormat="1" ht="39.950000000000003" customHeight="1" x14ac:dyDescent="0.25">
      <c r="A1267" s="231"/>
      <c r="B1267" s="216">
        <v>660</v>
      </c>
      <c r="C1267" s="232">
        <v>43413</v>
      </c>
      <c r="D1267" s="233" t="s">
        <v>477</v>
      </c>
      <c r="E1267" s="216" t="s">
        <v>355</v>
      </c>
      <c r="F1267" s="216" t="s">
        <v>294</v>
      </c>
      <c r="G1267" s="216" t="s">
        <v>145</v>
      </c>
      <c r="H1267" s="216" t="s">
        <v>390</v>
      </c>
      <c r="I1267" s="234" t="s">
        <v>251</v>
      </c>
      <c r="J1267" s="234"/>
      <c r="K1267" s="234"/>
      <c r="L1267" s="216" t="s">
        <v>1</v>
      </c>
      <c r="M1267" s="178">
        <v>1</v>
      </c>
      <c r="N1267" s="235">
        <v>30</v>
      </c>
      <c r="O1267" s="234">
        <v>30</v>
      </c>
      <c r="P1267" s="234"/>
      <c r="Q1267" s="180" t="str">
        <f>IF(PEDIDOS[[#This Row],[Valor do item pago]]=PEDIDOS[[#This Row],[Total Item ]],"PAGO", "")</f>
        <v/>
      </c>
    </row>
    <row r="1268" spans="1:17" s="216" customFormat="1" ht="39.950000000000003" customHeight="1" x14ac:dyDescent="0.25">
      <c r="A1268" s="231"/>
      <c r="B1268" s="216">
        <v>659</v>
      </c>
      <c r="C1268" s="232">
        <v>43413</v>
      </c>
      <c r="D1268" s="233" t="s">
        <v>477</v>
      </c>
      <c r="E1268" s="216" t="s">
        <v>367</v>
      </c>
      <c r="F1268" s="216" t="s">
        <v>323</v>
      </c>
      <c r="G1268" s="216" t="s">
        <v>151</v>
      </c>
      <c r="H1268" s="216" t="s">
        <v>392</v>
      </c>
      <c r="I1268" s="234" t="s">
        <v>656</v>
      </c>
      <c r="J1268" s="234"/>
      <c r="K1268" s="234"/>
      <c r="L1268" s="216" t="s">
        <v>0</v>
      </c>
      <c r="M1268" s="178">
        <v>1</v>
      </c>
      <c r="N1268" s="235">
        <v>30</v>
      </c>
      <c r="O1268" s="234">
        <v>30</v>
      </c>
      <c r="P1268" s="234"/>
      <c r="Q1268" s="180" t="str">
        <f>IF(PEDIDOS[[#This Row],[Valor do item pago]]=PEDIDOS[[#This Row],[Total Item ]],"PAGO", "")</f>
        <v/>
      </c>
    </row>
    <row r="1269" spans="1:17" s="216" customFormat="1" ht="39.950000000000003" customHeight="1" x14ac:dyDescent="0.25">
      <c r="A1269" s="231"/>
      <c r="B1269" s="216">
        <v>658</v>
      </c>
      <c r="C1269" s="232">
        <v>43413</v>
      </c>
      <c r="D1269" s="233" t="s">
        <v>477</v>
      </c>
      <c r="E1269" s="216" t="s">
        <v>877</v>
      </c>
      <c r="F1269" s="216" t="s">
        <v>876</v>
      </c>
      <c r="G1269" s="216" t="s">
        <v>878</v>
      </c>
      <c r="H1269" s="216" t="s">
        <v>441</v>
      </c>
      <c r="I1269" s="234" t="s">
        <v>879</v>
      </c>
      <c r="J1269" s="234"/>
      <c r="K1269" s="234" t="s">
        <v>477</v>
      </c>
      <c r="L1269" s="216" t="s">
        <v>219</v>
      </c>
      <c r="M1269" s="178">
        <v>1</v>
      </c>
      <c r="N1269" s="235">
        <v>30</v>
      </c>
      <c r="O1269" s="234">
        <v>30</v>
      </c>
      <c r="P1269" s="234"/>
      <c r="Q1269" s="180" t="str">
        <f>IF(PEDIDOS[[#This Row],[Valor do item pago]]=PEDIDOS[[#This Row],[Total Item ]],"PAGO", "")</f>
        <v/>
      </c>
    </row>
    <row r="1270" spans="1:17" s="216" customFormat="1" ht="39.950000000000003" customHeight="1" x14ac:dyDescent="0.25">
      <c r="A1270" s="231"/>
      <c r="B1270" s="216">
        <v>657</v>
      </c>
      <c r="C1270" s="232">
        <v>43413</v>
      </c>
      <c r="D1270" s="233" t="s">
        <v>477</v>
      </c>
      <c r="E1270" s="216" t="s">
        <v>547</v>
      </c>
      <c r="F1270" s="216" t="s">
        <v>521</v>
      </c>
      <c r="G1270" s="216" t="s">
        <v>522</v>
      </c>
      <c r="H1270" s="216" t="s">
        <v>523</v>
      </c>
      <c r="I1270" s="234" t="s">
        <v>663</v>
      </c>
      <c r="J1270" s="234" t="s">
        <v>1085</v>
      </c>
      <c r="K1270" s="234"/>
      <c r="L1270" s="216" t="s">
        <v>235</v>
      </c>
      <c r="M1270" s="178">
        <v>1</v>
      </c>
      <c r="N1270" s="235">
        <v>30</v>
      </c>
      <c r="O1270" s="234">
        <v>30</v>
      </c>
      <c r="P1270" s="234"/>
      <c r="Q1270" s="180" t="str">
        <f>IF(PEDIDOS[[#This Row],[Valor do item pago]]=PEDIDOS[[#This Row],[Total Item ]],"PAGO", "")</f>
        <v/>
      </c>
    </row>
    <row r="1271" spans="1:17" s="216" customFormat="1" ht="39.950000000000003" customHeight="1" x14ac:dyDescent="0.25">
      <c r="A1271" s="231"/>
      <c r="B1271" s="216">
        <v>656</v>
      </c>
      <c r="C1271" s="232">
        <v>43413</v>
      </c>
      <c r="D1271" s="233" t="s">
        <v>477</v>
      </c>
      <c r="E1271" s="216" t="s">
        <v>25</v>
      </c>
      <c r="F1271" s="216" t="s">
        <v>291</v>
      </c>
      <c r="G1271" s="216" t="s">
        <v>330</v>
      </c>
      <c r="H1271" s="216" t="s">
        <v>406</v>
      </c>
      <c r="I1271" s="234" t="s">
        <v>329</v>
      </c>
      <c r="J1271" s="234"/>
      <c r="K1271" s="234"/>
      <c r="L1271" s="216" t="s">
        <v>219</v>
      </c>
      <c r="M1271" s="178">
        <v>5</v>
      </c>
      <c r="N1271" s="235">
        <v>30</v>
      </c>
      <c r="O1271" s="234">
        <v>150</v>
      </c>
      <c r="P1271" s="234">
        <v>150</v>
      </c>
      <c r="Q1271" s="180" t="str">
        <f>IF(PEDIDOS[[#This Row],[Valor do item pago]]=PEDIDOS[[#This Row],[Total Item ]],"PAGO", "")</f>
        <v>PAGO</v>
      </c>
    </row>
    <row r="1272" spans="1:17" s="216" customFormat="1" ht="39.950000000000003" customHeight="1" x14ac:dyDescent="0.25">
      <c r="A1272" s="231"/>
      <c r="B1272" s="216">
        <v>655</v>
      </c>
      <c r="C1272" s="232">
        <v>43413</v>
      </c>
      <c r="D1272" s="233" t="s">
        <v>477</v>
      </c>
      <c r="E1272" s="216" t="s">
        <v>371</v>
      </c>
      <c r="F1272" s="216" t="s">
        <v>309</v>
      </c>
      <c r="G1272" s="216" t="s">
        <v>159</v>
      </c>
      <c r="H1272" s="216" t="s">
        <v>401</v>
      </c>
      <c r="I1272" s="234" t="s">
        <v>445</v>
      </c>
      <c r="J1272" s="234"/>
      <c r="K1272" s="234"/>
      <c r="L1272" s="216" t="s">
        <v>3</v>
      </c>
      <c r="M1272" s="178">
        <v>1</v>
      </c>
      <c r="N1272" s="235">
        <v>30</v>
      </c>
      <c r="O1272" s="234">
        <v>30</v>
      </c>
      <c r="P1272" s="234"/>
      <c r="Q1272" s="180" t="str">
        <f>IF(PEDIDOS[[#This Row],[Valor do item pago]]=PEDIDOS[[#This Row],[Total Item ]],"PAGO", "")</f>
        <v/>
      </c>
    </row>
    <row r="1273" spans="1:17" s="216" customFormat="1" ht="39.950000000000003" customHeight="1" x14ac:dyDescent="0.25">
      <c r="A1273" s="231"/>
      <c r="B1273" s="216">
        <v>654</v>
      </c>
      <c r="C1273" s="232">
        <v>43413</v>
      </c>
      <c r="D1273" s="233" t="s">
        <v>477</v>
      </c>
      <c r="E1273" s="216" t="s">
        <v>383</v>
      </c>
      <c r="F1273" s="216" t="s">
        <v>304</v>
      </c>
      <c r="G1273" s="216" t="s">
        <v>191</v>
      </c>
      <c r="H1273" s="216" t="s">
        <v>387</v>
      </c>
      <c r="I1273" s="234" t="s">
        <v>440</v>
      </c>
      <c r="J1273" s="234"/>
      <c r="K1273" s="234"/>
      <c r="L1273" s="216" t="s">
        <v>219</v>
      </c>
      <c r="M1273" s="178">
        <v>1</v>
      </c>
      <c r="N1273" s="235">
        <v>30</v>
      </c>
      <c r="O1273" s="234">
        <v>30</v>
      </c>
      <c r="P1273" s="234"/>
      <c r="Q1273" s="180" t="str">
        <f>IF(PEDIDOS[[#This Row],[Valor do item pago]]=PEDIDOS[[#This Row],[Total Item ]],"PAGO", "")</f>
        <v/>
      </c>
    </row>
    <row r="1274" spans="1:17" s="216" customFormat="1" ht="39.950000000000003" customHeight="1" x14ac:dyDescent="0.25">
      <c r="A1274" s="231"/>
      <c r="B1274" s="216">
        <v>653</v>
      </c>
      <c r="C1274" s="232">
        <v>43413</v>
      </c>
      <c r="D1274" s="233" t="s">
        <v>40</v>
      </c>
      <c r="E1274" s="216" t="s">
        <v>473</v>
      </c>
      <c r="F1274" s="216" t="s">
        <v>315</v>
      </c>
      <c r="G1274" s="216">
        <v>0</v>
      </c>
      <c r="H1274" s="216">
        <v>0</v>
      </c>
      <c r="I1274" s="234"/>
      <c r="J1274" s="234"/>
      <c r="K1274" s="234"/>
      <c r="L1274" s="216" t="s">
        <v>3</v>
      </c>
      <c r="M1274" s="178">
        <v>1</v>
      </c>
      <c r="N1274" s="235">
        <v>30</v>
      </c>
      <c r="O1274" s="234">
        <v>30</v>
      </c>
      <c r="P1274" s="234"/>
      <c r="Q1274" s="180" t="str">
        <f>IF(PEDIDOS[[#This Row],[Valor do item pago]]=PEDIDOS[[#This Row],[Total Item ]],"PAGO", "")</f>
        <v/>
      </c>
    </row>
    <row r="1275" spans="1:17" s="216" customFormat="1" ht="39.950000000000003" customHeight="1" x14ac:dyDescent="0.25">
      <c r="A1275" s="231"/>
      <c r="B1275" s="216">
        <v>653</v>
      </c>
      <c r="C1275" s="232">
        <v>43413</v>
      </c>
      <c r="D1275" s="233" t="s">
        <v>40</v>
      </c>
      <c r="E1275" s="216" t="s">
        <v>473</v>
      </c>
      <c r="F1275" s="216" t="s">
        <v>315</v>
      </c>
      <c r="G1275" s="216">
        <v>0</v>
      </c>
      <c r="H1275" s="216">
        <v>0</v>
      </c>
      <c r="I1275" s="234"/>
      <c r="J1275" s="234"/>
      <c r="K1275" s="234"/>
      <c r="L1275" s="216" t="s">
        <v>0</v>
      </c>
      <c r="M1275" s="178">
        <v>1</v>
      </c>
      <c r="N1275" s="235">
        <v>30</v>
      </c>
      <c r="O1275" s="234">
        <v>30</v>
      </c>
      <c r="P1275" s="234"/>
      <c r="Q1275" s="180" t="str">
        <f>IF(PEDIDOS[[#This Row],[Valor do item pago]]=PEDIDOS[[#This Row],[Total Item ]],"PAGO", "")</f>
        <v/>
      </c>
    </row>
    <row r="1276" spans="1:17" s="216" customFormat="1" ht="39.950000000000003" customHeight="1" x14ac:dyDescent="0.25">
      <c r="A1276" s="231"/>
      <c r="B1276" s="216">
        <v>652</v>
      </c>
      <c r="C1276" s="232">
        <v>43413</v>
      </c>
      <c r="D1276" s="233" t="s">
        <v>34</v>
      </c>
      <c r="E1276" s="216" t="s">
        <v>1081</v>
      </c>
      <c r="F1276" s="216" t="s">
        <v>1082</v>
      </c>
      <c r="G1276" s="216" t="s">
        <v>1083</v>
      </c>
      <c r="H1276" s="216" t="s">
        <v>549</v>
      </c>
      <c r="I1276" s="234" t="s">
        <v>1084</v>
      </c>
      <c r="J1276" s="234"/>
      <c r="K1276" s="234"/>
      <c r="L1276" s="216" t="s">
        <v>0</v>
      </c>
      <c r="M1276" s="178">
        <v>1</v>
      </c>
      <c r="N1276" s="235">
        <v>30</v>
      </c>
      <c r="O1276" s="234">
        <v>30</v>
      </c>
      <c r="P1276" s="234"/>
      <c r="Q1276" s="180" t="str">
        <f>IF(PEDIDOS[[#This Row],[Valor do item pago]]=PEDIDOS[[#This Row],[Total Item ]],"PAGO", "")</f>
        <v/>
      </c>
    </row>
    <row r="1277" spans="1:17" s="216" customFormat="1" ht="39.950000000000003" customHeight="1" x14ac:dyDescent="0.25">
      <c r="A1277" s="231"/>
      <c r="B1277" s="216">
        <v>651</v>
      </c>
      <c r="C1277" s="232">
        <v>43411</v>
      </c>
      <c r="D1277" s="233" t="s">
        <v>45</v>
      </c>
      <c r="E1277" s="216" t="s">
        <v>43</v>
      </c>
      <c r="F1277" s="216">
        <v>0</v>
      </c>
      <c r="G1277" s="216">
        <v>0</v>
      </c>
      <c r="H1277" s="216">
        <v>0</v>
      </c>
      <c r="I1277" s="234"/>
      <c r="J1277" s="234"/>
      <c r="K1277" s="234" t="s">
        <v>45</v>
      </c>
      <c r="L1277" s="216" t="s">
        <v>1</v>
      </c>
      <c r="M1277" s="178">
        <v>1</v>
      </c>
      <c r="N1277" s="235">
        <v>30</v>
      </c>
      <c r="O1277" s="234">
        <v>30</v>
      </c>
      <c r="P1277" s="234"/>
      <c r="Q1277" s="180" t="str">
        <f>IF(PEDIDOS[[#This Row],[Valor do item pago]]=PEDIDOS[[#This Row],[Total Item ]],"PAGO", "")</f>
        <v/>
      </c>
    </row>
    <row r="1278" spans="1:17" s="216" customFormat="1" ht="39.950000000000003" customHeight="1" x14ac:dyDescent="0.25">
      <c r="A1278" s="231"/>
      <c r="B1278" s="216">
        <v>650</v>
      </c>
      <c r="C1278" s="232">
        <v>43411</v>
      </c>
      <c r="D1278" s="233" t="s">
        <v>411</v>
      </c>
      <c r="E1278" s="216" t="s">
        <v>578</v>
      </c>
      <c r="F1278" s="216" t="s">
        <v>573</v>
      </c>
      <c r="G1278" s="216" t="s">
        <v>621</v>
      </c>
      <c r="H1278" s="216" t="s">
        <v>582</v>
      </c>
      <c r="I1278" s="234" t="s">
        <v>674</v>
      </c>
      <c r="J1278" s="234"/>
      <c r="K1278" s="234" t="s">
        <v>411</v>
      </c>
      <c r="L1278" s="216" t="s">
        <v>219</v>
      </c>
      <c r="M1278" s="178">
        <v>1</v>
      </c>
      <c r="N1278" s="235">
        <v>30</v>
      </c>
      <c r="O1278" s="234">
        <v>30</v>
      </c>
      <c r="P1278" s="234"/>
      <c r="Q1278" s="180" t="str">
        <f>IF(PEDIDOS[[#This Row],[Valor do item pago]]=PEDIDOS[[#This Row],[Total Item ]],"PAGO", "")</f>
        <v/>
      </c>
    </row>
    <row r="1279" spans="1:17" s="216" customFormat="1" ht="39.950000000000003" customHeight="1" x14ac:dyDescent="0.25">
      <c r="A1279" s="231"/>
      <c r="B1279" s="216">
        <v>649</v>
      </c>
      <c r="C1279" s="232">
        <v>43411</v>
      </c>
      <c r="D1279" s="233" t="s">
        <v>411</v>
      </c>
      <c r="E1279" s="216" t="s">
        <v>622</v>
      </c>
      <c r="F1279" s="216" t="s">
        <v>623</v>
      </c>
      <c r="G1279" s="216" t="s">
        <v>625</v>
      </c>
      <c r="H1279" s="216" t="s">
        <v>520</v>
      </c>
      <c r="I1279" s="234" t="s">
        <v>682</v>
      </c>
      <c r="J1279" s="234" t="s">
        <v>1080</v>
      </c>
      <c r="K1279" s="234"/>
      <c r="L1279" s="216" t="s">
        <v>219</v>
      </c>
      <c r="M1279" s="178">
        <v>1</v>
      </c>
      <c r="N1279" s="235">
        <v>30</v>
      </c>
      <c r="O1279" s="234">
        <v>30</v>
      </c>
      <c r="P1279" s="234"/>
      <c r="Q1279" s="180" t="str">
        <f>IF(PEDIDOS[[#This Row],[Valor do item pago]]=PEDIDOS[[#This Row],[Total Item ]],"PAGO", "")</f>
        <v/>
      </c>
    </row>
    <row r="1280" spans="1:17" s="216" customFormat="1" ht="39.950000000000003" customHeight="1" x14ac:dyDescent="0.25">
      <c r="A1280" s="231"/>
      <c r="B1280" s="216">
        <v>648</v>
      </c>
      <c r="C1280" s="232">
        <v>43411</v>
      </c>
      <c r="D1280" s="233" t="s">
        <v>229</v>
      </c>
      <c r="E1280" s="216" t="s">
        <v>50</v>
      </c>
      <c r="F1280" s="216">
        <v>0</v>
      </c>
      <c r="G1280" s="216">
        <v>0</v>
      </c>
      <c r="H1280" s="216">
        <v>0</v>
      </c>
      <c r="I1280" s="234"/>
      <c r="J1280" s="234"/>
      <c r="K1280" s="234" t="s">
        <v>229</v>
      </c>
      <c r="L1280" s="216" t="s">
        <v>3</v>
      </c>
      <c r="M1280" s="178">
        <v>5</v>
      </c>
      <c r="N1280" s="235">
        <v>30</v>
      </c>
      <c r="O1280" s="234">
        <v>150</v>
      </c>
      <c r="P1280" s="234"/>
      <c r="Q1280" s="180" t="str">
        <f>IF(PEDIDOS[[#This Row],[Valor do item pago]]=PEDIDOS[[#This Row],[Total Item ]],"PAGO", "")</f>
        <v/>
      </c>
    </row>
    <row r="1281" spans="1:17" s="216" customFormat="1" ht="39.950000000000003" customHeight="1" x14ac:dyDescent="0.25">
      <c r="A1281" s="231"/>
      <c r="B1281" s="216">
        <v>648</v>
      </c>
      <c r="C1281" s="232">
        <v>43411</v>
      </c>
      <c r="D1281" s="233" t="s">
        <v>229</v>
      </c>
      <c r="E1281" s="216" t="s">
        <v>50</v>
      </c>
      <c r="F1281" s="216">
        <v>0</v>
      </c>
      <c r="G1281" s="216">
        <v>0</v>
      </c>
      <c r="H1281" s="216">
        <v>0</v>
      </c>
      <c r="I1281" s="234"/>
      <c r="J1281" s="234"/>
      <c r="K1281" s="234" t="s">
        <v>229</v>
      </c>
      <c r="L1281" s="216" t="s">
        <v>219</v>
      </c>
      <c r="M1281" s="178">
        <v>3</v>
      </c>
      <c r="N1281" s="235">
        <v>30</v>
      </c>
      <c r="O1281" s="234">
        <v>90</v>
      </c>
      <c r="P1281" s="234"/>
      <c r="Q1281" s="180" t="str">
        <f>IF(PEDIDOS[[#This Row],[Valor do item pago]]=PEDIDOS[[#This Row],[Total Item ]],"PAGO", "")</f>
        <v/>
      </c>
    </row>
    <row r="1282" spans="1:17" s="216" customFormat="1" ht="39.950000000000003" customHeight="1" x14ac:dyDescent="0.25">
      <c r="A1282" s="231"/>
      <c r="B1282" s="216">
        <v>648</v>
      </c>
      <c r="C1282" s="232">
        <v>43411</v>
      </c>
      <c r="D1282" s="233" t="s">
        <v>229</v>
      </c>
      <c r="E1282" s="216" t="s">
        <v>50</v>
      </c>
      <c r="F1282" s="216">
        <v>0</v>
      </c>
      <c r="G1282" s="216">
        <v>0</v>
      </c>
      <c r="H1282" s="216">
        <v>0</v>
      </c>
      <c r="I1282" s="234"/>
      <c r="J1282" s="234"/>
      <c r="K1282" s="234" t="s">
        <v>229</v>
      </c>
      <c r="L1282" s="216" t="s">
        <v>1</v>
      </c>
      <c r="M1282" s="178">
        <v>5</v>
      </c>
      <c r="N1282" s="235">
        <v>30</v>
      </c>
      <c r="O1282" s="234">
        <v>150</v>
      </c>
      <c r="P1282" s="234"/>
      <c r="Q1282" s="180" t="str">
        <f>IF(PEDIDOS[[#This Row],[Valor do item pago]]=PEDIDOS[[#This Row],[Total Item ]],"PAGO", "")</f>
        <v/>
      </c>
    </row>
    <row r="1283" spans="1:17" s="216" customFormat="1" ht="39.950000000000003" customHeight="1" x14ac:dyDescent="0.25">
      <c r="A1283" s="231"/>
      <c r="B1283" s="216">
        <v>648</v>
      </c>
      <c r="C1283" s="232">
        <v>43411</v>
      </c>
      <c r="D1283" s="233" t="s">
        <v>229</v>
      </c>
      <c r="E1283" s="216" t="s">
        <v>50</v>
      </c>
      <c r="F1283" s="216">
        <v>0</v>
      </c>
      <c r="G1283" s="216">
        <v>0</v>
      </c>
      <c r="H1283" s="216">
        <v>0</v>
      </c>
      <c r="I1283" s="234"/>
      <c r="J1283" s="234"/>
      <c r="K1283" s="234" t="s">
        <v>229</v>
      </c>
      <c r="L1283" s="216" t="s">
        <v>0</v>
      </c>
      <c r="M1283" s="178">
        <v>2</v>
      </c>
      <c r="N1283" s="235">
        <v>30</v>
      </c>
      <c r="O1283" s="234">
        <v>60</v>
      </c>
      <c r="P1283" s="234"/>
      <c r="Q1283" s="180" t="str">
        <f>IF(PEDIDOS[[#This Row],[Valor do item pago]]=PEDIDOS[[#This Row],[Total Item ]],"PAGO", "")</f>
        <v/>
      </c>
    </row>
    <row r="1284" spans="1:17" s="216" customFormat="1" ht="39.950000000000003" customHeight="1" x14ac:dyDescent="0.25">
      <c r="A1284" s="231"/>
      <c r="B1284" s="216">
        <v>647</v>
      </c>
      <c r="C1284" s="232">
        <v>43411</v>
      </c>
      <c r="D1284" s="233" t="s">
        <v>60</v>
      </c>
      <c r="E1284" s="216" t="s">
        <v>762</v>
      </c>
      <c r="F1284" s="216">
        <v>0</v>
      </c>
      <c r="G1284" s="216" t="s">
        <v>763</v>
      </c>
      <c r="H1284" s="216">
        <v>0</v>
      </c>
      <c r="I1284" s="234"/>
      <c r="J1284" s="234"/>
      <c r="K1284" s="234" t="s">
        <v>40</v>
      </c>
      <c r="L1284" s="216" t="s">
        <v>3</v>
      </c>
      <c r="M1284" s="178">
        <v>1</v>
      </c>
      <c r="N1284" s="235">
        <v>30</v>
      </c>
      <c r="O1284" s="234">
        <v>30</v>
      </c>
      <c r="P1284" s="234"/>
      <c r="Q1284" s="180" t="str">
        <f>IF(PEDIDOS[[#This Row],[Valor do item pago]]=PEDIDOS[[#This Row],[Total Item ]],"PAGO", "")</f>
        <v/>
      </c>
    </row>
    <row r="1285" spans="1:17" s="216" customFormat="1" ht="39.950000000000003" customHeight="1" x14ac:dyDescent="0.25">
      <c r="A1285" s="231"/>
      <c r="B1285" s="216">
        <v>646</v>
      </c>
      <c r="C1285" s="232">
        <v>43411</v>
      </c>
      <c r="D1285" s="233" t="s">
        <v>34</v>
      </c>
      <c r="E1285" s="216" t="s">
        <v>687</v>
      </c>
      <c r="F1285" s="216" t="s">
        <v>688</v>
      </c>
      <c r="G1285" s="216" t="s">
        <v>689</v>
      </c>
      <c r="H1285" s="216" t="s">
        <v>84</v>
      </c>
      <c r="I1285" s="234" t="s">
        <v>690</v>
      </c>
      <c r="J1285" s="234"/>
      <c r="K1285" s="234"/>
      <c r="L1285" s="216" t="s">
        <v>219</v>
      </c>
      <c r="M1285" s="178">
        <v>1</v>
      </c>
      <c r="N1285" s="235">
        <v>30</v>
      </c>
      <c r="O1285" s="234">
        <v>30</v>
      </c>
      <c r="P1285" s="234"/>
      <c r="Q1285" s="180" t="str">
        <f>IF(PEDIDOS[[#This Row],[Valor do item pago]]=PEDIDOS[[#This Row],[Total Item ]],"PAGO", "")</f>
        <v/>
      </c>
    </row>
    <row r="1286" spans="1:17" s="216" customFormat="1" ht="39.950000000000003" customHeight="1" x14ac:dyDescent="0.25">
      <c r="A1286" s="231"/>
      <c r="B1286" s="216">
        <v>645</v>
      </c>
      <c r="C1286" s="232">
        <v>43411</v>
      </c>
      <c r="D1286" s="233" t="s">
        <v>804</v>
      </c>
      <c r="E1286" s="216" t="s">
        <v>804</v>
      </c>
      <c r="F1286" s="216" t="s">
        <v>803</v>
      </c>
      <c r="G1286" s="216">
        <v>0</v>
      </c>
      <c r="H1286" s="216">
        <v>0</v>
      </c>
      <c r="I1286" s="234"/>
      <c r="J1286" s="234"/>
      <c r="K1286" s="234" t="s">
        <v>804</v>
      </c>
      <c r="L1286" s="216" t="s">
        <v>3</v>
      </c>
      <c r="M1286" s="178">
        <v>2</v>
      </c>
      <c r="N1286" s="235">
        <v>30</v>
      </c>
      <c r="O1286" s="234">
        <v>60</v>
      </c>
      <c r="P1286" s="234"/>
      <c r="Q1286" s="180" t="str">
        <f>IF(PEDIDOS[[#This Row],[Valor do item pago]]=PEDIDOS[[#This Row],[Total Item ]],"PAGO", "")</f>
        <v/>
      </c>
    </row>
    <row r="1287" spans="1:17" s="216" customFormat="1" ht="39.950000000000003" customHeight="1" x14ac:dyDescent="0.25">
      <c r="A1287" s="231"/>
      <c r="B1287" s="216">
        <v>644</v>
      </c>
      <c r="C1287" s="232">
        <v>43411</v>
      </c>
      <c r="D1287" s="233" t="s">
        <v>34</v>
      </c>
      <c r="E1287" s="216" t="s">
        <v>588</v>
      </c>
      <c r="F1287" s="216" t="s">
        <v>1079</v>
      </c>
      <c r="G1287" s="216" t="s">
        <v>586</v>
      </c>
      <c r="H1287" s="216" t="s">
        <v>544</v>
      </c>
      <c r="I1287" s="234" t="s">
        <v>677</v>
      </c>
      <c r="J1287" s="234"/>
      <c r="K1287" s="234"/>
      <c r="L1287" s="216" t="s">
        <v>3</v>
      </c>
      <c r="M1287" s="178">
        <v>1</v>
      </c>
      <c r="N1287" s="235">
        <v>30</v>
      </c>
      <c r="O1287" s="234">
        <v>30</v>
      </c>
      <c r="P1287" s="234"/>
      <c r="Q1287" s="180" t="str">
        <f>IF(PEDIDOS[[#This Row],[Valor do item pago]]=PEDIDOS[[#This Row],[Total Item ]],"PAGO", "")</f>
        <v/>
      </c>
    </row>
    <row r="1288" spans="1:17" s="216" customFormat="1" ht="39.950000000000003" customHeight="1" x14ac:dyDescent="0.25">
      <c r="A1288" s="231"/>
      <c r="B1288" s="216">
        <v>643</v>
      </c>
      <c r="C1288" s="232">
        <v>43411</v>
      </c>
      <c r="D1288" s="233" t="s">
        <v>34</v>
      </c>
      <c r="E1288" s="216" t="s">
        <v>1075</v>
      </c>
      <c r="F1288" s="216" t="s">
        <v>1076</v>
      </c>
      <c r="G1288" s="216" t="s">
        <v>1077</v>
      </c>
      <c r="H1288" s="216" t="s">
        <v>651</v>
      </c>
      <c r="I1288" s="234" t="s">
        <v>1078</v>
      </c>
      <c r="J1288" s="234"/>
      <c r="K1288" s="234"/>
      <c r="L1288" s="216" t="s">
        <v>0</v>
      </c>
      <c r="M1288" s="178">
        <v>1</v>
      </c>
      <c r="N1288" s="235">
        <v>30</v>
      </c>
      <c r="O1288" s="234">
        <v>30</v>
      </c>
      <c r="P1288" s="234"/>
      <c r="Q1288" s="180" t="str">
        <f>IF(PEDIDOS[[#This Row],[Valor do item pago]]=PEDIDOS[[#This Row],[Total Item ]],"PAGO", "")</f>
        <v/>
      </c>
    </row>
    <row r="1289" spans="1:17" s="216" customFormat="1" ht="39.950000000000003" customHeight="1" x14ac:dyDescent="0.25">
      <c r="A1289" s="231"/>
      <c r="B1289" s="216">
        <v>642</v>
      </c>
      <c r="C1289" s="232">
        <v>43411</v>
      </c>
      <c r="D1289" s="233" t="s">
        <v>40</v>
      </c>
      <c r="E1289" s="216" t="s">
        <v>649</v>
      </c>
      <c r="F1289" s="216" t="s">
        <v>310</v>
      </c>
      <c r="G1289" s="216" t="s">
        <v>51</v>
      </c>
      <c r="H1289" s="216" t="s">
        <v>52</v>
      </c>
      <c r="I1289" s="234" t="s">
        <v>447</v>
      </c>
      <c r="J1289" s="234" t="s">
        <v>1074</v>
      </c>
      <c r="K1289" s="234"/>
      <c r="L1289" s="216" t="s">
        <v>219</v>
      </c>
      <c r="M1289" s="178">
        <v>1</v>
      </c>
      <c r="N1289" s="235">
        <v>30</v>
      </c>
      <c r="O1289" s="234">
        <v>30</v>
      </c>
      <c r="P1289" s="234"/>
      <c r="Q1289" s="180" t="str">
        <f>IF(PEDIDOS[[#This Row],[Valor do item pago]]=PEDIDOS[[#This Row],[Total Item ]],"PAGO", "")</f>
        <v/>
      </c>
    </row>
    <row r="1290" spans="1:17" s="216" customFormat="1" ht="39.950000000000003" customHeight="1" x14ac:dyDescent="0.25">
      <c r="A1290" s="231"/>
      <c r="B1290" s="216">
        <v>641</v>
      </c>
      <c r="C1290" s="232">
        <v>43411</v>
      </c>
      <c r="D1290" s="233" t="s">
        <v>40</v>
      </c>
      <c r="E1290" s="216" t="s">
        <v>203</v>
      </c>
      <c r="F1290" s="216" t="s">
        <v>305</v>
      </c>
      <c r="G1290" s="216" t="s">
        <v>41</v>
      </c>
      <c r="H1290" s="216" t="s">
        <v>441</v>
      </c>
      <c r="I1290" s="234" t="s">
        <v>442</v>
      </c>
      <c r="J1290" s="234"/>
      <c r="K1290" s="234"/>
      <c r="L1290" s="216" t="s">
        <v>1</v>
      </c>
      <c r="M1290" s="178">
        <v>1</v>
      </c>
      <c r="N1290" s="235">
        <v>30</v>
      </c>
      <c r="O1290" s="234">
        <v>30</v>
      </c>
      <c r="P1290" s="234"/>
      <c r="Q1290" s="180" t="str">
        <f>IF(PEDIDOS[[#This Row],[Valor do item pago]]=PEDIDOS[[#This Row],[Total Item ]],"PAGO", "")</f>
        <v/>
      </c>
    </row>
    <row r="1291" spans="1:17" s="216" customFormat="1" ht="39.950000000000003" customHeight="1" x14ac:dyDescent="0.25">
      <c r="A1291" s="231"/>
      <c r="B1291" s="216">
        <v>641</v>
      </c>
      <c r="C1291" s="232">
        <v>43411</v>
      </c>
      <c r="D1291" s="233" t="s">
        <v>40</v>
      </c>
      <c r="E1291" s="216" t="s">
        <v>203</v>
      </c>
      <c r="F1291" s="216" t="s">
        <v>305</v>
      </c>
      <c r="G1291" s="216" t="s">
        <v>41</v>
      </c>
      <c r="H1291" s="216" t="s">
        <v>441</v>
      </c>
      <c r="I1291" s="234" t="s">
        <v>442</v>
      </c>
      <c r="J1291" s="234"/>
      <c r="K1291" s="234"/>
      <c r="L1291" s="216" t="s">
        <v>0</v>
      </c>
      <c r="M1291" s="178">
        <v>1</v>
      </c>
      <c r="N1291" s="235">
        <v>30</v>
      </c>
      <c r="O1291" s="234">
        <v>30</v>
      </c>
      <c r="P1291" s="234"/>
      <c r="Q1291" s="180" t="str">
        <f>IF(PEDIDOS[[#This Row],[Valor do item pago]]=PEDIDOS[[#This Row],[Total Item ]],"PAGO", "")</f>
        <v/>
      </c>
    </row>
    <row r="1292" spans="1:17" s="216" customFormat="1" ht="39.950000000000003" customHeight="1" x14ac:dyDescent="0.25">
      <c r="A1292" s="231"/>
      <c r="B1292" s="216">
        <v>640</v>
      </c>
      <c r="C1292" s="232">
        <v>43411</v>
      </c>
      <c r="D1292" s="233" t="s">
        <v>40</v>
      </c>
      <c r="E1292" s="216" t="s">
        <v>13</v>
      </c>
      <c r="F1292" s="216">
        <v>0</v>
      </c>
      <c r="G1292" s="216">
        <v>0</v>
      </c>
      <c r="H1292" s="216">
        <v>0</v>
      </c>
      <c r="I1292" s="234"/>
      <c r="J1292" s="234"/>
      <c r="K1292" s="234"/>
      <c r="L1292" s="216" t="s">
        <v>219</v>
      </c>
      <c r="M1292" s="178">
        <v>2</v>
      </c>
      <c r="N1292" s="235">
        <v>30</v>
      </c>
      <c r="O1292" s="234">
        <v>60</v>
      </c>
      <c r="P1292" s="234"/>
      <c r="Q1292" s="180" t="str">
        <f>IF(PEDIDOS[[#This Row],[Valor do item pago]]=PEDIDOS[[#This Row],[Total Item ]],"PAGO", "")</f>
        <v/>
      </c>
    </row>
    <row r="1293" spans="1:17" s="216" customFormat="1" ht="39.950000000000003" customHeight="1" x14ac:dyDescent="0.25">
      <c r="A1293" s="231"/>
      <c r="B1293" s="216">
        <v>639</v>
      </c>
      <c r="C1293" s="232">
        <v>43411</v>
      </c>
      <c r="D1293" s="233" t="s">
        <v>40</v>
      </c>
      <c r="E1293" s="216" t="s">
        <v>204</v>
      </c>
      <c r="F1293" s="216" t="s">
        <v>279</v>
      </c>
      <c r="G1293" s="216">
        <v>0</v>
      </c>
      <c r="H1293" s="216">
        <v>0</v>
      </c>
      <c r="I1293" s="234"/>
      <c r="J1293" s="234"/>
      <c r="K1293" s="234"/>
      <c r="L1293" s="216" t="s">
        <v>3</v>
      </c>
      <c r="M1293" s="178">
        <v>2</v>
      </c>
      <c r="N1293" s="235">
        <v>30</v>
      </c>
      <c r="O1293" s="234">
        <v>60</v>
      </c>
      <c r="P1293" s="234"/>
      <c r="Q1293" s="180" t="str">
        <f>IF(PEDIDOS[[#This Row],[Valor do item pago]]=PEDIDOS[[#This Row],[Total Item ]],"PAGO", "")</f>
        <v/>
      </c>
    </row>
    <row r="1294" spans="1:17" s="216" customFormat="1" ht="39.950000000000003" customHeight="1" x14ac:dyDescent="0.25">
      <c r="A1294" s="231"/>
      <c r="B1294" s="216">
        <v>638</v>
      </c>
      <c r="C1294" s="232">
        <v>43411</v>
      </c>
      <c r="D1294" s="233" t="s">
        <v>40</v>
      </c>
      <c r="E1294" s="216" t="s">
        <v>630</v>
      </c>
      <c r="F1294" s="216" t="s">
        <v>312</v>
      </c>
      <c r="G1294" s="216" t="s">
        <v>616</v>
      </c>
      <c r="H1294" s="216" t="s">
        <v>523</v>
      </c>
      <c r="I1294" s="234" t="s">
        <v>735</v>
      </c>
      <c r="J1294" s="234"/>
      <c r="K1294" s="234"/>
      <c r="L1294" s="216" t="s">
        <v>1</v>
      </c>
      <c r="M1294" s="178">
        <v>4</v>
      </c>
      <c r="N1294" s="235">
        <v>30</v>
      </c>
      <c r="O1294" s="234">
        <v>120</v>
      </c>
      <c r="P1294" s="234">
        <v>120</v>
      </c>
      <c r="Q1294" s="180" t="str">
        <f>IF(PEDIDOS[[#This Row],[Valor do item pago]]=PEDIDOS[[#This Row],[Total Item ]],"PAGO", "")</f>
        <v>PAGO</v>
      </c>
    </row>
    <row r="1295" spans="1:17" s="216" customFormat="1" ht="39.950000000000003" customHeight="1" x14ac:dyDescent="0.25">
      <c r="A1295" s="231"/>
      <c r="B1295" s="216">
        <v>637</v>
      </c>
      <c r="C1295" s="232">
        <v>43411</v>
      </c>
      <c r="D1295" s="233" t="s">
        <v>584</v>
      </c>
      <c r="E1295" s="216" t="s">
        <v>584</v>
      </c>
      <c r="F1295" s="216" t="s">
        <v>585</v>
      </c>
      <c r="G1295" s="216">
        <v>0</v>
      </c>
      <c r="H1295" s="216">
        <v>0</v>
      </c>
      <c r="I1295" s="234"/>
      <c r="J1295" s="234"/>
      <c r="K1295" s="234"/>
      <c r="L1295" s="216" t="s">
        <v>219</v>
      </c>
      <c r="M1295" s="178">
        <v>3</v>
      </c>
      <c r="N1295" s="235">
        <v>30</v>
      </c>
      <c r="O1295" s="234">
        <v>90</v>
      </c>
      <c r="P1295" s="234"/>
      <c r="Q1295" s="180" t="str">
        <f>IF(PEDIDOS[[#This Row],[Valor do item pago]]=PEDIDOS[[#This Row],[Total Item ]],"PAGO", "")</f>
        <v/>
      </c>
    </row>
    <row r="1296" spans="1:17" s="216" customFormat="1" ht="39.950000000000003" customHeight="1" x14ac:dyDescent="0.25">
      <c r="A1296" s="231"/>
      <c r="B1296" s="216">
        <v>637</v>
      </c>
      <c r="C1296" s="232">
        <v>43411</v>
      </c>
      <c r="D1296" s="233" t="s">
        <v>584</v>
      </c>
      <c r="E1296" s="216" t="s">
        <v>584</v>
      </c>
      <c r="F1296" s="216" t="s">
        <v>585</v>
      </c>
      <c r="G1296" s="216">
        <v>0</v>
      </c>
      <c r="H1296" s="216">
        <v>0</v>
      </c>
      <c r="I1296" s="234"/>
      <c r="J1296" s="234"/>
      <c r="K1296" s="234"/>
      <c r="L1296" s="216" t="s">
        <v>1</v>
      </c>
      <c r="M1296" s="178">
        <v>1</v>
      </c>
      <c r="N1296" s="235">
        <v>30</v>
      </c>
      <c r="O1296" s="234">
        <v>30</v>
      </c>
      <c r="P1296" s="234"/>
      <c r="Q1296" s="180" t="str">
        <f>IF(PEDIDOS[[#This Row],[Valor do item pago]]=PEDIDOS[[#This Row],[Total Item ]],"PAGO", "")</f>
        <v/>
      </c>
    </row>
    <row r="1297" spans="1:17" s="216" customFormat="1" ht="39.950000000000003" customHeight="1" x14ac:dyDescent="0.25">
      <c r="A1297" s="231"/>
      <c r="B1297" s="216">
        <v>637</v>
      </c>
      <c r="C1297" s="232">
        <v>43411</v>
      </c>
      <c r="D1297" s="233" t="s">
        <v>584</v>
      </c>
      <c r="E1297" s="216" t="s">
        <v>584</v>
      </c>
      <c r="F1297" s="216" t="s">
        <v>585</v>
      </c>
      <c r="G1297" s="216">
        <v>0</v>
      </c>
      <c r="H1297" s="216">
        <v>0</v>
      </c>
      <c r="I1297" s="234"/>
      <c r="J1297" s="234"/>
      <c r="K1297" s="234"/>
      <c r="L1297" s="216" t="s">
        <v>0</v>
      </c>
      <c r="M1297" s="178">
        <v>1</v>
      </c>
      <c r="N1297" s="235">
        <v>30</v>
      </c>
      <c r="O1297" s="234">
        <v>30</v>
      </c>
      <c r="P1297" s="234"/>
      <c r="Q1297" s="180" t="str">
        <f>IF(PEDIDOS[[#This Row],[Valor do item pago]]=PEDIDOS[[#This Row],[Total Item ]],"PAGO", "")</f>
        <v/>
      </c>
    </row>
    <row r="1298" spans="1:17" s="216" customFormat="1" ht="39.950000000000003" customHeight="1" x14ac:dyDescent="0.25">
      <c r="A1298" s="231"/>
      <c r="B1298" s="216">
        <v>636</v>
      </c>
      <c r="C1298" s="232">
        <v>43411</v>
      </c>
      <c r="D1298" s="233" t="s">
        <v>40</v>
      </c>
      <c r="E1298" s="216" t="s">
        <v>718</v>
      </c>
      <c r="F1298" s="216" t="s">
        <v>717</v>
      </c>
      <c r="G1298" s="216" t="s">
        <v>719</v>
      </c>
      <c r="H1298" s="216" t="s">
        <v>112</v>
      </c>
      <c r="I1298" s="234" t="s">
        <v>720</v>
      </c>
      <c r="J1298" s="234" t="s">
        <v>965</v>
      </c>
      <c r="K1298" s="234"/>
      <c r="L1298" s="216" t="s">
        <v>3</v>
      </c>
      <c r="M1298" s="178">
        <v>2</v>
      </c>
      <c r="N1298" s="235">
        <v>30</v>
      </c>
      <c r="O1298" s="234">
        <v>60</v>
      </c>
      <c r="P1298" s="234"/>
      <c r="Q1298" s="180" t="str">
        <f>IF(PEDIDOS[[#This Row],[Valor do item pago]]=PEDIDOS[[#This Row],[Total Item ]],"PAGO", "")</f>
        <v/>
      </c>
    </row>
    <row r="1299" spans="1:17" s="216" customFormat="1" ht="39.950000000000003" customHeight="1" x14ac:dyDescent="0.25">
      <c r="A1299" s="231"/>
      <c r="B1299" s="216">
        <v>635</v>
      </c>
      <c r="C1299" s="232">
        <v>43411</v>
      </c>
      <c r="D1299" s="233" t="s">
        <v>916</v>
      </c>
      <c r="E1299" s="216" t="s">
        <v>732</v>
      </c>
      <c r="F1299" s="216" t="s">
        <v>733</v>
      </c>
      <c r="G1299" s="216">
        <v>0</v>
      </c>
      <c r="H1299" s="216" t="s">
        <v>40</v>
      </c>
      <c r="I1299" s="234"/>
      <c r="J1299" s="234"/>
      <c r="K1299" s="234"/>
      <c r="L1299" s="216" t="s">
        <v>0</v>
      </c>
      <c r="M1299" s="178">
        <v>2</v>
      </c>
      <c r="N1299" s="235">
        <v>30</v>
      </c>
      <c r="O1299" s="234">
        <v>60</v>
      </c>
      <c r="P1299" s="234"/>
      <c r="Q1299" s="180" t="str">
        <f>IF(PEDIDOS[[#This Row],[Valor do item pago]]=PEDIDOS[[#This Row],[Total Item ]],"PAGO", "")</f>
        <v/>
      </c>
    </row>
    <row r="1300" spans="1:17" s="216" customFormat="1" ht="39.950000000000003" customHeight="1" x14ac:dyDescent="0.25">
      <c r="A1300" s="231"/>
      <c r="B1300" s="216">
        <v>634</v>
      </c>
      <c r="C1300" s="232">
        <v>43411</v>
      </c>
      <c r="D1300" s="233" t="s">
        <v>40</v>
      </c>
      <c r="E1300" s="216" t="s">
        <v>966</v>
      </c>
      <c r="F1300" s="216" t="s">
        <v>1073</v>
      </c>
      <c r="G1300" s="216">
        <v>0</v>
      </c>
      <c r="H1300" s="216" t="s">
        <v>40</v>
      </c>
      <c r="I1300" s="234"/>
      <c r="J1300" s="234"/>
      <c r="K1300" s="234"/>
      <c r="L1300" s="216" t="s">
        <v>3</v>
      </c>
      <c r="M1300" s="178">
        <v>1</v>
      </c>
      <c r="N1300" s="235">
        <v>30</v>
      </c>
      <c r="O1300" s="234">
        <v>30</v>
      </c>
      <c r="P1300" s="234"/>
      <c r="Q1300" s="180" t="str">
        <f>IF(PEDIDOS[[#This Row],[Valor do item pago]]=PEDIDOS[[#This Row],[Total Item ]],"PAGO", "")</f>
        <v/>
      </c>
    </row>
    <row r="1301" spans="1:17" s="216" customFormat="1" ht="39.950000000000003" customHeight="1" x14ac:dyDescent="0.25">
      <c r="A1301" s="231"/>
      <c r="B1301" s="216">
        <v>634</v>
      </c>
      <c r="C1301" s="232">
        <v>43411</v>
      </c>
      <c r="D1301" s="233" t="s">
        <v>40</v>
      </c>
      <c r="E1301" s="216" t="s">
        <v>966</v>
      </c>
      <c r="F1301" s="216" t="s">
        <v>1073</v>
      </c>
      <c r="G1301" s="216">
        <v>0</v>
      </c>
      <c r="H1301" s="216" t="s">
        <v>40</v>
      </c>
      <c r="I1301" s="234"/>
      <c r="J1301" s="234"/>
      <c r="K1301" s="234"/>
      <c r="L1301" s="216" t="s">
        <v>219</v>
      </c>
      <c r="M1301" s="178">
        <v>1</v>
      </c>
      <c r="N1301" s="235">
        <v>30</v>
      </c>
      <c r="O1301" s="234">
        <v>30</v>
      </c>
      <c r="P1301" s="234"/>
      <c r="Q1301" s="180" t="str">
        <f>IF(PEDIDOS[[#This Row],[Valor do item pago]]=PEDIDOS[[#This Row],[Total Item ]],"PAGO", "")</f>
        <v/>
      </c>
    </row>
    <row r="1302" spans="1:17" s="216" customFormat="1" ht="39.950000000000003" customHeight="1" x14ac:dyDescent="0.25">
      <c r="A1302" s="231"/>
      <c r="B1302" s="216">
        <v>634</v>
      </c>
      <c r="C1302" s="232">
        <v>43411</v>
      </c>
      <c r="D1302" s="233" t="s">
        <v>40</v>
      </c>
      <c r="E1302" s="216" t="s">
        <v>966</v>
      </c>
      <c r="F1302" s="216" t="s">
        <v>1073</v>
      </c>
      <c r="G1302" s="216">
        <v>0</v>
      </c>
      <c r="H1302" s="216" t="s">
        <v>40</v>
      </c>
      <c r="I1302" s="234"/>
      <c r="J1302" s="234"/>
      <c r="K1302" s="234"/>
      <c r="L1302" s="216" t="s">
        <v>0</v>
      </c>
      <c r="M1302" s="178">
        <v>1</v>
      </c>
      <c r="N1302" s="235">
        <v>30</v>
      </c>
      <c r="O1302" s="234">
        <v>30</v>
      </c>
      <c r="P1302" s="234"/>
      <c r="Q1302" s="180" t="str">
        <f>IF(PEDIDOS[[#This Row],[Valor do item pago]]=PEDIDOS[[#This Row],[Total Item ]],"PAGO", "")</f>
        <v/>
      </c>
    </row>
    <row r="1303" spans="1:17" s="216" customFormat="1" ht="39.950000000000003" customHeight="1" x14ac:dyDescent="0.25">
      <c r="A1303" s="231"/>
      <c r="B1303" s="216">
        <v>633</v>
      </c>
      <c r="C1303" s="232">
        <v>43411</v>
      </c>
      <c r="D1303" s="233" t="s">
        <v>24</v>
      </c>
      <c r="E1303" s="216" t="s">
        <v>25</v>
      </c>
      <c r="F1303" s="216" t="s">
        <v>291</v>
      </c>
      <c r="G1303" s="216" t="s">
        <v>330</v>
      </c>
      <c r="H1303" s="216" t="s">
        <v>406</v>
      </c>
      <c r="I1303" s="234" t="s">
        <v>329</v>
      </c>
      <c r="J1303" s="234"/>
      <c r="K1303" s="234"/>
      <c r="L1303" s="216" t="s">
        <v>219</v>
      </c>
      <c r="M1303" s="178">
        <v>1</v>
      </c>
      <c r="N1303" s="235">
        <v>30</v>
      </c>
      <c r="O1303" s="234">
        <v>30</v>
      </c>
      <c r="P1303" s="234"/>
      <c r="Q1303" s="180" t="str">
        <f>IF(PEDIDOS[[#This Row],[Valor do item pago]]=PEDIDOS[[#This Row],[Total Item ]],"PAGO", "")</f>
        <v/>
      </c>
    </row>
    <row r="1304" spans="1:17" s="216" customFormat="1" ht="39.950000000000003" customHeight="1" x14ac:dyDescent="0.25">
      <c r="A1304" s="231"/>
      <c r="B1304" s="216">
        <v>632</v>
      </c>
      <c r="C1304" s="232">
        <v>43411</v>
      </c>
      <c r="D1304" s="233" t="s">
        <v>24</v>
      </c>
      <c r="E1304" s="216" t="s">
        <v>23</v>
      </c>
      <c r="F1304" s="216">
        <v>0</v>
      </c>
      <c r="G1304" s="216">
        <v>0</v>
      </c>
      <c r="H1304" s="216">
        <v>0</v>
      </c>
      <c r="I1304" s="234"/>
      <c r="J1304" s="234"/>
      <c r="K1304" s="234" t="s">
        <v>40</v>
      </c>
      <c r="L1304" s="216" t="s">
        <v>219</v>
      </c>
      <c r="M1304" s="178">
        <v>2</v>
      </c>
      <c r="N1304" s="235">
        <v>30</v>
      </c>
      <c r="O1304" s="234">
        <v>60</v>
      </c>
      <c r="P1304" s="234"/>
      <c r="Q1304" s="180" t="str">
        <f>IF(PEDIDOS[[#This Row],[Valor do item pago]]=PEDIDOS[[#This Row],[Total Item ]],"PAGO", "")</f>
        <v/>
      </c>
    </row>
    <row r="1305" spans="1:17" s="216" customFormat="1" ht="39.950000000000003" customHeight="1" x14ac:dyDescent="0.25">
      <c r="A1305" s="231"/>
      <c r="B1305" s="216">
        <v>631</v>
      </c>
      <c r="C1305" s="232">
        <v>43411</v>
      </c>
      <c r="D1305" s="233" t="s">
        <v>44</v>
      </c>
      <c r="E1305" s="216" t="s">
        <v>1069</v>
      </c>
      <c r="F1305" s="216" t="s">
        <v>1070</v>
      </c>
      <c r="G1305" s="216" t="s">
        <v>1071</v>
      </c>
      <c r="H1305" s="216" t="s">
        <v>84</v>
      </c>
      <c r="I1305" s="234" t="s">
        <v>1072</v>
      </c>
      <c r="J1305" s="234"/>
      <c r="K1305" s="234"/>
      <c r="L1305" s="216" t="s">
        <v>3</v>
      </c>
      <c r="M1305" s="178">
        <v>1</v>
      </c>
      <c r="N1305" s="235">
        <v>30</v>
      </c>
      <c r="O1305" s="234">
        <v>30</v>
      </c>
      <c r="P1305" s="234"/>
      <c r="Q1305" s="180" t="str">
        <f>IF(PEDIDOS[[#This Row],[Valor do item pago]]=PEDIDOS[[#This Row],[Total Item ]],"PAGO", "")</f>
        <v/>
      </c>
    </row>
    <row r="1306" spans="1:17" s="216" customFormat="1" ht="39.950000000000003" customHeight="1" x14ac:dyDescent="0.25">
      <c r="A1306" s="231"/>
      <c r="B1306" s="216">
        <v>630</v>
      </c>
      <c r="C1306" s="232">
        <v>43411</v>
      </c>
      <c r="D1306" s="233" t="s">
        <v>44</v>
      </c>
      <c r="E1306" s="216" t="s">
        <v>1058</v>
      </c>
      <c r="F1306" s="216">
        <v>0</v>
      </c>
      <c r="G1306" s="216">
        <v>0</v>
      </c>
      <c r="H1306" s="216" t="s">
        <v>741</v>
      </c>
      <c r="I1306" s="234"/>
      <c r="J1306" s="234"/>
      <c r="K1306" s="234" t="s">
        <v>741</v>
      </c>
      <c r="L1306" s="216" t="s">
        <v>219</v>
      </c>
      <c r="M1306" s="178">
        <v>1</v>
      </c>
      <c r="N1306" s="235">
        <v>30</v>
      </c>
      <c r="O1306" s="234">
        <v>30</v>
      </c>
      <c r="P1306" s="234"/>
      <c r="Q1306" s="180" t="str">
        <f>IF(PEDIDOS[[#This Row],[Valor do item pago]]=PEDIDOS[[#This Row],[Total Item ]],"PAGO", "")</f>
        <v/>
      </c>
    </row>
    <row r="1307" spans="1:17" s="216" customFormat="1" ht="39.950000000000003" customHeight="1" x14ac:dyDescent="0.25">
      <c r="A1307" s="231"/>
      <c r="B1307" s="216">
        <v>629</v>
      </c>
      <c r="C1307" s="232">
        <v>43411</v>
      </c>
      <c r="D1307" s="233" t="s">
        <v>44</v>
      </c>
      <c r="E1307" s="216" t="s">
        <v>380</v>
      </c>
      <c r="F1307" s="216">
        <v>0</v>
      </c>
      <c r="G1307" s="216">
        <v>0</v>
      </c>
      <c r="H1307" s="216">
        <v>0</v>
      </c>
      <c r="I1307" s="234"/>
      <c r="J1307" s="234"/>
      <c r="K1307" s="234" t="s">
        <v>44</v>
      </c>
      <c r="L1307" s="216" t="s">
        <v>1</v>
      </c>
      <c r="M1307" s="178">
        <v>1</v>
      </c>
      <c r="N1307" s="235">
        <v>30</v>
      </c>
      <c r="O1307" s="234">
        <v>30</v>
      </c>
      <c r="P1307" s="234"/>
      <c r="Q1307" s="180" t="str">
        <f>IF(PEDIDOS[[#This Row],[Valor do item pago]]=PEDIDOS[[#This Row],[Total Item ]],"PAGO", "")</f>
        <v/>
      </c>
    </row>
    <row r="1308" spans="1:17" s="216" customFormat="1" ht="39.950000000000003" customHeight="1" x14ac:dyDescent="0.25">
      <c r="A1308" s="231"/>
      <c r="B1308" s="216">
        <v>628</v>
      </c>
      <c r="C1308" s="232">
        <v>43411</v>
      </c>
      <c r="D1308" s="233" t="s">
        <v>44</v>
      </c>
      <c r="E1308" s="216" t="s">
        <v>25</v>
      </c>
      <c r="F1308" s="216" t="s">
        <v>291</v>
      </c>
      <c r="G1308" s="216" t="s">
        <v>330</v>
      </c>
      <c r="H1308" s="216" t="s">
        <v>406</v>
      </c>
      <c r="I1308" s="234" t="s">
        <v>329</v>
      </c>
      <c r="J1308" s="234" t="s">
        <v>1068</v>
      </c>
      <c r="K1308" s="234"/>
      <c r="L1308" s="216" t="s">
        <v>219</v>
      </c>
      <c r="M1308" s="178">
        <v>2</v>
      </c>
      <c r="N1308" s="235">
        <v>30</v>
      </c>
      <c r="O1308" s="234">
        <v>60</v>
      </c>
      <c r="P1308" s="234"/>
      <c r="Q1308" s="180" t="str">
        <f>IF(PEDIDOS[[#This Row],[Valor do item pago]]=PEDIDOS[[#This Row],[Total Item ]],"PAGO", "")</f>
        <v/>
      </c>
    </row>
    <row r="1309" spans="1:17" s="216" customFormat="1" ht="39.950000000000003" customHeight="1" x14ac:dyDescent="0.25">
      <c r="A1309" s="231"/>
      <c r="B1309" s="216">
        <v>627</v>
      </c>
      <c r="C1309" s="232">
        <v>43411</v>
      </c>
      <c r="D1309" s="233" t="s">
        <v>44</v>
      </c>
      <c r="E1309" s="216" t="s">
        <v>741</v>
      </c>
      <c r="F1309" s="216" t="s">
        <v>742</v>
      </c>
      <c r="G1309" s="216">
        <v>0</v>
      </c>
      <c r="H1309" s="216" t="s">
        <v>40</v>
      </c>
      <c r="I1309" s="234"/>
      <c r="J1309" s="234" t="s">
        <v>1067</v>
      </c>
      <c r="K1309" s="234" t="s">
        <v>741</v>
      </c>
      <c r="L1309" s="216" t="s">
        <v>235</v>
      </c>
      <c r="M1309" s="178">
        <v>1</v>
      </c>
      <c r="N1309" s="235">
        <v>30</v>
      </c>
      <c r="O1309" s="234">
        <v>30</v>
      </c>
      <c r="P1309" s="234"/>
      <c r="Q1309" s="180" t="str">
        <f>IF(PEDIDOS[[#This Row],[Valor do item pago]]=PEDIDOS[[#This Row],[Total Item ]],"PAGO", "")</f>
        <v/>
      </c>
    </row>
    <row r="1310" spans="1:17" s="216" customFormat="1" ht="39.950000000000003" customHeight="1" x14ac:dyDescent="0.25">
      <c r="A1310" s="231"/>
      <c r="B1310" s="216">
        <v>626</v>
      </c>
      <c r="C1310" s="232">
        <v>43411</v>
      </c>
      <c r="D1310" s="233" t="s">
        <v>49</v>
      </c>
      <c r="E1310" s="216" t="s">
        <v>613</v>
      </c>
      <c r="F1310" s="216" t="s">
        <v>296</v>
      </c>
      <c r="G1310" s="216" t="s">
        <v>76</v>
      </c>
      <c r="H1310" s="216" t="s">
        <v>84</v>
      </c>
      <c r="I1310" s="234" t="s">
        <v>428</v>
      </c>
      <c r="J1310" s="234"/>
      <c r="K1310" s="234"/>
      <c r="L1310" s="216" t="s">
        <v>1</v>
      </c>
      <c r="M1310" s="178">
        <v>1</v>
      </c>
      <c r="N1310" s="235">
        <v>30</v>
      </c>
      <c r="O1310" s="234">
        <v>30</v>
      </c>
      <c r="P1310" s="234"/>
      <c r="Q1310" s="180" t="str">
        <f>IF(PEDIDOS[[#This Row],[Valor do item pago]]=PEDIDOS[[#This Row],[Total Item ]],"PAGO", "")</f>
        <v/>
      </c>
    </row>
    <row r="1311" spans="1:17" s="216" customFormat="1" ht="39.950000000000003" customHeight="1" x14ac:dyDescent="0.25">
      <c r="A1311" s="231"/>
      <c r="B1311" s="216">
        <v>626</v>
      </c>
      <c r="C1311" s="232">
        <v>43411</v>
      </c>
      <c r="D1311" s="233" t="s">
        <v>49</v>
      </c>
      <c r="E1311" s="216" t="s">
        <v>613</v>
      </c>
      <c r="F1311" s="216" t="s">
        <v>296</v>
      </c>
      <c r="G1311" s="216" t="s">
        <v>76</v>
      </c>
      <c r="H1311" s="216" t="s">
        <v>84</v>
      </c>
      <c r="I1311" s="234" t="s">
        <v>428</v>
      </c>
      <c r="J1311" s="234"/>
      <c r="K1311" s="234"/>
      <c r="L1311" s="216" t="s">
        <v>0</v>
      </c>
      <c r="M1311" s="178">
        <v>1</v>
      </c>
      <c r="N1311" s="235">
        <v>30</v>
      </c>
      <c r="O1311" s="234">
        <v>30</v>
      </c>
      <c r="P1311" s="234"/>
      <c r="Q1311" s="180" t="str">
        <f>IF(PEDIDOS[[#This Row],[Valor do item pago]]=PEDIDOS[[#This Row],[Total Item ]],"PAGO", "")</f>
        <v/>
      </c>
    </row>
    <row r="1312" spans="1:17" s="216" customFormat="1" ht="39.950000000000003" customHeight="1" x14ac:dyDescent="0.25">
      <c r="A1312" s="231"/>
      <c r="B1312" s="216">
        <v>625</v>
      </c>
      <c r="C1312" s="232">
        <v>43411</v>
      </c>
      <c r="D1312" s="233" t="s">
        <v>49</v>
      </c>
      <c r="E1312" s="216" t="s">
        <v>615</v>
      </c>
      <c r="F1312" s="216" t="s">
        <v>324</v>
      </c>
      <c r="G1312" s="216" t="s">
        <v>616</v>
      </c>
      <c r="H1312" s="216" t="s">
        <v>523</v>
      </c>
      <c r="I1312" s="234" t="s">
        <v>735</v>
      </c>
      <c r="J1312" s="234"/>
      <c r="K1312" s="234"/>
      <c r="L1312" s="216" t="s">
        <v>3</v>
      </c>
      <c r="M1312" s="178">
        <v>1</v>
      </c>
      <c r="N1312" s="235">
        <v>30</v>
      </c>
      <c r="O1312" s="234">
        <v>30</v>
      </c>
      <c r="P1312" s="234">
        <v>30</v>
      </c>
      <c r="Q1312" s="180" t="str">
        <f>IF(PEDIDOS[[#This Row],[Valor do item pago]]=PEDIDOS[[#This Row],[Total Item ]],"PAGO", "")</f>
        <v>PAGO</v>
      </c>
    </row>
    <row r="1313" spans="1:17" s="216" customFormat="1" ht="39.950000000000003" customHeight="1" x14ac:dyDescent="0.25">
      <c r="A1313" s="231"/>
      <c r="B1313" s="216">
        <v>625</v>
      </c>
      <c r="C1313" s="232">
        <v>43411</v>
      </c>
      <c r="D1313" s="233" t="s">
        <v>49</v>
      </c>
      <c r="E1313" s="216" t="s">
        <v>615</v>
      </c>
      <c r="F1313" s="216" t="s">
        <v>324</v>
      </c>
      <c r="G1313" s="216" t="s">
        <v>616</v>
      </c>
      <c r="H1313" s="216" t="s">
        <v>523</v>
      </c>
      <c r="I1313" s="234" t="s">
        <v>735</v>
      </c>
      <c r="J1313" s="234"/>
      <c r="K1313" s="234"/>
      <c r="L1313" s="216" t="s">
        <v>1</v>
      </c>
      <c r="M1313" s="178">
        <v>1</v>
      </c>
      <c r="N1313" s="235">
        <v>30</v>
      </c>
      <c r="O1313" s="234">
        <v>30</v>
      </c>
      <c r="P1313" s="234">
        <v>30</v>
      </c>
      <c r="Q1313" s="180" t="str">
        <f>IF(PEDIDOS[[#This Row],[Valor do item pago]]=PEDIDOS[[#This Row],[Total Item ]],"PAGO", "")</f>
        <v>PAGO</v>
      </c>
    </row>
    <row r="1314" spans="1:17" s="216" customFormat="1" ht="39.950000000000003" customHeight="1" x14ac:dyDescent="0.25">
      <c r="A1314" s="231"/>
      <c r="B1314" s="216">
        <v>624</v>
      </c>
      <c r="C1314" s="232">
        <v>43411</v>
      </c>
      <c r="D1314" s="233" t="s">
        <v>49</v>
      </c>
      <c r="E1314" s="216" t="s">
        <v>614</v>
      </c>
      <c r="F1314" s="216" t="s">
        <v>289</v>
      </c>
      <c r="G1314" s="216" t="s">
        <v>72</v>
      </c>
      <c r="H1314" s="216" t="s">
        <v>393</v>
      </c>
      <c r="I1314" s="234" t="s">
        <v>423</v>
      </c>
      <c r="J1314" s="234"/>
      <c r="K1314" s="234"/>
      <c r="L1314" s="216" t="s">
        <v>219</v>
      </c>
      <c r="M1314" s="178">
        <v>1</v>
      </c>
      <c r="N1314" s="235">
        <v>30</v>
      </c>
      <c r="O1314" s="234">
        <v>30</v>
      </c>
      <c r="P1314" s="234">
        <v>30</v>
      </c>
      <c r="Q1314" s="180" t="str">
        <f>IF(PEDIDOS[[#This Row],[Valor do item pago]]=PEDIDOS[[#This Row],[Total Item ]],"PAGO", "")</f>
        <v>PAGO</v>
      </c>
    </row>
    <row r="1315" spans="1:17" s="216" customFormat="1" ht="39.950000000000003" customHeight="1" x14ac:dyDescent="0.25">
      <c r="A1315" s="231"/>
      <c r="B1315" s="216">
        <v>623</v>
      </c>
      <c r="C1315" s="232">
        <v>43411</v>
      </c>
      <c r="D1315" s="233" t="s">
        <v>49</v>
      </c>
      <c r="E1315" s="216" t="s">
        <v>611</v>
      </c>
      <c r="F1315" s="216" t="s">
        <v>276</v>
      </c>
      <c r="G1315" s="216" t="s">
        <v>66</v>
      </c>
      <c r="H1315" s="216" t="s">
        <v>390</v>
      </c>
      <c r="I1315" s="234" t="s">
        <v>253</v>
      </c>
      <c r="J1315" s="234" t="s">
        <v>1066</v>
      </c>
      <c r="K1315" s="234"/>
      <c r="L1315" s="216" t="s">
        <v>3</v>
      </c>
      <c r="M1315" s="178">
        <v>1</v>
      </c>
      <c r="N1315" s="235">
        <v>30</v>
      </c>
      <c r="O1315" s="234">
        <v>30</v>
      </c>
      <c r="P1315" s="234"/>
      <c r="Q1315" s="180" t="str">
        <f>IF(PEDIDOS[[#This Row],[Valor do item pago]]=PEDIDOS[[#This Row],[Total Item ]],"PAGO", "")</f>
        <v/>
      </c>
    </row>
    <row r="1316" spans="1:17" s="216" customFormat="1" ht="39.950000000000003" customHeight="1" x14ac:dyDescent="0.25">
      <c r="A1316" s="231"/>
      <c r="B1316" s="216">
        <v>622</v>
      </c>
      <c r="C1316" s="232">
        <v>43411</v>
      </c>
      <c r="D1316" s="233" t="s">
        <v>231</v>
      </c>
      <c r="E1316" s="216" t="s">
        <v>382</v>
      </c>
      <c r="F1316" s="216">
        <v>0</v>
      </c>
      <c r="G1316" s="216">
        <v>0</v>
      </c>
      <c r="H1316" s="216">
        <v>0</v>
      </c>
      <c r="I1316" s="234"/>
      <c r="J1316" s="234"/>
      <c r="K1316" s="234"/>
      <c r="L1316" s="216" t="s">
        <v>1</v>
      </c>
      <c r="M1316" s="178">
        <v>1</v>
      </c>
      <c r="N1316" s="235">
        <v>30</v>
      </c>
      <c r="O1316" s="234">
        <v>30</v>
      </c>
      <c r="P1316" s="234"/>
      <c r="Q1316" s="180" t="str">
        <f>IF(PEDIDOS[[#This Row],[Valor do item pago]]=PEDIDOS[[#This Row],[Total Item ]],"PAGO", "")</f>
        <v/>
      </c>
    </row>
    <row r="1317" spans="1:17" s="216" customFormat="1" ht="39.950000000000003" customHeight="1" x14ac:dyDescent="0.25">
      <c r="A1317" s="231"/>
      <c r="B1317" s="216">
        <v>621</v>
      </c>
      <c r="C1317" s="232">
        <v>43411</v>
      </c>
      <c r="D1317" s="233" t="s">
        <v>231</v>
      </c>
      <c r="E1317" s="216" t="s">
        <v>362</v>
      </c>
      <c r="F1317" s="216">
        <v>0</v>
      </c>
      <c r="G1317" s="216" t="s">
        <v>186</v>
      </c>
      <c r="H1317" s="216" t="s">
        <v>398</v>
      </c>
      <c r="I1317" s="234" t="s">
        <v>431</v>
      </c>
      <c r="J1317" s="234"/>
      <c r="K1317" s="234"/>
      <c r="L1317" s="216" t="s">
        <v>219</v>
      </c>
      <c r="M1317" s="178">
        <v>1</v>
      </c>
      <c r="N1317" s="235">
        <v>30</v>
      </c>
      <c r="O1317" s="234">
        <v>30</v>
      </c>
      <c r="P1317" s="234"/>
      <c r="Q1317" s="180" t="str">
        <f>IF(PEDIDOS[[#This Row],[Valor do item pago]]=PEDIDOS[[#This Row],[Total Item ]],"PAGO", "")</f>
        <v/>
      </c>
    </row>
    <row r="1318" spans="1:17" s="216" customFormat="1" ht="39.950000000000003" customHeight="1" x14ac:dyDescent="0.25">
      <c r="A1318" s="231"/>
      <c r="B1318" s="216">
        <v>621</v>
      </c>
      <c r="C1318" s="232">
        <v>43411</v>
      </c>
      <c r="D1318" s="233" t="s">
        <v>231</v>
      </c>
      <c r="E1318" s="216" t="s">
        <v>362</v>
      </c>
      <c r="F1318" s="216">
        <v>0</v>
      </c>
      <c r="G1318" s="216" t="s">
        <v>186</v>
      </c>
      <c r="H1318" s="216" t="s">
        <v>398</v>
      </c>
      <c r="I1318" s="234" t="s">
        <v>431</v>
      </c>
      <c r="J1318" s="234"/>
      <c r="K1318" s="234"/>
      <c r="L1318" s="216" t="s">
        <v>0</v>
      </c>
      <c r="M1318" s="178">
        <v>1</v>
      </c>
      <c r="N1318" s="235">
        <v>30</v>
      </c>
      <c r="O1318" s="234">
        <v>30</v>
      </c>
      <c r="P1318" s="234"/>
      <c r="Q1318" s="180" t="str">
        <f>IF(PEDIDOS[[#This Row],[Valor do item pago]]=PEDIDOS[[#This Row],[Total Item ]],"PAGO", "")</f>
        <v/>
      </c>
    </row>
    <row r="1319" spans="1:17" s="216" customFormat="1" ht="39.950000000000003" customHeight="1" x14ac:dyDescent="0.25">
      <c r="A1319" s="231"/>
      <c r="B1319" s="216">
        <v>620</v>
      </c>
      <c r="C1319" s="232">
        <v>43411</v>
      </c>
      <c r="D1319" s="233" t="s">
        <v>231</v>
      </c>
      <c r="E1319" s="216" t="s">
        <v>375</v>
      </c>
      <c r="F1319" s="216" t="s">
        <v>1065</v>
      </c>
      <c r="G1319" s="216">
        <v>0</v>
      </c>
      <c r="H1319" s="216" t="s">
        <v>40</v>
      </c>
      <c r="I1319" s="234"/>
      <c r="J1319" s="234"/>
      <c r="K1319" s="234" t="s">
        <v>40</v>
      </c>
      <c r="L1319" s="216" t="s">
        <v>3</v>
      </c>
      <c r="M1319" s="178">
        <v>4</v>
      </c>
      <c r="N1319" s="235">
        <v>30</v>
      </c>
      <c r="O1319" s="234">
        <v>120</v>
      </c>
      <c r="P1319" s="234"/>
      <c r="Q1319" s="180" t="str">
        <f>IF(PEDIDOS[[#This Row],[Valor do item pago]]=PEDIDOS[[#This Row],[Total Item ]],"PAGO", "")</f>
        <v/>
      </c>
    </row>
    <row r="1320" spans="1:17" s="216" customFormat="1" ht="39.950000000000003" customHeight="1" x14ac:dyDescent="0.25">
      <c r="A1320" s="231"/>
      <c r="B1320" s="216">
        <v>619</v>
      </c>
      <c r="C1320" s="232">
        <v>43411</v>
      </c>
      <c r="D1320" s="233" t="s">
        <v>231</v>
      </c>
      <c r="E1320" s="216" t="s">
        <v>370</v>
      </c>
      <c r="F1320" s="216">
        <v>0</v>
      </c>
      <c r="G1320" s="216">
        <v>0</v>
      </c>
      <c r="H1320" s="216" t="s">
        <v>40</v>
      </c>
      <c r="I1320" s="234"/>
      <c r="J1320" s="234"/>
      <c r="K1320" s="234" t="s">
        <v>40</v>
      </c>
      <c r="L1320" s="216" t="s">
        <v>219</v>
      </c>
      <c r="M1320" s="178">
        <v>2</v>
      </c>
      <c r="N1320" s="235">
        <v>30</v>
      </c>
      <c r="O1320" s="234">
        <v>60</v>
      </c>
      <c r="P1320" s="234"/>
      <c r="Q1320" s="180" t="str">
        <f>IF(PEDIDOS[[#This Row],[Valor do item pago]]=PEDIDOS[[#This Row],[Total Item ]],"PAGO", "")</f>
        <v/>
      </c>
    </row>
    <row r="1321" spans="1:17" s="216" customFormat="1" ht="39.950000000000003" customHeight="1" x14ac:dyDescent="0.25">
      <c r="A1321" s="231"/>
      <c r="B1321" s="216">
        <v>618</v>
      </c>
      <c r="C1321" s="232">
        <v>43411</v>
      </c>
      <c r="D1321" s="233" t="s">
        <v>231</v>
      </c>
      <c r="E1321" s="216" t="s">
        <v>704</v>
      </c>
      <c r="F1321" s="216" t="s">
        <v>805</v>
      </c>
      <c r="G1321" s="216">
        <v>0</v>
      </c>
      <c r="H1321" s="216" t="s">
        <v>40</v>
      </c>
      <c r="I1321" s="234"/>
      <c r="J1321" s="234"/>
      <c r="K1321" s="234" t="s">
        <v>40</v>
      </c>
      <c r="L1321" s="216" t="s">
        <v>1</v>
      </c>
      <c r="M1321" s="178">
        <v>1</v>
      </c>
      <c r="N1321" s="235">
        <v>30</v>
      </c>
      <c r="O1321" s="234">
        <v>30</v>
      </c>
      <c r="P1321" s="234"/>
      <c r="Q1321" s="180" t="str">
        <f>IF(PEDIDOS[[#This Row],[Valor do item pago]]=PEDIDOS[[#This Row],[Total Item ]],"PAGO", "")</f>
        <v/>
      </c>
    </row>
    <row r="1322" spans="1:17" s="216" customFormat="1" ht="39.950000000000003" customHeight="1" x14ac:dyDescent="0.25">
      <c r="A1322" s="231"/>
      <c r="B1322" s="216">
        <v>617</v>
      </c>
      <c r="C1322" s="232">
        <v>43411</v>
      </c>
      <c r="D1322" s="233" t="s">
        <v>231</v>
      </c>
      <c r="E1322" s="216" t="s">
        <v>90</v>
      </c>
      <c r="F1322" s="216" t="s">
        <v>806</v>
      </c>
      <c r="G1322" s="216">
        <v>0</v>
      </c>
      <c r="H1322" s="216" t="s">
        <v>40</v>
      </c>
      <c r="I1322" s="234"/>
      <c r="J1322" s="234"/>
      <c r="K1322" s="234" t="s">
        <v>90</v>
      </c>
      <c r="L1322" s="216" t="s">
        <v>219</v>
      </c>
      <c r="M1322" s="178">
        <v>2</v>
      </c>
      <c r="N1322" s="235">
        <v>30</v>
      </c>
      <c r="O1322" s="234">
        <v>60</v>
      </c>
      <c r="P1322" s="234"/>
      <c r="Q1322" s="180" t="str">
        <f>IF(PEDIDOS[[#This Row],[Valor do item pago]]=PEDIDOS[[#This Row],[Total Item ]],"PAGO", "")</f>
        <v/>
      </c>
    </row>
    <row r="1323" spans="1:17" s="216" customFormat="1" ht="39.950000000000003" customHeight="1" x14ac:dyDescent="0.25">
      <c r="A1323" s="231"/>
      <c r="B1323" s="216">
        <v>616</v>
      </c>
      <c r="C1323" s="232">
        <v>43411</v>
      </c>
      <c r="D1323" s="233" t="s">
        <v>231</v>
      </c>
      <c r="E1323" s="216" t="s">
        <v>597</v>
      </c>
      <c r="F1323" s="216" t="s">
        <v>703</v>
      </c>
      <c r="G1323" s="216" t="s">
        <v>596</v>
      </c>
      <c r="H1323" s="216" t="s">
        <v>84</v>
      </c>
      <c r="I1323" s="234" t="s">
        <v>679</v>
      </c>
      <c r="J1323" s="234"/>
      <c r="K1323" s="234"/>
      <c r="L1323" s="216" t="s">
        <v>219</v>
      </c>
      <c r="M1323" s="178">
        <v>1</v>
      </c>
      <c r="N1323" s="235">
        <v>30</v>
      </c>
      <c r="O1323" s="234">
        <v>30</v>
      </c>
      <c r="P1323" s="234">
        <v>30</v>
      </c>
      <c r="Q1323" s="180" t="str">
        <f>IF(PEDIDOS[[#This Row],[Valor do item pago]]=PEDIDOS[[#This Row],[Total Item ]],"PAGO", "")</f>
        <v>PAGO</v>
      </c>
    </row>
    <row r="1324" spans="1:17" s="216" customFormat="1" ht="39.950000000000003" customHeight="1" x14ac:dyDescent="0.25">
      <c r="A1324" s="231"/>
      <c r="B1324" s="216">
        <v>615</v>
      </c>
      <c r="C1324" s="232">
        <v>43411</v>
      </c>
      <c r="D1324" s="233" t="s">
        <v>231</v>
      </c>
      <c r="E1324" s="216" t="s">
        <v>356</v>
      </c>
      <c r="F1324" s="216" t="s">
        <v>700</v>
      </c>
      <c r="G1324" s="216" t="s">
        <v>699</v>
      </c>
      <c r="H1324" s="216" t="s">
        <v>701</v>
      </c>
      <c r="I1324" s="234" t="s">
        <v>702</v>
      </c>
      <c r="J1324" s="234"/>
      <c r="K1324" s="234"/>
      <c r="L1324" s="216" t="s">
        <v>219</v>
      </c>
      <c r="M1324" s="178">
        <v>1</v>
      </c>
      <c r="N1324" s="235">
        <v>30</v>
      </c>
      <c r="O1324" s="234">
        <v>30</v>
      </c>
      <c r="P1324" s="234"/>
      <c r="Q1324" s="180" t="str">
        <f>IF(PEDIDOS[[#This Row],[Valor do item pago]]=PEDIDOS[[#This Row],[Total Item ]],"PAGO", "")</f>
        <v/>
      </c>
    </row>
    <row r="1325" spans="1:17" s="216" customFormat="1" ht="39.950000000000003" customHeight="1" x14ac:dyDescent="0.25">
      <c r="A1325" s="231"/>
      <c r="B1325" s="216">
        <v>614</v>
      </c>
      <c r="C1325" s="232">
        <v>43411</v>
      </c>
      <c r="D1325" s="233" t="s">
        <v>231</v>
      </c>
      <c r="E1325" s="216" t="s">
        <v>346</v>
      </c>
      <c r="F1325" s="216" t="s">
        <v>286</v>
      </c>
      <c r="G1325" s="216" t="s">
        <v>595</v>
      </c>
      <c r="H1325" s="216" t="s">
        <v>512</v>
      </c>
      <c r="I1325" s="234" t="s">
        <v>655</v>
      </c>
      <c r="J1325" s="234"/>
      <c r="K1325" s="234"/>
      <c r="L1325" s="216" t="s">
        <v>219</v>
      </c>
      <c r="M1325" s="178">
        <v>1</v>
      </c>
      <c r="N1325" s="235">
        <v>30</v>
      </c>
      <c r="O1325" s="234">
        <v>30</v>
      </c>
      <c r="P1325" s="234"/>
      <c r="Q1325" s="180" t="str">
        <f>IF(PEDIDOS[[#This Row],[Valor do item pago]]=PEDIDOS[[#This Row],[Total Item ]],"PAGO", "")</f>
        <v/>
      </c>
    </row>
    <row r="1326" spans="1:17" s="216" customFormat="1" ht="39.950000000000003" customHeight="1" x14ac:dyDescent="0.25">
      <c r="A1326" s="231"/>
      <c r="B1326" s="216">
        <v>613</v>
      </c>
      <c r="C1326" s="232">
        <v>43411</v>
      </c>
      <c r="D1326" s="233" t="s">
        <v>40</v>
      </c>
      <c r="E1326" s="216" t="s">
        <v>37</v>
      </c>
      <c r="F1326" s="216" t="s">
        <v>321</v>
      </c>
      <c r="G1326" s="216" t="s">
        <v>15</v>
      </c>
      <c r="H1326" s="216" t="s">
        <v>459</v>
      </c>
      <c r="I1326" s="234" t="s">
        <v>458</v>
      </c>
      <c r="J1326" s="234"/>
      <c r="K1326" s="234"/>
      <c r="L1326" s="216" t="s">
        <v>3</v>
      </c>
      <c r="M1326" s="178">
        <v>1</v>
      </c>
      <c r="N1326" s="235">
        <v>30</v>
      </c>
      <c r="O1326" s="234">
        <v>30</v>
      </c>
      <c r="P1326" s="234"/>
      <c r="Q1326" s="180" t="str">
        <f>IF(PEDIDOS[[#This Row],[Valor do item pago]]=PEDIDOS[[#This Row],[Total Item ]],"PAGO", "")</f>
        <v/>
      </c>
    </row>
    <row r="1327" spans="1:17" s="216" customFormat="1" ht="39.950000000000003" customHeight="1" x14ac:dyDescent="0.25">
      <c r="A1327" s="231"/>
      <c r="B1327" s="216">
        <v>612</v>
      </c>
      <c r="C1327" s="232">
        <v>43410</v>
      </c>
      <c r="D1327" s="233" t="s">
        <v>40</v>
      </c>
      <c r="E1327" s="216" t="s">
        <v>473</v>
      </c>
      <c r="F1327" s="216" t="s">
        <v>315</v>
      </c>
      <c r="G1327" s="216">
        <v>0</v>
      </c>
      <c r="H1327" s="216">
        <v>0</v>
      </c>
      <c r="I1327" s="234"/>
      <c r="J1327" s="234"/>
      <c r="K1327" s="234"/>
      <c r="L1327" s="216" t="s">
        <v>1</v>
      </c>
      <c r="M1327" s="178">
        <v>2</v>
      </c>
      <c r="N1327" s="235">
        <v>30</v>
      </c>
      <c r="O1327" s="234">
        <v>30</v>
      </c>
      <c r="P1327" s="234"/>
      <c r="Q1327" s="180" t="str">
        <f>IF(PEDIDOS[[#This Row],[Valor do item pago]]=PEDIDOS[[#This Row],[Total Item ]],"PAGO", "")</f>
        <v/>
      </c>
    </row>
    <row r="1328" spans="1:17" s="216" customFormat="1" ht="39.950000000000003" customHeight="1" x14ac:dyDescent="0.25">
      <c r="A1328" s="231"/>
      <c r="B1328" s="216">
        <v>611</v>
      </c>
      <c r="C1328" s="232">
        <v>43378</v>
      </c>
      <c r="D1328" s="233" t="s">
        <v>231</v>
      </c>
      <c r="E1328" s="216" t="s">
        <v>375</v>
      </c>
      <c r="F1328" s="216" t="s">
        <v>1065</v>
      </c>
      <c r="G1328" s="216">
        <v>0</v>
      </c>
      <c r="H1328" s="216" t="s">
        <v>40</v>
      </c>
      <c r="I1328" s="234"/>
      <c r="J1328" s="234"/>
      <c r="K1328" s="234"/>
      <c r="L1328" s="216" t="s">
        <v>219</v>
      </c>
      <c r="M1328" s="178">
        <v>3</v>
      </c>
      <c r="N1328" s="235">
        <v>30</v>
      </c>
      <c r="O1328" s="234">
        <v>90</v>
      </c>
      <c r="P1328" s="234"/>
      <c r="Q1328" s="180" t="str">
        <f>IF(PEDIDOS[[#This Row],[Valor do item pago]]=PEDIDOS[[#This Row],[Total Item ]],"PAGO", "")</f>
        <v/>
      </c>
    </row>
    <row r="1329" spans="1:17" s="216" customFormat="1" ht="39.950000000000003" customHeight="1" x14ac:dyDescent="0.25">
      <c r="A1329" s="231"/>
      <c r="B1329" s="216">
        <v>610</v>
      </c>
      <c r="C1329" s="232">
        <v>43378</v>
      </c>
      <c r="D1329" s="233" t="s">
        <v>477</v>
      </c>
      <c r="E1329" s="216" t="s">
        <v>340</v>
      </c>
      <c r="F1329" s="216" t="s">
        <v>974</v>
      </c>
      <c r="G1329" s="216" t="s">
        <v>973</v>
      </c>
      <c r="H1329" s="216" t="s">
        <v>388</v>
      </c>
      <c r="I1329" s="234" t="s">
        <v>417</v>
      </c>
      <c r="J1329" s="234" t="s">
        <v>1064</v>
      </c>
      <c r="K1329" s="234"/>
      <c r="L1329" s="216" t="s">
        <v>219</v>
      </c>
      <c r="M1329" s="178">
        <v>1</v>
      </c>
      <c r="N1329" s="235">
        <v>30</v>
      </c>
      <c r="O1329" s="234">
        <v>30</v>
      </c>
      <c r="P1329" s="234"/>
      <c r="Q1329" s="180" t="str">
        <f>IF(PEDIDOS[[#This Row],[Valor do item pago]]=PEDIDOS[[#This Row],[Total Item ]],"PAGO", "")</f>
        <v/>
      </c>
    </row>
    <row r="1330" spans="1:17" s="216" customFormat="1" ht="39.950000000000003" customHeight="1" x14ac:dyDescent="0.25">
      <c r="A1330" s="231"/>
      <c r="B1330" s="216">
        <v>609</v>
      </c>
      <c r="C1330" s="232">
        <v>43378</v>
      </c>
      <c r="D1330" s="233" t="s">
        <v>44</v>
      </c>
      <c r="E1330" s="216" t="s">
        <v>1059</v>
      </c>
      <c r="F1330" s="216" t="s">
        <v>1060</v>
      </c>
      <c r="G1330" s="216" t="s">
        <v>1061</v>
      </c>
      <c r="H1330" s="216" t="s">
        <v>1062</v>
      </c>
      <c r="I1330" s="234" t="s">
        <v>1063</v>
      </c>
      <c r="J1330" s="234"/>
      <c r="K1330" s="234"/>
      <c r="L1330" s="216" t="s">
        <v>235</v>
      </c>
      <c r="M1330" s="178">
        <v>1</v>
      </c>
      <c r="N1330" s="235">
        <v>30</v>
      </c>
      <c r="O1330" s="234">
        <v>30</v>
      </c>
      <c r="P1330" s="234"/>
      <c r="Q1330" s="180" t="str">
        <f>IF(PEDIDOS[[#This Row],[Valor do item pago]]=PEDIDOS[[#This Row],[Total Item ]],"PAGO", "")</f>
        <v/>
      </c>
    </row>
    <row r="1331" spans="1:17" s="216" customFormat="1" ht="39.950000000000003" customHeight="1" x14ac:dyDescent="0.25">
      <c r="A1331" s="231"/>
      <c r="B1331" s="216">
        <v>609</v>
      </c>
      <c r="C1331" s="232">
        <v>43378</v>
      </c>
      <c r="D1331" s="233" t="s">
        <v>44</v>
      </c>
      <c r="E1331" s="216" t="s">
        <v>1059</v>
      </c>
      <c r="F1331" s="216" t="s">
        <v>1060</v>
      </c>
      <c r="G1331" s="216" t="s">
        <v>1061</v>
      </c>
      <c r="H1331" s="216" t="s">
        <v>1062</v>
      </c>
      <c r="I1331" s="234" t="s">
        <v>1063</v>
      </c>
      <c r="J1331" s="234"/>
      <c r="K1331" s="234"/>
      <c r="L1331" s="216" t="s">
        <v>1</v>
      </c>
      <c r="M1331" s="178">
        <v>2</v>
      </c>
      <c r="N1331" s="235">
        <v>30</v>
      </c>
      <c r="O1331" s="234">
        <v>60</v>
      </c>
      <c r="P1331" s="234"/>
      <c r="Q1331" s="180" t="str">
        <f>IF(PEDIDOS[[#This Row],[Valor do item pago]]=PEDIDOS[[#This Row],[Total Item ]],"PAGO", "")</f>
        <v/>
      </c>
    </row>
    <row r="1332" spans="1:17" s="216" customFormat="1" ht="39.950000000000003" customHeight="1" x14ac:dyDescent="0.25">
      <c r="A1332" s="231"/>
      <c r="B1332" s="216">
        <v>608</v>
      </c>
      <c r="C1332" s="232">
        <v>43378</v>
      </c>
      <c r="D1332" s="233" t="s">
        <v>44</v>
      </c>
      <c r="E1332" s="216" t="s">
        <v>1058</v>
      </c>
      <c r="F1332" s="216">
        <v>0</v>
      </c>
      <c r="G1332" s="216">
        <v>0</v>
      </c>
      <c r="H1332" s="216" t="s">
        <v>741</v>
      </c>
      <c r="I1332" s="234"/>
      <c r="J1332" s="234"/>
      <c r="K1332" s="234" t="s">
        <v>741</v>
      </c>
      <c r="L1332" s="216" t="s">
        <v>219</v>
      </c>
      <c r="M1332" s="178">
        <v>1</v>
      </c>
      <c r="N1332" s="235">
        <v>30</v>
      </c>
      <c r="O1332" s="234">
        <v>30</v>
      </c>
      <c r="P1332" s="234"/>
      <c r="Q1332" s="180" t="str">
        <f>IF(PEDIDOS[[#This Row],[Valor do item pago]]=PEDIDOS[[#This Row],[Total Item ]],"PAGO", "")</f>
        <v/>
      </c>
    </row>
    <row r="1333" spans="1:17" s="216" customFormat="1" ht="39.950000000000003" customHeight="1" x14ac:dyDescent="0.25">
      <c r="A1333" s="231"/>
      <c r="B1333" s="216">
        <v>607</v>
      </c>
      <c r="C1333" s="232">
        <v>43378</v>
      </c>
      <c r="D1333" s="233" t="s">
        <v>44</v>
      </c>
      <c r="E1333" s="216" t="s">
        <v>746</v>
      </c>
      <c r="F1333" s="216" t="s">
        <v>774</v>
      </c>
      <c r="G1333" s="216" t="s">
        <v>747</v>
      </c>
      <c r="H1333" s="216" t="s">
        <v>748</v>
      </c>
      <c r="I1333" s="234" t="s">
        <v>749</v>
      </c>
      <c r="J1333" s="234"/>
      <c r="K1333" s="234"/>
      <c r="L1333" s="216" t="s">
        <v>219</v>
      </c>
      <c r="M1333" s="178">
        <v>1</v>
      </c>
      <c r="N1333" s="235">
        <v>30</v>
      </c>
      <c r="O1333" s="234">
        <v>30</v>
      </c>
      <c r="P1333" s="234"/>
      <c r="Q1333" s="180" t="str">
        <f>IF(PEDIDOS[[#This Row],[Valor do item pago]]=PEDIDOS[[#This Row],[Total Item ]],"PAGO", "")</f>
        <v/>
      </c>
    </row>
    <row r="1334" spans="1:17" s="216" customFormat="1" ht="39.950000000000003" customHeight="1" x14ac:dyDescent="0.25">
      <c r="A1334" s="231"/>
      <c r="B1334" s="216">
        <v>607</v>
      </c>
      <c r="C1334" s="232">
        <v>43378</v>
      </c>
      <c r="D1334" s="233" t="s">
        <v>44</v>
      </c>
      <c r="E1334" s="216" t="s">
        <v>746</v>
      </c>
      <c r="F1334" s="216" t="s">
        <v>774</v>
      </c>
      <c r="G1334" s="216" t="s">
        <v>747</v>
      </c>
      <c r="H1334" s="216" t="s">
        <v>748</v>
      </c>
      <c r="I1334" s="234" t="s">
        <v>749</v>
      </c>
      <c r="J1334" s="234"/>
      <c r="K1334" s="234"/>
      <c r="L1334" s="216" t="s">
        <v>0</v>
      </c>
      <c r="M1334" s="178">
        <v>1</v>
      </c>
      <c r="N1334" s="235">
        <v>30</v>
      </c>
      <c r="O1334" s="234">
        <v>30</v>
      </c>
      <c r="P1334" s="234"/>
      <c r="Q1334" s="180" t="str">
        <f>IF(PEDIDOS[[#This Row],[Valor do item pago]]=PEDIDOS[[#This Row],[Total Item ]],"PAGO", "")</f>
        <v/>
      </c>
    </row>
    <row r="1335" spans="1:17" s="216" customFormat="1" ht="39.950000000000003" customHeight="1" x14ac:dyDescent="0.25">
      <c r="A1335" s="231"/>
      <c r="B1335" s="216">
        <v>606</v>
      </c>
      <c r="C1335" s="232">
        <v>43378</v>
      </c>
      <c r="D1335" s="233" t="s">
        <v>44</v>
      </c>
      <c r="E1335" s="216" t="s">
        <v>744</v>
      </c>
      <c r="F1335" s="216" t="s">
        <v>745</v>
      </c>
      <c r="G1335" s="216">
        <v>0</v>
      </c>
      <c r="H1335" s="216" t="s">
        <v>38</v>
      </c>
      <c r="I1335" s="234"/>
      <c r="J1335" s="234"/>
      <c r="K1335" s="234" t="s">
        <v>44</v>
      </c>
      <c r="L1335" s="216" t="s">
        <v>219</v>
      </c>
      <c r="M1335" s="178">
        <v>1</v>
      </c>
      <c r="N1335" s="235">
        <v>30</v>
      </c>
      <c r="O1335" s="234">
        <v>30</v>
      </c>
      <c r="P1335" s="234"/>
      <c r="Q1335" s="180" t="str">
        <f>IF(PEDIDOS[[#This Row],[Valor do item pago]]=PEDIDOS[[#This Row],[Total Item ]],"PAGO", "")</f>
        <v/>
      </c>
    </row>
    <row r="1336" spans="1:17" s="216" customFormat="1" ht="39.950000000000003" customHeight="1" x14ac:dyDescent="0.25">
      <c r="A1336" s="231"/>
      <c r="B1336" s="216">
        <v>605</v>
      </c>
      <c r="C1336" s="232">
        <v>43378</v>
      </c>
      <c r="D1336" s="233" t="s">
        <v>44</v>
      </c>
      <c r="E1336" s="216" t="s">
        <v>380</v>
      </c>
      <c r="F1336" s="216">
        <v>0</v>
      </c>
      <c r="G1336" s="216">
        <v>0</v>
      </c>
      <c r="H1336" s="216">
        <v>0</v>
      </c>
      <c r="I1336" s="234"/>
      <c r="J1336" s="234"/>
      <c r="K1336" s="234"/>
      <c r="L1336" s="216" t="s">
        <v>1</v>
      </c>
      <c r="M1336" s="178">
        <v>1</v>
      </c>
      <c r="N1336" s="235">
        <v>30</v>
      </c>
      <c r="O1336" s="234">
        <v>30</v>
      </c>
      <c r="P1336" s="234"/>
      <c r="Q1336" s="180" t="str">
        <f>IF(PEDIDOS[[#This Row],[Valor do item pago]]=PEDIDOS[[#This Row],[Total Item ]],"PAGO", "")</f>
        <v/>
      </c>
    </row>
    <row r="1337" spans="1:17" s="216" customFormat="1" ht="39.950000000000003" customHeight="1" x14ac:dyDescent="0.25">
      <c r="A1337" s="231"/>
      <c r="B1337" s="216">
        <v>604</v>
      </c>
      <c r="C1337" s="232">
        <v>43378</v>
      </c>
      <c r="D1337" s="233" t="s">
        <v>44</v>
      </c>
      <c r="E1337" s="216" t="s">
        <v>25</v>
      </c>
      <c r="F1337" s="216" t="s">
        <v>291</v>
      </c>
      <c r="G1337" s="216" t="s">
        <v>330</v>
      </c>
      <c r="H1337" s="216" t="s">
        <v>406</v>
      </c>
      <c r="I1337" s="234" t="s">
        <v>329</v>
      </c>
      <c r="J1337" s="234" t="s">
        <v>1057</v>
      </c>
      <c r="K1337" s="234"/>
      <c r="L1337" s="216" t="s">
        <v>219</v>
      </c>
      <c r="M1337" s="178">
        <v>2</v>
      </c>
      <c r="N1337" s="235">
        <v>30</v>
      </c>
      <c r="O1337" s="234">
        <v>60</v>
      </c>
      <c r="P1337" s="234"/>
      <c r="Q1337" s="180" t="str">
        <f>IF(PEDIDOS[[#This Row],[Valor do item pago]]=PEDIDOS[[#This Row],[Total Item ]],"PAGO", "")</f>
        <v/>
      </c>
    </row>
    <row r="1338" spans="1:17" s="216" customFormat="1" ht="39.950000000000003" customHeight="1" x14ac:dyDescent="0.25">
      <c r="A1338" s="231"/>
      <c r="B1338" s="216">
        <v>603</v>
      </c>
      <c r="C1338" s="232">
        <v>43378</v>
      </c>
      <c r="D1338" s="233" t="s">
        <v>44</v>
      </c>
      <c r="E1338" s="216" t="s">
        <v>741</v>
      </c>
      <c r="F1338" s="216" t="s">
        <v>742</v>
      </c>
      <c r="G1338" s="216">
        <v>0</v>
      </c>
      <c r="H1338" s="216" t="s">
        <v>40</v>
      </c>
      <c r="I1338" s="234"/>
      <c r="J1338" s="234"/>
      <c r="K1338" s="234" t="s">
        <v>741</v>
      </c>
      <c r="L1338" s="216" t="s">
        <v>235</v>
      </c>
      <c r="M1338" s="178">
        <v>1</v>
      </c>
      <c r="N1338" s="235">
        <v>30</v>
      </c>
      <c r="O1338" s="234">
        <v>30</v>
      </c>
      <c r="P1338" s="234"/>
      <c r="Q1338" s="180" t="str">
        <f>IF(PEDIDOS[[#This Row],[Valor do item pago]]=PEDIDOS[[#This Row],[Total Item ]],"PAGO", "")</f>
        <v/>
      </c>
    </row>
    <row r="1339" spans="1:17" s="216" customFormat="1" ht="39.950000000000003" customHeight="1" x14ac:dyDescent="0.25">
      <c r="A1339" s="231"/>
      <c r="B1339" s="216">
        <v>602</v>
      </c>
      <c r="C1339" s="232">
        <v>43378</v>
      </c>
      <c r="D1339" s="233" t="s">
        <v>40</v>
      </c>
      <c r="E1339" s="216" t="s">
        <v>1053</v>
      </c>
      <c r="F1339" s="216" t="s">
        <v>1054</v>
      </c>
      <c r="G1339" s="216" t="s">
        <v>1055</v>
      </c>
      <c r="H1339" s="216" t="s">
        <v>84</v>
      </c>
      <c r="I1339" s="234" t="s">
        <v>1056</v>
      </c>
      <c r="J1339" s="234"/>
      <c r="K1339" s="234"/>
      <c r="L1339" s="216" t="s">
        <v>3</v>
      </c>
      <c r="M1339" s="178">
        <v>1</v>
      </c>
      <c r="N1339" s="235">
        <v>30</v>
      </c>
      <c r="O1339" s="234">
        <v>30</v>
      </c>
      <c r="P1339" s="234"/>
      <c r="Q1339" s="180" t="str">
        <f>IF(PEDIDOS[[#This Row],[Valor do item pago]]=PEDIDOS[[#This Row],[Total Item ]],"PAGO", "")</f>
        <v/>
      </c>
    </row>
    <row r="1340" spans="1:17" s="216" customFormat="1" ht="39.950000000000003" customHeight="1" x14ac:dyDescent="0.25">
      <c r="A1340" s="231"/>
      <c r="B1340" s="216">
        <v>601</v>
      </c>
      <c r="C1340" s="232">
        <v>43378</v>
      </c>
      <c r="D1340" s="233" t="s">
        <v>40</v>
      </c>
      <c r="E1340" s="216" t="s">
        <v>649</v>
      </c>
      <c r="F1340" s="216" t="s">
        <v>310</v>
      </c>
      <c r="G1340" s="216" t="s">
        <v>51</v>
      </c>
      <c r="H1340" s="216" t="s">
        <v>52</v>
      </c>
      <c r="I1340" s="234" t="s">
        <v>447</v>
      </c>
      <c r="J1340" s="234"/>
      <c r="K1340" s="234"/>
      <c r="L1340" s="216" t="s">
        <v>219</v>
      </c>
      <c r="M1340" s="178">
        <v>1</v>
      </c>
      <c r="N1340" s="235">
        <v>30</v>
      </c>
      <c r="O1340" s="234">
        <v>30</v>
      </c>
      <c r="P1340" s="234"/>
      <c r="Q1340" s="180" t="str">
        <f>IF(PEDIDOS[[#This Row],[Valor do item pago]]=PEDIDOS[[#This Row],[Total Item ]],"PAGO", "")</f>
        <v/>
      </c>
    </row>
    <row r="1341" spans="1:17" s="216" customFormat="1" ht="39.950000000000003" customHeight="1" x14ac:dyDescent="0.25">
      <c r="A1341" s="231"/>
      <c r="B1341" s="216">
        <v>600</v>
      </c>
      <c r="C1341" s="232">
        <v>43378</v>
      </c>
      <c r="D1341" s="233" t="s">
        <v>40</v>
      </c>
      <c r="E1341" s="216" t="s">
        <v>718</v>
      </c>
      <c r="F1341" s="216" t="s">
        <v>717</v>
      </c>
      <c r="G1341" s="216" t="s">
        <v>719</v>
      </c>
      <c r="H1341" s="216" t="s">
        <v>112</v>
      </c>
      <c r="I1341" s="234" t="s">
        <v>720</v>
      </c>
      <c r="J1341" s="234"/>
      <c r="K1341" s="234"/>
      <c r="L1341" s="216" t="s">
        <v>3</v>
      </c>
      <c r="M1341" s="178">
        <v>2</v>
      </c>
      <c r="N1341" s="235">
        <v>30</v>
      </c>
      <c r="O1341" s="234">
        <v>60</v>
      </c>
      <c r="P1341" s="234"/>
      <c r="Q1341" s="180" t="str">
        <f>IF(PEDIDOS[[#This Row],[Valor do item pago]]=PEDIDOS[[#This Row],[Total Item ]],"PAGO", "")</f>
        <v/>
      </c>
    </row>
    <row r="1342" spans="1:17" s="216" customFormat="1" ht="39.950000000000003" customHeight="1" x14ac:dyDescent="0.25">
      <c r="A1342" s="231"/>
      <c r="B1342" s="216">
        <v>599</v>
      </c>
      <c r="C1342" s="232">
        <v>43378</v>
      </c>
      <c r="D1342" s="233" t="s">
        <v>40</v>
      </c>
      <c r="E1342" s="216" t="s">
        <v>473</v>
      </c>
      <c r="F1342" s="216" t="s">
        <v>315</v>
      </c>
      <c r="G1342" s="216">
        <v>0</v>
      </c>
      <c r="H1342" s="216">
        <v>0</v>
      </c>
      <c r="I1342" s="234"/>
      <c r="J1342" s="234"/>
      <c r="K1342" s="234"/>
      <c r="L1342" s="216" t="s">
        <v>1</v>
      </c>
      <c r="M1342" s="178">
        <v>1</v>
      </c>
      <c r="N1342" s="235">
        <v>30</v>
      </c>
      <c r="O1342" s="234">
        <v>30</v>
      </c>
      <c r="P1342" s="234"/>
      <c r="Q1342" s="180" t="str">
        <f>IF(PEDIDOS[[#This Row],[Valor do item pago]]=PEDIDOS[[#This Row],[Total Item ]],"PAGO", "")</f>
        <v/>
      </c>
    </row>
    <row r="1343" spans="1:17" s="216" customFormat="1" ht="39.950000000000003" customHeight="1" x14ac:dyDescent="0.25">
      <c r="A1343" s="231"/>
      <c r="B1343" s="216">
        <v>598</v>
      </c>
      <c r="C1343" s="232">
        <v>43378</v>
      </c>
      <c r="D1343" s="233" t="s">
        <v>40</v>
      </c>
      <c r="E1343" s="216" t="s">
        <v>630</v>
      </c>
      <c r="F1343" s="216" t="s">
        <v>312</v>
      </c>
      <c r="G1343" s="216" t="s">
        <v>616</v>
      </c>
      <c r="H1343" s="216" t="s">
        <v>523</v>
      </c>
      <c r="I1343" s="234" t="s">
        <v>735</v>
      </c>
      <c r="J1343" s="234"/>
      <c r="K1343" s="234"/>
      <c r="L1343" s="216" t="s">
        <v>1</v>
      </c>
      <c r="M1343" s="178">
        <v>4</v>
      </c>
      <c r="N1343" s="235">
        <v>30</v>
      </c>
      <c r="O1343" s="234">
        <v>120</v>
      </c>
      <c r="P1343" s="234">
        <v>120</v>
      </c>
      <c r="Q1343" s="180" t="str">
        <f>IF(PEDIDOS[[#This Row],[Valor do item pago]]=PEDIDOS[[#This Row],[Total Item ]],"PAGO", "")</f>
        <v>PAGO</v>
      </c>
    </row>
    <row r="1344" spans="1:17" s="216" customFormat="1" ht="39.950000000000003" customHeight="1" x14ac:dyDescent="0.25">
      <c r="A1344" s="231"/>
      <c r="B1344" s="216">
        <v>597</v>
      </c>
      <c r="C1344" s="232">
        <v>43378</v>
      </c>
      <c r="D1344" s="233" t="s">
        <v>40</v>
      </c>
      <c r="E1344" s="216" t="s">
        <v>13</v>
      </c>
      <c r="F1344" s="216">
        <v>0</v>
      </c>
      <c r="G1344" s="216">
        <v>0</v>
      </c>
      <c r="H1344" s="216">
        <v>0</v>
      </c>
      <c r="I1344" s="234"/>
      <c r="J1344" s="234"/>
      <c r="K1344" s="234" t="s">
        <v>40</v>
      </c>
      <c r="L1344" s="216" t="s">
        <v>219</v>
      </c>
      <c r="M1344" s="178">
        <v>2</v>
      </c>
      <c r="N1344" s="235">
        <v>30</v>
      </c>
      <c r="O1344" s="234">
        <v>60</v>
      </c>
      <c r="P1344" s="234"/>
      <c r="Q1344" s="180" t="str">
        <f>IF(PEDIDOS[[#This Row],[Valor do item pago]]=PEDIDOS[[#This Row],[Total Item ]],"PAGO", "")</f>
        <v/>
      </c>
    </row>
    <row r="1345" spans="1:17" s="216" customFormat="1" ht="39.950000000000003" customHeight="1" x14ac:dyDescent="0.25">
      <c r="A1345" s="231"/>
      <c r="B1345" s="216">
        <v>596</v>
      </c>
      <c r="C1345" s="232">
        <v>43378</v>
      </c>
      <c r="D1345" s="233" t="s">
        <v>40</v>
      </c>
      <c r="E1345" s="216" t="s">
        <v>204</v>
      </c>
      <c r="F1345" s="216" t="s">
        <v>279</v>
      </c>
      <c r="G1345" s="216">
        <v>0</v>
      </c>
      <c r="H1345" s="216">
        <v>0</v>
      </c>
      <c r="I1345" s="234"/>
      <c r="J1345" s="234"/>
      <c r="K1345" s="234" t="s">
        <v>40</v>
      </c>
      <c r="L1345" s="216" t="s">
        <v>3</v>
      </c>
      <c r="M1345" s="178">
        <v>2</v>
      </c>
      <c r="N1345" s="235">
        <v>30</v>
      </c>
      <c r="O1345" s="234">
        <v>60</v>
      </c>
      <c r="P1345" s="234"/>
      <c r="Q1345" s="180" t="str">
        <f>IF(PEDIDOS[[#This Row],[Valor do item pago]]=PEDIDOS[[#This Row],[Total Item ]],"PAGO", "")</f>
        <v/>
      </c>
    </row>
    <row r="1346" spans="1:17" s="216" customFormat="1" ht="39.950000000000003" customHeight="1" x14ac:dyDescent="0.25">
      <c r="A1346" s="231"/>
      <c r="B1346" s="216">
        <v>595</v>
      </c>
      <c r="C1346" s="232">
        <v>43378</v>
      </c>
      <c r="D1346" s="233" t="s">
        <v>40</v>
      </c>
      <c r="E1346" s="216" t="s">
        <v>203</v>
      </c>
      <c r="F1346" s="216" t="s">
        <v>305</v>
      </c>
      <c r="G1346" s="216" t="s">
        <v>41</v>
      </c>
      <c r="H1346" s="216" t="s">
        <v>441</v>
      </c>
      <c r="I1346" s="234" t="s">
        <v>442</v>
      </c>
      <c r="J1346" s="234"/>
      <c r="K1346" s="234" t="s">
        <v>648</v>
      </c>
      <c r="L1346" s="216" t="s">
        <v>1</v>
      </c>
      <c r="M1346" s="178">
        <v>1</v>
      </c>
      <c r="N1346" s="235">
        <v>30</v>
      </c>
      <c r="O1346" s="234">
        <v>30</v>
      </c>
      <c r="P1346" s="234"/>
      <c r="Q1346" s="180" t="str">
        <f>IF(PEDIDOS[[#This Row],[Valor do item pago]]=PEDIDOS[[#This Row],[Total Item ]],"PAGO", "")</f>
        <v/>
      </c>
    </row>
    <row r="1347" spans="1:17" s="216" customFormat="1" ht="39.950000000000003" customHeight="1" x14ac:dyDescent="0.25">
      <c r="A1347" s="231"/>
      <c r="B1347" s="216">
        <v>595</v>
      </c>
      <c r="C1347" s="232">
        <v>43378</v>
      </c>
      <c r="D1347" s="233" t="s">
        <v>40</v>
      </c>
      <c r="E1347" s="216" t="s">
        <v>203</v>
      </c>
      <c r="F1347" s="216" t="s">
        <v>305</v>
      </c>
      <c r="G1347" s="216" t="s">
        <v>41</v>
      </c>
      <c r="H1347" s="216" t="s">
        <v>441</v>
      </c>
      <c r="I1347" s="234" t="s">
        <v>442</v>
      </c>
      <c r="J1347" s="234"/>
      <c r="K1347" s="234" t="s">
        <v>648</v>
      </c>
      <c r="L1347" s="216" t="s">
        <v>0</v>
      </c>
      <c r="M1347" s="178">
        <v>1</v>
      </c>
      <c r="N1347" s="235">
        <v>30</v>
      </c>
      <c r="O1347" s="234">
        <v>30</v>
      </c>
      <c r="P1347" s="234"/>
      <c r="Q1347" s="180" t="str">
        <f>IF(PEDIDOS[[#This Row],[Valor do item pago]]=PEDIDOS[[#This Row],[Total Item ]],"PAGO", "")</f>
        <v/>
      </c>
    </row>
    <row r="1348" spans="1:17" s="216" customFormat="1" ht="39.950000000000003" customHeight="1" x14ac:dyDescent="0.25">
      <c r="A1348" s="231"/>
      <c r="B1348" s="216">
        <v>594</v>
      </c>
      <c r="C1348" s="232">
        <v>43378</v>
      </c>
      <c r="D1348" s="233" t="s">
        <v>231</v>
      </c>
      <c r="E1348" s="216" t="s">
        <v>346</v>
      </c>
      <c r="F1348" s="216" t="s">
        <v>286</v>
      </c>
      <c r="G1348" s="216" t="s">
        <v>595</v>
      </c>
      <c r="H1348" s="216" t="s">
        <v>512</v>
      </c>
      <c r="I1348" s="234" t="s">
        <v>655</v>
      </c>
      <c r="J1348" s="234"/>
      <c r="K1348" s="234"/>
      <c r="L1348" s="216" t="s">
        <v>219</v>
      </c>
      <c r="M1348" s="178">
        <v>1</v>
      </c>
      <c r="N1348" s="235">
        <v>30</v>
      </c>
      <c r="O1348" s="234">
        <v>30</v>
      </c>
      <c r="P1348" s="234"/>
      <c r="Q1348" s="180" t="str">
        <f>IF(PEDIDOS[[#This Row],[Valor do item pago]]=PEDIDOS[[#This Row],[Total Item ]],"PAGO", "")</f>
        <v/>
      </c>
    </row>
    <row r="1349" spans="1:17" s="216" customFormat="1" ht="39.950000000000003" customHeight="1" x14ac:dyDescent="0.25">
      <c r="A1349" s="231"/>
      <c r="B1349" s="216">
        <v>593</v>
      </c>
      <c r="C1349" s="232">
        <v>43378</v>
      </c>
      <c r="D1349" s="233" t="s">
        <v>231</v>
      </c>
      <c r="E1349" s="216" t="s">
        <v>356</v>
      </c>
      <c r="F1349" s="216" t="s">
        <v>700</v>
      </c>
      <c r="G1349" s="216" t="s">
        <v>699</v>
      </c>
      <c r="H1349" s="216" t="s">
        <v>701</v>
      </c>
      <c r="I1349" s="234" t="s">
        <v>702</v>
      </c>
      <c r="J1349" s="234"/>
      <c r="K1349" s="234"/>
      <c r="L1349" s="216" t="s">
        <v>219</v>
      </c>
      <c r="M1349" s="178">
        <v>1</v>
      </c>
      <c r="N1349" s="235">
        <v>30</v>
      </c>
      <c r="O1349" s="234">
        <v>30</v>
      </c>
      <c r="P1349" s="234"/>
      <c r="Q1349" s="180" t="str">
        <f>IF(PEDIDOS[[#This Row],[Valor do item pago]]=PEDIDOS[[#This Row],[Total Item ]],"PAGO", "")</f>
        <v/>
      </c>
    </row>
    <row r="1350" spans="1:17" s="216" customFormat="1" ht="39.950000000000003" customHeight="1" x14ac:dyDescent="0.25">
      <c r="A1350" s="231"/>
      <c r="B1350" s="216">
        <v>592</v>
      </c>
      <c r="C1350" s="232">
        <v>43378</v>
      </c>
      <c r="D1350" s="233" t="s">
        <v>231</v>
      </c>
      <c r="E1350" s="216" t="s">
        <v>90</v>
      </c>
      <c r="F1350" s="216" t="s">
        <v>806</v>
      </c>
      <c r="G1350" s="216">
        <v>0</v>
      </c>
      <c r="H1350" s="216" t="s">
        <v>40</v>
      </c>
      <c r="I1350" s="234"/>
      <c r="J1350" s="234"/>
      <c r="K1350" s="234" t="s">
        <v>90</v>
      </c>
      <c r="L1350" s="216" t="s">
        <v>219</v>
      </c>
      <c r="M1350" s="178">
        <v>2</v>
      </c>
      <c r="N1350" s="235">
        <v>30</v>
      </c>
      <c r="O1350" s="234">
        <v>60</v>
      </c>
      <c r="P1350" s="234"/>
      <c r="Q1350" s="180" t="str">
        <f>IF(PEDIDOS[[#This Row],[Valor do item pago]]=PEDIDOS[[#This Row],[Total Item ]],"PAGO", "")</f>
        <v/>
      </c>
    </row>
    <row r="1351" spans="1:17" s="216" customFormat="1" ht="39.950000000000003" customHeight="1" x14ac:dyDescent="0.25">
      <c r="A1351" s="231"/>
      <c r="B1351" s="216">
        <v>591</v>
      </c>
      <c r="C1351" s="232">
        <v>43378</v>
      </c>
      <c r="D1351" s="233" t="s">
        <v>231</v>
      </c>
      <c r="E1351" s="216" t="s">
        <v>704</v>
      </c>
      <c r="F1351" s="216" t="s">
        <v>805</v>
      </c>
      <c r="G1351" s="216">
        <v>0</v>
      </c>
      <c r="H1351" s="216" t="s">
        <v>40</v>
      </c>
      <c r="I1351" s="234"/>
      <c r="J1351" s="234"/>
      <c r="K1351" s="234" t="s">
        <v>40</v>
      </c>
      <c r="L1351" s="216" t="s">
        <v>1</v>
      </c>
      <c r="M1351" s="178">
        <v>1</v>
      </c>
      <c r="N1351" s="235">
        <v>30</v>
      </c>
      <c r="O1351" s="234">
        <v>30</v>
      </c>
      <c r="P1351" s="234"/>
      <c r="Q1351" s="180" t="str">
        <f>IF(PEDIDOS[[#This Row],[Valor do item pago]]=PEDIDOS[[#This Row],[Total Item ]],"PAGO", "")</f>
        <v/>
      </c>
    </row>
    <row r="1352" spans="1:17" s="216" customFormat="1" ht="39.950000000000003" customHeight="1" x14ac:dyDescent="0.25">
      <c r="A1352" s="231"/>
      <c r="B1352" s="216">
        <v>590</v>
      </c>
      <c r="C1352" s="232">
        <v>43378</v>
      </c>
      <c r="D1352" s="233" t="s">
        <v>231</v>
      </c>
      <c r="E1352" s="216" t="s">
        <v>362</v>
      </c>
      <c r="F1352" s="216">
        <v>0</v>
      </c>
      <c r="G1352" s="216" t="s">
        <v>186</v>
      </c>
      <c r="H1352" s="216" t="s">
        <v>398</v>
      </c>
      <c r="I1352" s="234" t="s">
        <v>431</v>
      </c>
      <c r="J1352" s="234"/>
      <c r="K1352" s="234" t="s">
        <v>955</v>
      </c>
      <c r="L1352" s="216" t="s">
        <v>219</v>
      </c>
      <c r="M1352" s="178">
        <v>1</v>
      </c>
      <c r="N1352" s="235">
        <v>30</v>
      </c>
      <c r="O1352" s="234">
        <v>30</v>
      </c>
      <c r="P1352" s="234"/>
      <c r="Q1352" s="180" t="str">
        <f>IF(PEDIDOS[[#This Row],[Valor do item pago]]=PEDIDOS[[#This Row],[Total Item ]],"PAGO", "")</f>
        <v/>
      </c>
    </row>
    <row r="1353" spans="1:17" s="216" customFormat="1" ht="39.950000000000003" customHeight="1" x14ac:dyDescent="0.25">
      <c r="A1353" s="231"/>
      <c r="B1353" s="216">
        <v>590</v>
      </c>
      <c r="C1353" s="232">
        <v>43378</v>
      </c>
      <c r="D1353" s="233" t="s">
        <v>231</v>
      </c>
      <c r="E1353" s="216" t="s">
        <v>362</v>
      </c>
      <c r="F1353" s="216">
        <v>0</v>
      </c>
      <c r="G1353" s="216" t="s">
        <v>186</v>
      </c>
      <c r="H1353" s="216" t="s">
        <v>398</v>
      </c>
      <c r="I1353" s="234" t="s">
        <v>431</v>
      </c>
      <c r="J1353" s="234"/>
      <c r="K1353" s="234" t="s">
        <v>955</v>
      </c>
      <c r="L1353" s="216" t="s">
        <v>0</v>
      </c>
      <c r="M1353" s="178">
        <v>1</v>
      </c>
      <c r="N1353" s="235">
        <v>30</v>
      </c>
      <c r="O1353" s="234">
        <v>30</v>
      </c>
      <c r="P1353" s="234"/>
      <c r="Q1353" s="180" t="str">
        <f>IF(PEDIDOS[[#This Row],[Valor do item pago]]=PEDIDOS[[#This Row],[Total Item ]],"PAGO", "")</f>
        <v/>
      </c>
    </row>
    <row r="1354" spans="1:17" s="216" customFormat="1" ht="39.950000000000003" customHeight="1" x14ac:dyDescent="0.25">
      <c r="A1354" s="231"/>
      <c r="B1354" s="216">
        <v>589</v>
      </c>
      <c r="C1354" s="232">
        <v>43378</v>
      </c>
      <c r="D1354" s="233" t="s">
        <v>231</v>
      </c>
      <c r="E1354" s="216" t="s">
        <v>382</v>
      </c>
      <c r="F1354" s="216">
        <v>0</v>
      </c>
      <c r="G1354" s="216">
        <v>0</v>
      </c>
      <c r="H1354" s="216">
        <v>0</v>
      </c>
      <c r="I1354" s="234"/>
      <c r="J1354" s="234"/>
      <c r="K1354" s="234" t="s">
        <v>956</v>
      </c>
      <c r="L1354" s="216" t="s">
        <v>219</v>
      </c>
      <c r="M1354" s="178">
        <v>1</v>
      </c>
      <c r="N1354" s="235">
        <v>30</v>
      </c>
      <c r="O1354" s="234">
        <v>30</v>
      </c>
      <c r="P1354" s="234"/>
      <c r="Q1354" s="180" t="str">
        <f>IF(PEDIDOS[[#This Row],[Valor do item pago]]=PEDIDOS[[#This Row],[Total Item ]],"PAGO", "")</f>
        <v/>
      </c>
    </row>
    <row r="1355" spans="1:17" s="216" customFormat="1" ht="39.950000000000003" customHeight="1" x14ac:dyDescent="0.25">
      <c r="A1355" s="231"/>
      <c r="B1355" s="216">
        <v>588</v>
      </c>
      <c r="C1355" s="232">
        <v>43378</v>
      </c>
      <c r="D1355" s="233" t="s">
        <v>49</v>
      </c>
      <c r="E1355" s="216" t="s">
        <v>613</v>
      </c>
      <c r="F1355" s="216" t="s">
        <v>296</v>
      </c>
      <c r="G1355" s="216" t="s">
        <v>76</v>
      </c>
      <c r="H1355" s="216" t="s">
        <v>84</v>
      </c>
      <c r="I1355" s="234" t="s">
        <v>428</v>
      </c>
      <c r="J1355" s="234"/>
      <c r="K1355" s="234"/>
      <c r="L1355" s="216" t="s">
        <v>1</v>
      </c>
      <c r="M1355" s="178">
        <v>1</v>
      </c>
      <c r="N1355" s="235">
        <v>30</v>
      </c>
      <c r="O1355" s="234">
        <v>30</v>
      </c>
      <c r="P1355" s="234">
        <v>30</v>
      </c>
      <c r="Q1355" s="180" t="str">
        <f>IF(PEDIDOS[[#This Row],[Valor do item pago]]=PEDIDOS[[#This Row],[Total Item ]],"PAGO", "")</f>
        <v>PAGO</v>
      </c>
    </row>
    <row r="1356" spans="1:17" s="216" customFormat="1" ht="39.950000000000003" customHeight="1" x14ac:dyDescent="0.25">
      <c r="A1356" s="231"/>
      <c r="B1356" s="216">
        <v>588</v>
      </c>
      <c r="C1356" s="232">
        <v>43378</v>
      </c>
      <c r="D1356" s="233" t="s">
        <v>49</v>
      </c>
      <c r="E1356" s="216" t="s">
        <v>613</v>
      </c>
      <c r="F1356" s="216" t="s">
        <v>296</v>
      </c>
      <c r="G1356" s="216" t="s">
        <v>76</v>
      </c>
      <c r="H1356" s="216" t="s">
        <v>84</v>
      </c>
      <c r="I1356" s="234" t="s">
        <v>428</v>
      </c>
      <c r="J1356" s="234"/>
      <c r="K1356" s="234"/>
      <c r="L1356" s="216" t="s">
        <v>0</v>
      </c>
      <c r="M1356" s="178">
        <v>1</v>
      </c>
      <c r="N1356" s="235">
        <v>30</v>
      </c>
      <c r="O1356" s="234">
        <v>30</v>
      </c>
      <c r="P1356" s="234">
        <v>30</v>
      </c>
      <c r="Q1356" s="180" t="str">
        <f>IF(PEDIDOS[[#This Row],[Valor do item pago]]=PEDIDOS[[#This Row],[Total Item ]],"PAGO", "")</f>
        <v>PAGO</v>
      </c>
    </row>
    <row r="1357" spans="1:17" s="216" customFormat="1" ht="39.950000000000003" customHeight="1" x14ac:dyDescent="0.25">
      <c r="A1357" s="231"/>
      <c r="B1357" s="216">
        <v>587</v>
      </c>
      <c r="C1357" s="232">
        <v>43378</v>
      </c>
      <c r="D1357" s="233" t="s">
        <v>49</v>
      </c>
      <c r="E1357" s="216" t="s">
        <v>615</v>
      </c>
      <c r="F1357" s="216" t="s">
        <v>324</v>
      </c>
      <c r="G1357" s="216" t="s">
        <v>616</v>
      </c>
      <c r="H1357" s="216" t="s">
        <v>523</v>
      </c>
      <c r="I1357" s="234" t="s">
        <v>735</v>
      </c>
      <c r="J1357" s="234"/>
      <c r="K1357" s="234"/>
      <c r="L1357" s="216" t="s">
        <v>3</v>
      </c>
      <c r="M1357" s="178">
        <v>1</v>
      </c>
      <c r="N1357" s="235">
        <v>30</v>
      </c>
      <c r="O1357" s="234">
        <v>30</v>
      </c>
      <c r="P1357" s="234">
        <v>30</v>
      </c>
      <c r="Q1357" s="180" t="str">
        <f>IF(PEDIDOS[[#This Row],[Valor do item pago]]=PEDIDOS[[#This Row],[Total Item ]],"PAGO", "")</f>
        <v>PAGO</v>
      </c>
    </row>
    <row r="1358" spans="1:17" s="216" customFormat="1" ht="39.950000000000003" customHeight="1" x14ac:dyDescent="0.25">
      <c r="A1358" s="231"/>
      <c r="B1358" s="216">
        <v>587</v>
      </c>
      <c r="C1358" s="232">
        <v>43378</v>
      </c>
      <c r="D1358" s="233" t="s">
        <v>49</v>
      </c>
      <c r="E1358" s="216" t="s">
        <v>615</v>
      </c>
      <c r="F1358" s="216" t="s">
        <v>324</v>
      </c>
      <c r="G1358" s="216" t="s">
        <v>616</v>
      </c>
      <c r="H1358" s="216" t="s">
        <v>523</v>
      </c>
      <c r="I1358" s="234" t="s">
        <v>735</v>
      </c>
      <c r="J1358" s="234"/>
      <c r="K1358" s="234"/>
      <c r="L1358" s="216" t="s">
        <v>219</v>
      </c>
      <c r="M1358" s="178">
        <v>1</v>
      </c>
      <c r="N1358" s="235">
        <v>30</v>
      </c>
      <c r="O1358" s="234">
        <v>30</v>
      </c>
      <c r="P1358" s="234">
        <v>30</v>
      </c>
      <c r="Q1358" s="180" t="str">
        <f>IF(PEDIDOS[[#This Row],[Valor do item pago]]=PEDIDOS[[#This Row],[Total Item ]],"PAGO", "")</f>
        <v>PAGO</v>
      </c>
    </row>
    <row r="1359" spans="1:17" s="216" customFormat="1" ht="39.950000000000003" customHeight="1" x14ac:dyDescent="0.25">
      <c r="A1359" s="231"/>
      <c r="B1359" s="216">
        <v>587</v>
      </c>
      <c r="C1359" s="232">
        <v>43378</v>
      </c>
      <c r="D1359" s="233" t="s">
        <v>49</v>
      </c>
      <c r="E1359" s="216" t="s">
        <v>615</v>
      </c>
      <c r="F1359" s="216" t="s">
        <v>324</v>
      </c>
      <c r="G1359" s="216" t="s">
        <v>616</v>
      </c>
      <c r="H1359" s="216" t="s">
        <v>523</v>
      </c>
      <c r="I1359" s="234" t="s">
        <v>735</v>
      </c>
      <c r="J1359" s="234"/>
      <c r="K1359" s="234"/>
      <c r="L1359" s="216" t="s">
        <v>1</v>
      </c>
      <c r="M1359" s="178">
        <v>1</v>
      </c>
      <c r="N1359" s="235">
        <v>30</v>
      </c>
      <c r="O1359" s="234">
        <v>30</v>
      </c>
      <c r="P1359" s="234">
        <v>30</v>
      </c>
      <c r="Q1359" s="180" t="str">
        <f>IF(PEDIDOS[[#This Row],[Valor do item pago]]=PEDIDOS[[#This Row],[Total Item ]],"PAGO", "")</f>
        <v>PAGO</v>
      </c>
    </row>
    <row r="1360" spans="1:17" s="216" customFormat="1" ht="39.950000000000003" customHeight="1" x14ac:dyDescent="0.25">
      <c r="A1360" s="231"/>
      <c r="B1360" s="216">
        <v>586</v>
      </c>
      <c r="C1360" s="232">
        <v>43378</v>
      </c>
      <c r="D1360" s="233" t="s">
        <v>49</v>
      </c>
      <c r="E1360" s="216" t="s">
        <v>614</v>
      </c>
      <c r="F1360" s="216" t="s">
        <v>289</v>
      </c>
      <c r="G1360" s="216" t="s">
        <v>72</v>
      </c>
      <c r="H1360" s="216" t="s">
        <v>393</v>
      </c>
      <c r="I1360" s="234" t="s">
        <v>423</v>
      </c>
      <c r="J1360" s="234"/>
      <c r="K1360" s="234"/>
      <c r="L1360" s="216" t="s">
        <v>219</v>
      </c>
      <c r="M1360" s="178">
        <v>1</v>
      </c>
      <c r="N1360" s="235">
        <v>30</v>
      </c>
      <c r="O1360" s="234">
        <v>30</v>
      </c>
      <c r="P1360" s="234">
        <v>30</v>
      </c>
      <c r="Q1360" s="180" t="str">
        <f>IF(PEDIDOS[[#This Row],[Valor do item pago]]=PEDIDOS[[#This Row],[Total Item ]],"PAGO", "")</f>
        <v>PAGO</v>
      </c>
    </row>
    <row r="1361" spans="1:17" s="216" customFormat="1" ht="39.950000000000003" customHeight="1" x14ac:dyDescent="0.25">
      <c r="A1361" s="231"/>
      <c r="B1361" s="216">
        <v>585</v>
      </c>
      <c r="C1361" s="232">
        <v>43378</v>
      </c>
      <c r="D1361" s="233" t="s">
        <v>49</v>
      </c>
      <c r="E1361" s="216" t="s">
        <v>611</v>
      </c>
      <c r="F1361" s="216" t="s">
        <v>276</v>
      </c>
      <c r="G1361" s="216" t="s">
        <v>66</v>
      </c>
      <c r="H1361" s="216" t="s">
        <v>390</v>
      </c>
      <c r="I1361" s="234" t="s">
        <v>253</v>
      </c>
      <c r="J1361" s="239" t="s">
        <v>1052</v>
      </c>
      <c r="K1361" s="234"/>
      <c r="L1361" s="216" t="s">
        <v>3</v>
      </c>
      <c r="M1361" s="178">
        <v>1</v>
      </c>
      <c r="N1361" s="235">
        <v>30</v>
      </c>
      <c r="O1361" s="234">
        <v>30</v>
      </c>
      <c r="P1361" s="234"/>
      <c r="Q1361" s="180" t="str">
        <f>IF(PEDIDOS[[#This Row],[Valor do item pago]]=PEDIDOS[[#This Row],[Total Item ]],"PAGO", "")</f>
        <v/>
      </c>
    </row>
    <row r="1362" spans="1:17" s="216" customFormat="1" ht="39.950000000000003" customHeight="1" x14ac:dyDescent="0.25">
      <c r="A1362" s="231"/>
      <c r="B1362" s="216">
        <v>584</v>
      </c>
      <c r="C1362" s="232">
        <v>43378</v>
      </c>
      <c r="D1362" s="233" t="s">
        <v>34</v>
      </c>
      <c r="E1362" s="216" t="s">
        <v>25</v>
      </c>
      <c r="F1362" s="216" t="s">
        <v>291</v>
      </c>
      <c r="G1362" s="216" t="s">
        <v>330</v>
      </c>
      <c r="H1362" s="216" t="s">
        <v>406</v>
      </c>
      <c r="I1362" s="234" t="s">
        <v>329</v>
      </c>
      <c r="J1362" s="234" t="s">
        <v>952</v>
      </c>
      <c r="K1362" s="234"/>
      <c r="L1362" s="216" t="s">
        <v>219</v>
      </c>
      <c r="M1362" s="178">
        <v>1</v>
      </c>
      <c r="N1362" s="235">
        <v>30</v>
      </c>
      <c r="O1362" s="234">
        <v>30</v>
      </c>
      <c r="P1362" s="234">
        <v>30</v>
      </c>
      <c r="Q1362" s="180" t="str">
        <f>IF(PEDIDOS[[#This Row],[Valor do item pago]]=PEDIDOS[[#This Row],[Total Item ]],"PAGO", "")</f>
        <v>PAGO</v>
      </c>
    </row>
    <row r="1363" spans="1:17" s="216" customFormat="1" ht="39.950000000000003" customHeight="1" x14ac:dyDescent="0.25">
      <c r="A1363" s="231"/>
      <c r="B1363" s="216">
        <v>583</v>
      </c>
      <c r="C1363" s="232">
        <v>43378</v>
      </c>
      <c r="D1363" s="233" t="s">
        <v>34</v>
      </c>
      <c r="E1363" s="216" t="s">
        <v>591</v>
      </c>
      <c r="F1363" s="216" t="s">
        <v>590</v>
      </c>
      <c r="G1363" s="216" t="s">
        <v>592</v>
      </c>
      <c r="H1363" s="216" t="s">
        <v>593</v>
      </c>
      <c r="I1363" s="234" t="s">
        <v>678</v>
      </c>
      <c r="J1363" s="234"/>
      <c r="K1363" s="234"/>
      <c r="L1363" s="216" t="s">
        <v>3</v>
      </c>
      <c r="M1363" s="178">
        <v>1</v>
      </c>
      <c r="N1363" s="235">
        <v>30</v>
      </c>
      <c r="O1363" s="234">
        <v>30</v>
      </c>
      <c r="P1363" s="234">
        <v>30</v>
      </c>
      <c r="Q1363" s="180" t="str">
        <f>IF(PEDIDOS[[#This Row],[Valor do item pago]]=PEDIDOS[[#This Row],[Total Item ]],"PAGO", "")</f>
        <v>PAGO</v>
      </c>
    </row>
    <row r="1364" spans="1:17" s="216" customFormat="1" ht="39.950000000000003" customHeight="1" x14ac:dyDescent="0.25">
      <c r="A1364" s="231"/>
      <c r="B1364" s="216">
        <v>582</v>
      </c>
      <c r="C1364" s="232">
        <v>43378</v>
      </c>
      <c r="D1364" s="233" t="s">
        <v>477</v>
      </c>
      <c r="E1364" s="216" t="s">
        <v>1048</v>
      </c>
      <c r="F1364" s="216" t="s">
        <v>1049</v>
      </c>
      <c r="G1364" s="216" t="s">
        <v>1050</v>
      </c>
      <c r="H1364" s="216" t="s">
        <v>645</v>
      </c>
      <c r="I1364" s="234" t="s">
        <v>1051</v>
      </c>
      <c r="J1364" s="234"/>
      <c r="K1364" s="234"/>
      <c r="L1364" s="216" t="s">
        <v>235</v>
      </c>
      <c r="M1364" s="178">
        <v>1</v>
      </c>
      <c r="N1364" s="235">
        <v>30</v>
      </c>
      <c r="O1364" s="234">
        <v>30</v>
      </c>
      <c r="P1364" s="234"/>
      <c r="Q1364" s="180" t="str">
        <f>IF(PEDIDOS[[#This Row],[Valor do item pago]]=PEDIDOS[[#This Row],[Total Item ]],"PAGO", "")</f>
        <v/>
      </c>
    </row>
    <row r="1365" spans="1:17" s="216" customFormat="1" ht="39.950000000000003" customHeight="1" x14ac:dyDescent="0.25">
      <c r="A1365" s="231"/>
      <c r="B1365" s="216">
        <v>581</v>
      </c>
      <c r="C1365" s="232">
        <v>43378</v>
      </c>
      <c r="D1365" s="233" t="s">
        <v>477</v>
      </c>
      <c r="E1365" s="216" t="s">
        <v>1043</v>
      </c>
      <c r="F1365" s="216" t="s">
        <v>1044</v>
      </c>
      <c r="G1365" s="216" t="s">
        <v>1046</v>
      </c>
      <c r="H1365" s="216" t="s">
        <v>570</v>
      </c>
      <c r="I1365" s="234" t="s">
        <v>1047</v>
      </c>
      <c r="J1365" s="234"/>
      <c r="K1365" s="234"/>
      <c r="L1365" s="216" t="s">
        <v>219</v>
      </c>
      <c r="M1365" s="178">
        <v>1</v>
      </c>
      <c r="N1365" s="235">
        <v>30</v>
      </c>
      <c r="O1365" s="234">
        <v>30</v>
      </c>
      <c r="P1365" s="234">
        <v>30</v>
      </c>
      <c r="Q1365" s="180" t="str">
        <f>IF(PEDIDOS[[#This Row],[Valor do item pago]]=PEDIDOS[[#This Row],[Total Item ]],"PAGO", "")</f>
        <v>PAGO</v>
      </c>
    </row>
    <row r="1366" spans="1:17" s="216" customFormat="1" ht="39.950000000000003" customHeight="1" x14ac:dyDescent="0.25">
      <c r="A1366" s="231"/>
      <c r="B1366" s="216">
        <v>580</v>
      </c>
      <c r="C1366" s="232">
        <v>43378</v>
      </c>
      <c r="D1366" s="233" t="s">
        <v>477</v>
      </c>
      <c r="E1366" s="216" t="s">
        <v>1040</v>
      </c>
      <c r="F1366" s="216" t="s">
        <v>1041</v>
      </c>
      <c r="G1366" s="216" t="s">
        <v>1042</v>
      </c>
      <c r="H1366" s="216" t="s">
        <v>461</v>
      </c>
      <c r="I1366" s="234" t="s">
        <v>656</v>
      </c>
      <c r="J1366" s="234"/>
      <c r="K1366" s="234"/>
      <c r="L1366" s="216" t="s">
        <v>219</v>
      </c>
      <c r="M1366" s="178">
        <v>1</v>
      </c>
      <c r="N1366" s="235">
        <v>30</v>
      </c>
      <c r="O1366" s="234">
        <v>30</v>
      </c>
      <c r="P1366" s="234">
        <v>30</v>
      </c>
      <c r="Q1366" s="180" t="str">
        <f>IF(PEDIDOS[[#This Row],[Valor do item pago]]=PEDIDOS[[#This Row],[Total Item ]],"PAGO", "")</f>
        <v>PAGO</v>
      </c>
    </row>
    <row r="1367" spans="1:17" s="216" customFormat="1" ht="39.950000000000003" customHeight="1" x14ac:dyDescent="0.25">
      <c r="A1367" s="231"/>
      <c r="B1367" s="216">
        <v>579</v>
      </c>
      <c r="C1367" s="232">
        <v>43378</v>
      </c>
      <c r="D1367" s="233" t="s">
        <v>477</v>
      </c>
      <c r="E1367" s="216" t="s">
        <v>1037</v>
      </c>
      <c r="F1367" s="216" t="s">
        <v>1038</v>
      </c>
      <c r="G1367" s="216" t="s">
        <v>1045</v>
      </c>
      <c r="H1367" s="216" t="s">
        <v>639</v>
      </c>
      <c r="I1367" s="234" t="s">
        <v>1039</v>
      </c>
      <c r="J1367" s="234"/>
      <c r="K1367" s="234"/>
      <c r="L1367" s="216" t="s">
        <v>219</v>
      </c>
      <c r="M1367" s="178">
        <v>1</v>
      </c>
      <c r="N1367" s="235">
        <v>30</v>
      </c>
      <c r="O1367" s="234">
        <v>30</v>
      </c>
      <c r="P1367" s="234">
        <v>30</v>
      </c>
      <c r="Q1367" s="180" t="str">
        <f>IF(PEDIDOS[[#This Row],[Valor do item pago]]=PEDIDOS[[#This Row],[Total Item ]],"PAGO", "")</f>
        <v>PAGO</v>
      </c>
    </row>
    <row r="1368" spans="1:17" s="216" customFormat="1" ht="39.950000000000003" customHeight="1" x14ac:dyDescent="0.25">
      <c r="A1368" s="231"/>
      <c r="B1368" s="216">
        <v>578</v>
      </c>
      <c r="C1368" s="232">
        <v>43378</v>
      </c>
      <c r="D1368" s="233" t="s">
        <v>477</v>
      </c>
      <c r="E1368" s="216" t="s">
        <v>1002</v>
      </c>
      <c r="F1368" s="216" t="s">
        <v>1003</v>
      </c>
      <c r="G1368" s="216" t="s">
        <v>1004</v>
      </c>
      <c r="H1368" s="216" t="s">
        <v>549</v>
      </c>
      <c r="I1368" s="234" t="s">
        <v>1005</v>
      </c>
      <c r="J1368" s="234"/>
      <c r="K1368" s="234"/>
      <c r="L1368" s="216" t="s">
        <v>219</v>
      </c>
      <c r="M1368" s="178">
        <v>1</v>
      </c>
      <c r="N1368" s="235">
        <v>30</v>
      </c>
      <c r="O1368" s="234">
        <v>30</v>
      </c>
      <c r="P1368" s="234"/>
      <c r="Q1368" s="180" t="str">
        <f>IF(PEDIDOS[[#This Row],[Valor do item pago]]=PEDIDOS[[#This Row],[Total Item ]],"PAGO", "")</f>
        <v/>
      </c>
    </row>
    <row r="1369" spans="1:17" s="216" customFormat="1" ht="39.950000000000003" customHeight="1" x14ac:dyDescent="0.25">
      <c r="A1369" s="231"/>
      <c r="B1369" s="216">
        <v>577</v>
      </c>
      <c r="C1369" s="232">
        <v>43378</v>
      </c>
      <c r="D1369" s="233" t="s">
        <v>477</v>
      </c>
      <c r="E1369" s="216" t="s">
        <v>968</v>
      </c>
      <c r="F1369" s="216" t="s">
        <v>969</v>
      </c>
      <c r="G1369" s="216" t="s">
        <v>970</v>
      </c>
      <c r="H1369" s="216" t="s">
        <v>52</v>
      </c>
      <c r="I1369" s="234" t="s">
        <v>971</v>
      </c>
      <c r="J1369" s="234" t="s">
        <v>1036</v>
      </c>
      <c r="K1369" s="234"/>
      <c r="L1369" s="216" t="s">
        <v>219</v>
      </c>
      <c r="M1369" s="178">
        <v>1</v>
      </c>
      <c r="N1369" s="235">
        <v>30</v>
      </c>
      <c r="O1369" s="234">
        <v>30</v>
      </c>
      <c r="P1369" s="234">
        <v>30</v>
      </c>
      <c r="Q1369" s="180" t="str">
        <f>IF(PEDIDOS[[#This Row],[Valor do item pago]]=PEDIDOS[[#This Row],[Total Item ]],"PAGO", "")</f>
        <v>PAGO</v>
      </c>
    </row>
    <row r="1370" spans="1:17" s="216" customFormat="1" ht="39.950000000000003" customHeight="1" x14ac:dyDescent="0.25">
      <c r="A1370" s="231"/>
      <c r="B1370" s="216">
        <v>576</v>
      </c>
      <c r="C1370" s="232">
        <v>43378</v>
      </c>
      <c r="D1370" s="233" t="s">
        <v>477</v>
      </c>
      <c r="E1370" s="216" t="s">
        <v>902</v>
      </c>
      <c r="F1370" s="216" t="s">
        <v>903</v>
      </c>
      <c r="G1370" s="216" t="s">
        <v>904</v>
      </c>
      <c r="H1370" s="216" t="s">
        <v>520</v>
      </c>
      <c r="I1370" s="234" t="s">
        <v>905</v>
      </c>
      <c r="J1370" s="234"/>
      <c r="K1370" s="234"/>
      <c r="L1370" s="216" t="s">
        <v>219</v>
      </c>
      <c r="M1370" s="178">
        <v>1</v>
      </c>
      <c r="N1370" s="235">
        <v>30</v>
      </c>
      <c r="O1370" s="234">
        <v>30</v>
      </c>
      <c r="P1370" s="234"/>
      <c r="Q1370" s="180" t="str">
        <f>IF(PEDIDOS[[#This Row],[Valor do item pago]]=PEDIDOS[[#This Row],[Total Item ]],"PAGO", "")</f>
        <v/>
      </c>
    </row>
    <row r="1371" spans="1:17" s="216" customFormat="1" ht="39.950000000000003" customHeight="1" x14ac:dyDescent="0.25">
      <c r="A1371" s="231"/>
      <c r="B1371" s="216">
        <v>575</v>
      </c>
      <c r="C1371" s="232">
        <v>43378</v>
      </c>
      <c r="D1371" s="233" t="s">
        <v>477</v>
      </c>
      <c r="E1371" s="216" t="s">
        <v>894</v>
      </c>
      <c r="F1371" s="216" t="s">
        <v>895</v>
      </c>
      <c r="G1371" s="216" t="s">
        <v>896</v>
      </c>
      <c r="H1371" s="216" t="s">
        <v>581</v>
      </c>
      <c r="I1371" s="234" t="s">
        <v>897</v>
      </c>
      <c r="J1371" s="234"/>
      <c r="K1371" s="234"/>
      <c r="L1371" s="216" t="s">
        <v>3</v>
      </c>
      <c r="M1371" s="178">
        <v>1</v>
      </c>
      <c r="N1371" s="235">
        <v>30</v>
      </c>
      <c r="O1371" s="234">
        <v>30</v>
      </c>
      <c r="P1371" s="234"/>
      <c r="Q1371" s="180" t="str">
        <f>IF(PEDIDOS[[#This Row],[Valor do item pago]]=PEDIDOS[[#This Row],[Total Item ]],"PAGO", "")</f>
        <v/>
      </c>
    </row>
    <row r="1372" spans="1:17" s="216" customFormat="1" ht="39.950000000000003" customHeight="1" x14ac:dyDescent="0.25">
      <c r="A1372" s="231"/>
      <c r="B1372" s="216">
        <v>574</v>
      </c>
      <c r="C1372" s="232">
        <v>43378</v>
      </c>
      <c r="D1372" s="233" t="s">
        <v>477</v>
      </c>
      <c r="E1372" s="216" t="s">
        <v>849</v>
      </c>
      <c r="F1372" s="216" t="s">
        <v>850</v>
      </c>
      <c r="G1372" s="216" t="s">
        <v>851</v>
      </c>
      <c r="H1372" s="216" t="s">
        <v>84</v>
      </c>
      <c r="I1372" s="234" t="s">
        <v>436</v>
      </c>
      <c r="J1372" s="234"/>
      <c r="K1372" s="234"/>
      <c r="L1372" s="216" t="s">
        <v>219</v>
      </c>
      <c r="M1372" s="178">
        <v>2</v>
      </c>
      <c r="N1372" s="235">
        <v>30</v>
      </c>
      <c r="O1372" s="234">
        <v>60</v>
      </c>
      <c r="P1372" s="234"/>
      <c r="Q1372" s="180" t="str">
        <f>IF(PEDIDOS[[#This Row],[Valor do item pago]]=PEDIDOS[[#This Row],[Total Item ]],"PAGO", "")</f>
        <v/>
      </c>
    </row>
    <row r="1373" spans="1:17" s="216" customFormat="1" ht="39.950000000000003" customHeight="1" x14ac:dyDescent="0.25">
      <c r="A1373" s="231"/>
      <c r="B1373" s="216">
        <v>573</v>
      </c>
      <c r="C1373" s="232">
        <v>43378</v>
      </c>
      <c r="D1373" s="233" t="s">
        <v>477</v>
      </c>
      <c r="E1373" s="216" t="s">
        <v>534</v>
      </c>
      <c r="F1373" s="216">
        <v>0</v>
      </c>
      <c r="G1373" s="216">
        <v>0</v>
      </c>
      <c r="H1373" s="216">
        <v>0</v>
      </c>
      <c r="I1373" s="234"/>
      <c r="J1373" s="234"/>
      <c r="K1373" s="234" t="s">
        <v>477</v>
      </c>
      <c r="L1373" s="216" t="s">
        <v>1</v>
      </c>
      <c r="M1373" s="178">
        <v>1</v>
      </c>
      <c r="N1373" s="235">
        <v>30</v>
      </c>
      <c r="O1373" s="234">
        <v>30</v>
      </c>
      <c r="P1373" s="234"/>
      <c r="Q1373" s="180" t="str">
        <f>IF(PEDIDOS[[#This Row],[Valor do item pago]]=PEDIDOS[[#This Row],[Total Item ]],"PAGO", "")</f>
        <v/>
      </c>
    </row>
    <row r="1374" spans="1:17" s="216" customFormat="1" ht="39.950000000000003" customHeight="1" x14ac:dyDescent="0.25">
      <c r="A1374" s="231"/>
      <c r="B1374" s="216">
        <v>572</v>
      </c>
      <c r="C1374" s="232">
        <v>43378</v>
      </c>
      <c r="D1374" s="233" t="s">
        <v>477</v>
      </c>
      <c r="E1374" s="216" t="s">
        <v>379</v>
      </c>
      <c r="F1374" s="216" t="s">
        <v>318</v>
      </c>
      <c r="G1374" s="216" t="s">
        <v>258</v>
      </c>
      <c r="H1374" s="216" t="s">
        <v>404</v>
      </c>
      <c r="I1374" s="234" t="s">
        <v>257</v>
      </c>
      <c r="J1374" s="234" t="s">
        <v>887</v>
      </c>
      <c r="K1374" s="234"/>
      <c r="L1374" s="216" t="s">
        <v>1</v>
      </c>
      <c r="M1374" s="178">
        <v>1</v>
      </c>
      <c r="N1374" s="235">
        <v>30</v>
      </c>
      <c r="O1374" s="234">
        <v>30</v>
      </c>
      <c r="P1374" s="234"/>
      <c r="Q1374" s="180" t="str">
        <f>IF(PEDIDOS[[#This Row],[Valor do item pago]]=PEDIDOS[[#This Row],[Total Item ]],"PAGO", "")</f>
        <v/>
      </c>
    </row>
    <row r="1375" spans="1:17" s="216" customFormat="1" ht="39.950000000000003" customHeight="1" x14ac:dyDescent="0.25">
      <c r="A1375" s="231"/>
      <c r="B1375" s="216">
        <v>571</v>
      </c>
      <c r="C1375" s="232">
        <v>43378</v>
      </c>
      <c r="D1375" s="233" t="s">
        <v>477</v>
      </c>
      <c r="E1375" s="216" t="s">
        <v>547</v>
      </c>
      <c r="F1375" s="216" t="s">
        <v>521</v>
      </c>
      <c r="G1375" s="216" t="s">
        <v>522</v>
      </c>
      <c r="H1375" s="216" t="s">
        <v>523</v>
      </c>
      <c r="I1375" s="234" t="s">
        <v>663</v>
      </c>
      <c r="J1375" s="234"/>
      <c r="K1375" s="234"/>
      <c r="L1375" s="216" t="s">
        <v>235</v>
      </c>
      <c r="M1375" s="178">
        <v>1</v>
      </c>
      <c r="N1375" s="235">
        <v>30</v>
      </c>
      <c r="O1375" s="234">
        <v>30</v>
      </c>
      <c r="P1375" s="234"/>
      <c r="Q1375" s="180" t="str">
        <f>IF(PEDIDOS[[#This Row],[Valor do item pago]]=PEDIDOS[[#This Row],[Total Item ]],"PAGO", "")</f>
        <v/>
      </c>
    </row>
    <row r="1376" spans="1:17" s="216" customFormat="1" ht="39.950000000000003" customHeight="1" x14ac:dyDescent="0.25">
      <c r="A1376" s="231"/>
      <c r="B1376" s="216">
        <v>570</v>
      </c>
      <c r="C1376" s="232">
        <v>43378</v>
      </c>
      <c r="D1376" s="233" t="s">
        <v>477</v>
      </c>
      <c r="E1376" s="216" t="s">
        <v>378</v>
      </c>
      <c r="F1376" s="216" t="s">
        <v>316</v>
      </c>
      <c r="G1376" s="216" t="s">
        <v>175</v>
      </c>
      <c r="H1376" s="216" t="s">
        <v>397</v>
      </c>
      <c r="I1376" s="234" t="s">
        <v>452</v>
      </c>
      <c r="J1376" s="234"/>
      <c r="K1376" s="234"/>
      <c r="L1376" s="216" t="s">
        <v>1</v>
      </c>
      <c r="M1376" s="178">
        <v>1</v>
      </c>
      <c r="N1376" s="235">
        <v>30</v>
      </c>
      <c r="O1376" s="234">
        <v>30</v>
      </c>
      <c r="P1376" s="234"/>
      <c r="Q1376" s="180" t="str">
        <f>IF(PEDIDOS[[#This Row],[Valor do item pago]]=PEDIDOS[[#This Row],[Total Item ]],"PAGO", "")</f>
        <v/>
      </c>
    </row>
    <row r="1377" spans="1:17" s="216" customFormat="1" ht="39.950000000000003" customHeight="1" x14ac:dyDescent="0.25">
      <c r="A1377" s="231"/>
      <c r="B1377" s="216">
        <v>569</v>
      </c>
      <c r="C1377" s="232">
        <v>43378</v>
      </c>
      <c r="D1377" s="233" t="s">
        <v>477</v>
      </c>
      <c r="E1377" s="216" t="s">
        <v>373</v>
      </c>
      <c r="F1377" s="216" t="s">
        <v>311</v>
      </c>
      <c r="G1377" s="216" t="s">
        <v>142</v>
      </c>
      <c r="H1377" s="216" t="s">
        <v>84</v>
      </c>
      <c r="I1377" s="234" t="s">
        <v>448</v>
      </c>
      <c r="J1377" s="234"/>
      <c r="K1377" s="234"/>
      <c r="L1377" s="216" t="s">
        <v>1</v>
      </c>
      <c r="M1377" s="178">
        <v>1</v>
      </c>
      <c r="N1377" s="235">
        <v>30</v>
      </c>
      <c r="O1377" s="234">
        <v>30</v>
      </c>
      <c r="P1377" s="234"/>
      <c r="Q1377" s="180" t="str">
        <f>IF(PEDIDOS[[#This Row],[Valor do item pago]]=PEDIDOS[[#This Row],[Total Item ]],"PAGO", "")</f>
        <v/>
      </c>
    </row>
    <row r="1378" spans="1:17" s="216" customFormat="1" ht="39.950000000000003" customHeight="1" x14ac:dyDescent="0.25">
      <c r="A1378" s="231"/>
      <c r="B1378" s="216">
        <v>568</v>
      </c>
      <c r="C1378" s="232">
        <v>43378</v>
      </c>
      <c r="D1378" s="233" t="s">
        <v>477</v>
      </c>
      <c r="E1378" s="216" t="s">
        <v>371</v>
      </c>
      <c r="F1378" s="216" t="s">
        <v>309</v>
      </c>
      <c r="G1378" s="216" t="s">
        <v>159</v>
      </c>
      <c r="H1378" s="216" t="s">
        <v>401</v>
      </c>
      <c r="I1378" s="234" t="s">
        <v>445</v>
      </c>
      <c r="J1378" s="234"/>
      <c r="K1378" s="234"/>
      <c r="L1378" s="216" t="s">
        <v>3</v>
      </c>
      <c r="M1378" s="178">
        <v>1</v>
      </c>
      <c r="N1378" s="235">
        <v>30</v>
      </c>
      <c r="O1378" s="234">
        <v>30</v>
      </c>
      <c r="P1378" s="234"/>
      <c r="Q1378" s="180" t="str">
        <f>IF(PEDIDOS[[#This Row],[Valor do item pago]]=PEDIDOS[[#This Row],[Total Item ]],"PAGO", "")</f>
        <v/>
      </c>
    </row>
    <row r="1379" spans="1:17" s="216" customFormat="1" ht="39.950000000000003" customHeight="1" x14ac:dyDescent="0.25">
      <c r="A1379" s="231"/>
      <c r="B1379" s="216">
        <v>567</v>
      </c>
      <c r="C1379" s="232">
        <v>43378</v>
      </c>
      <c r="D1379" s="233" t="s">
        <v>477</v>
      </c>
      <c r="E1379" s="216" t="s">
        <v>369</v>
      </c>
      <c r="F1379" s="216" t="s">
        <v>308</v>
      </c>
      <c r="G1379" s="216" t="s">
        <v>148</v>
      </c>
      <c r="H1379" s="216" t="s">
        <v>400</v>
      </c>
      <c r="I1379" s="234" t="s">
        <v>444</v>
      </c>
      <c r="J1379" s="234"/>
      <c r="K1379" s="234"/>
      <c r="L1379" s="216" t="s">
        <v>219</v>
      </c>
      <c r="M1379" s="178">
        <v>1</v>
      </c>
      <c r="N1379" s="235">
        <v>30</v>
      </c>
      <c r="O1379" s="234">
        <v>30</v>
      </c>
      <c r="P1379" s="234"/>
      <c r="Q1379" s="180" t="str">
        <f>IF(PEDIDOS[[#This Row],[Valor do item pago]]=PEDIDOS[[#This Row],[Total Item ]],"PAGO", "")</f>
        <v/>
      </c>
    </row>
    <row r="1380" spans="1:17" s="216" customFormat="1" ht="39.950000000000003" customHeight="1" x14ac:dyDescent="0.25">
      <c r="A1380" s="231"/>
      <c r="B1380" s="216">
        <v>566</v>
      </c>
      <c r="C1380" s="232">
        <v>43378</v>
      </c>
      <c r="D1380" s="233" t="s">
        <v>477</v>
      </c>
      <c r="E1380" s="216" t="s">
        <v>513</v>
      </c>
      <c r="F1380" s="216" t="s">
        <v>514</v>
      </c>
      <c r="G1380" s="216" t="s">
        <v>515</v>
      </c>
      <c r="H1380" s="216" t="s">
        <v>183</v>
      </c>
      <c r="I1380" s="234" t="s">
        <v>661</v>
      </c>
      <c r="J1380" s="234"/>
      <c r="K1380" s="234"/>
      <c r="L1380" s="216" t="s">
        <v>219</v>
      </c>
      <c r="M1380" s="178">
        <v>1</v>
      </c>
      <c r="N1380" s="235">
        <v>30</v>
      </c>
      <c r="O1380" s="234">
        <v>30</v>
      </c>
      <c r="P1380" s="234"/>
      <c r="Q1380" s="180" t="str">
        <f>IF(PEDIDOS[[#This Row],[Valor do item pago]]=PEDIDOS[[#This Row],[Total Item ]],"PAGO", "")</f>
        <v/>
      </c>
    </row>
    <row r="1381" spans="1:17" s="216" customFormat="1" ht="39.950000000000003" customHeight="1" x14ac:dyDescent="0.25">
      <c r="A1381" s="231"/>
      <c r="B1381" s="216">
        <v>566</v>
      </c>
      <c r="C1381" s="232">
        <v>43378</v>
      </c>
      <c r="D1381" s="233" t="s">
        <v>477</v>
      </c>
      <c r="E1381" s="216" t="s">
        <v>513</v>
      </c>
      <c r="F1381" s="216" t="s">
        <v>514</v>
      </c>
      <c r="G1381" s="216" t="s">
        <v>515</v>
      </c>
      <c r="H1381" s="216" t="s">
        <v>183</v>
      </c>
      <c r="I1381" s="234" t="s">
        <v>661</v>
      </c>
      <c r="J1381" s="234"/>
      <c r="K1381" s="234"/>
      <c r="L1381" s="216" t="s">
        <v>1</v>
      </c>
      <c r="M1381" s="178">
        <v>1</v>
      </c>
      <c r="N1381" s="235">
        <v>30</v>
      </c>
      <c r="O1381" s="234">
        <v>30</v>
      </c>
      <c r="P1381" s="234"/>
      <c r="Q1381" s="180" t="str">
        <f>IF(PEDIDOS[[#This Row],[Valor do item pago]]=PEDIDOS[[#This Row],[Total Item ]],"PAGO", "")</f>
        <v/>
      </c>
    </row>
    <row r="1382" spans="1:17" s="216" customFormat="1" ht="39.950000000000003" customHeight="1" x14ac:dyDescent="0.25">
      <c r="A1382" s="231"/>
      <c r="B1382" s="216">
        <v>565</v>
      </c>
      <c r="C1382" s="232">
        <v>43378</v>
      </c>
      <c r="D1382" s="233" t="s">
        <v>477</v>
      </c>
      <c r="E1382" s="216" t="s">
        <v>835</v>
      </c>
      <c r="F1382" s="216" t="s">
        <v>832</v>
      </c>
      <c r="G1382" s="216" t="s">
        <v>833</v>
      </c>
      <c r="H1382" s="216" t="s">
        <v>651</v>
      </c>
      <c r="I1382" s="234" t="s">
        <v>834</v>
      </c>
      <c r="J1382" s="234"/>
      <c r="K1382" s="234"/>
      <c r="L1382" s="216" t="s">
        <v>219</v>
      </c>
      <c r="M1382" s="178">
        <v>1</v>
      </c>
      <c r="N1382" s="235">
        <v>30</v>
      </c>
      <c r="O1382" s="234">
        <v>30</v>
      </c>
      <c r="P1382" s="234"/>
      <c r="Q1382" s="180" t="str">
        <f>IF(PEDIDOS[[#This Row],[Valor do item pago]]=PEDIDOS[[#This Row],[Total Item ]],"PAGO", "")</f>
        <v/>
      </c>
    </row>
    <row r="1383" spans="1:17" s="216" customFormat="1" ht="39.950000000000003" customHeight="1" x14ac:dyDescent="0.25">
      <c r="A1383" s="231"/>
      <c r="B1383" s="216">
        <v>564</v>
      </c>
      <c r="C1383" s="232">
        <v>43378</v>
      </c>
      <c r="D1383" s="233" t="s">
        <v>477</v>
      </c>
      <c r="E1383" s="216" t="s">
        <v>367</v>
      </c>
      <c r="F1383" s="216" t="s">
        <v>323</v>
      </c>
      <c r="G1383" s="216" t="s">
        <v>151</v>
      </c>
      <c r="H1383" s="216" t="s">
        <v>392</v>
      </c>
      <c r="I1383" s="234" t="s">
        <v>656</v>
      </c>
      <c r="J1383" s="234"/>
      <c r="K1383" s="234"/>
      <c r="L1383" s="216" t="s">
        <v>0</v>
      </c>
      <c r="M1383" s="178">
        <v>1</v>
      </c>
      <c r="N1383" s="235">
        <v>30</v>
      </c>
      <c r="O1383" s="234">
        <v>30</v>
      </c>
      <c r="P1383" s="234"/>
      <c r="Q1383" s="180" t="str">
        <f>IF(PEDIDOS[[#This Row],[Valor do item pago]]=PEDIDOS[[#This Row],[Total Item ]],"PAGO", "")</f>
        <v/>
      </c>
    </row>
    <row r="1384" spans="1:17" s="216" customFormat="1" ht="39.950000000000003" customHeight="1" x14ac:dyDescent="0.25">
      <c r="A1384" s="231"/>
      <c r="B1384" s="216">
        <v>563</v>
      </c>
      <c r="C1384" s="232">
        <v>43378</v>
      </c>
      <c r="D1384" s="233" t="s">
        <v>477</v>
      </c>
      <c r="E1384" s="216" t="s">
        <v>383</v>
      </c>
      <c r="F1384" s="216" t="s">
        <v>304</v>
      </c>
      <c r="G1384" s="216" t="s">
        <v>191</v>
      </c>
      <c r="H1384" s="216" t="s">
        <v>387</v>
      </c>
      <c r="I1384" s="234" t="s">
        <v>440</v>
      </c>
      <c r="J1384" s="234"/>
      <c r="K1384" s="234"/>
      <c r="L1384" s="216" t="s">
        <v>219</v>
      </c>
      <c r="M1384" s="178">
        <v>1</v>
      </c>
      <c r="N1384" s="235">
        <v>30</v>
      </c>
      <c r="O1384" s="234">
        <v>30</v>
      </c>
      <c r="P1384" s="234"/>
      <c r="Q1384" s="180" t="str">
        <f>IF(PEDIDOS[[#This Row],[Valor do item pago]]=PEDIDOS[[#This Row],[Total Item ]],"PAGO", "")</f>
        <v/>
      </c>
    </row>
    <row r="1385" spans="1:17" s="216" customFormat="1" ht="39.950000000000003" customHeight="1" x14ac:dyDescent="0.25">
      <c r="A1385" s="231"/>
      <c r="B1385" s="216">
        <v>562</v>
      </c>
      <c r="C1385" s="232">
        <v>43378</v>
      </c>
      <c r="D1385" s="233" t="s">
        <v>477</v>
      </c>
      <c r="E1385" s="216" t="s">
        <v>364</v>
      </c>
      <c r="F1385" s="216" t="s">
        <v>882</v>
      </c>
      <c r="G1385" s="216" t="s">
        <v>883</v>
      </c>
      <c r="H1385" s="216" t="s">
        <v>441</v>
      </c>
      <c r="I1385" s="234" t="s">
        <v>884</v>
      </c>
      <c r="J1385" s="234"/>
      <c r="K1385" s="234" t="s">
        <v>477</v>
      </c>
      <c r="L1385" s="216" t="s">
        <v>219</v>
      </c>
      <c r="M1385" s="178">
        <v>1</v>
      </c>
      <c r="N1385" s="235">
        <v>30</v>
      </c>
      <c r="O1385" s="234">
        <v>30</v>
      </c>
      <c r="P1385" s="234"/>
      <c r="Q1385" s="180" t="str">
        <f>IF(PEDIDOS[[#This Row],[Valor do item pago]]=PEDIDOS[[#This Row],[Total Item ]],"PAGO", "")</f>
        <v/>
      </c>
    </row>
    <row r="1386" spans="1:17" s="216" customFormat="1" ht="39.950000000000003" customHeight="1" x14ac:dyDescent="0.25">
      <c r="A1386" s="231"/>
      <c r="B1386" s="216">
        <v>561</v>
      </c>
      <c r="C1386" s="232">
        <v>43378</v>
      </c>
      <c r="D1386" s="233" t="s">
        <v>477</v>
      </c>
      <c r="E1386" s="216" t="s">
        <v>363</v>
      </c>
      <c r="F1386" s="216">
        <v>0</v>
      </c>
      <c r="G1386" s="216">
        <v>0</v>
      </c>
      <c r="H1386" s="216">
        <v>0</v>
      </c>
      <c r="I1386" s="234"/>
      <c r="J1386" s="234"/>
      <c r="K1386" s="234" t="s">
        <v>40</v>
      </c>
      <c r="L1386" s="216" t="s">
        <v>1</v>
      </c>
      <c r="M1386" s="178">
        <v>1</v>
      </c>
      <c r="N1386" s="235">
        <v>30</v>
      </c>
      <c r="O1386" s="234">
        <v>30</v>
      </c>
      <c r="P1386" s="234">
        <v>30</v>
      </c>
      <c r="Q1386" s="180" t="str">
        <f>IF(PEDIDOS[[#This Row],[Valor do item pago]]=PEDIDOS[[#This Row],[Total Item ]],"PAGO", "")</f>
        <v>PAGO</v>
      </c>
    </row>
    <row r="1387" spans="1:17" s="216" customFormat="1" ht="39.950000000000003" customHeight="1" x14ac:dyDescent="0.25">
      <c r="A1387" s="231"/>
      <c r="B1387" s="216">
        <v>560</v>
      </c>
      <c r="C1387" s="232">
        <v>43378</v>
      </c>
      <c r="D1387" s="233" t="s">
        <v>477</v>
      </c>
      <c r="E1387" s="216" t="s">
        <v>11</v>
      </c>
      <c r="F1387" s="216" t="s">
        <v>882</v>
      </c>
      <c r="G1387" s="216" t="s">
        <v>883</v>
      </c>
      <c r="H1387" s="216" t="s">
        <v>441</v>
      </c>
      <c r="I1387" s="234" t="s">
        <v>884</v>
      </c>
      <c r="J1387" s="234"/>
      <c r="K1387" s="234" t="s">
        <v>477</v>
      </c>
      <c r="L1387" s="216" t="s">
        <v>1</v>
      </c>
      <c r="M1387" s="178">
        <v>4</v>
      </c>
      <c r="N1387" s="235">
        <v>30</v>
      </c>
      <c r="O1387" s="234">
        <v>120</v>
      </c>
      <c r="P1387" s="234"/>
      <c r="Q1387" s="180" t="str">
        <f>IF(PEDIDOS[[#This Row],[Valor do item pago]]=PEDIDOS[[#This Row],[Total Item ]],"PAGO", "")</f>
        <v/>
      </c>
    </row>
    <row r="1388" spans="1:17" s="216" customFormat="1" ht="39.950000000000003" customHeight="1" x14ac:dyDescent="0.25">
      <c r="A1388" s="231"/>
      <c r="B1388" s="216">
        <v>559</v>
      </c>
      <c r="C1388" s="232">
        <v>43378</v>
      </c>
      <c r="D1388" s="233" t="s">
        <v>477</v>
      </c>
      <c r="E1388" s="216" t="s">
        <v>360</v>
      </c>
      <c r="F1388" s="216" t="s">
        <v>298</v>
      </c>
      <c r="G1388" s="216" t="s">
        <v>178</v>
      </c>
      <c r="H1388" s="216" t="s">
        <v>397</v>
      </c>
      <c r="I1388" s="234" t="s">
        <v>429</v>
      </c>
      <c r="J1388" s="234"/>
      <c r="K1388" s="234"/>
      <c r="L1388" s="216" t="s">
        <v>219</v>
      </c>
      <c r="M1388" s="178">
        <v>1</v>
      </c>
      <c r="N1388" s="235">
        <v>30</v>
      </c>
      <c r="O1388" s="234">
        <v>30</v>
      </c>
      <c r="P1388" s="234"/>
      <c r="Q1388" s="180" t="str">
        <f>IF(PEDIDOS[[#This Row],[Valor do item pago]]=PEDIDOS[[#This Row],[Total Item ]],"PAGO", "")</f>
        <v/>
      </c>
    </row>
    <row r="1389" spans="1:17" s="216" customFormat="1" ht="39.950000000000003" customHeight="1" x14ac:dyDescent="0.25">
      <c r="A1389" s="231"/>
      <c r="B1389" s="216">
        <v>558</v>
      </c>
      <c r="C1389" s="232">
        <v>43378</v>
      </c>
      <c r="D1389" s="233" t="s">
        <v>477</v>
      </c>
      <c r="E1389" s="216" t="s">
        <v>506</v>
      </c>
      <c r="F1389" s="216" t="s">
        <v>503</v>
      </c>
      <c r="G1389" s="216" t="s">
        <v>504</v>
      </c>
      <c r="H1389" s="216" t="s">
        <v>505</v>
      </c>
      <c r="I1389" s="234" t="s">
        <v>660</v>
      </c>
      <c r="J1389" s="234"/>
      <c r="K1389" s="234"/>
      <c r="L1389" s="216" t="s">
        <v>1</v>
      </c>
      <c r="M1389" s="178">
        <v>2</v>
      </c>
      <c r="N1389" s="235">
        <v>30</v>
      </c>
      <c r="O1389" s="234">
        <v>60</v>
      </c>
      <c r="P1389" s="234"/>
      <c r="Q1389" s="180" t="str">
        <f>IF(PEDIDOS[[#This Row],[Valor do item pago]]=PEDIDOS[[#This Row],[Total Item ]],"PAGO", "")</f>
        <v/>
      </c>
    </row>
    <row r="1390" spans="1:17" s="216" customFormat="1" ht="39.950000000000003" customHeight="1" x14ac:dyDescent="0.25">
      <c r="A1390" s="231"/>
      <c r="B1390" s="216">
        <v>557</v>
      </c>
      <c r="C1390" s="232">
        <v>43378</v>
      </c>
      <c r="D1390" s="233" t="s">
        <v>477</v>
      </c>
      <c r="E1390" s="216" t="s">
        <v>870</v>
      </c>
      <c r="F1390" s="216" t="s">
        <v>871</v>
      </c>
      <c r="G1390" s="216" t="s">
        <v>872</v>
      </c>
      <c r="H1390" s="216" t="s">
        <v>112</v>
      </c>
      <c r="I1390" s="234" t="s">
        <v>873</v>
      </c>
      <c r="J1390" s="234"/>
      <c r="K1390" s="234"/>
      <c r="L1390" s="216" t="s">
        <v>219</v>
      </c>
      <c r="M1390" s="178">
        <v>1</v>
      </c>
      <c r="N1390" s="235">
        <v>30</v>
      </c>
      <c r="O1390" s="234">
        <v>30</v>
      </c>
      <c r="P1390" s="234"/>
      <c r="Q1390" s="180" t="str">
        <f>IF(PEDIDOS[[#This Row],[Valor do item pago]]=PEDIDOS[[#This Row],[Total Item ]],"PAGO", "")</f>
        <v/>
      </c>
    </row>
    <row r="1391" spans="1:17" s="216" customFormat="1" ht="39.950000000000003" customHeight="1" x14ac:dyDescent="0.25">
      <c r="A1391" s="231"/>
      <c r="B1391" s="216">
        <v>556</v>
      </c>
      <c r="C1391" s="232">
        <v>43378</v>
      </c>
      <c r="D1391" s="233" t="s">
        <v>477</v>
      </c>
      <c r="E1391" s="216" t="s">
        <v>357</v>
      </c>
      <c r="F1391" s="216" t="s">
        <v>295</v>
      </c>
      <c r="G1391" s="216" t="s">
        <v>535</v>
      </c>
      <c r="H1391" s="216" t="s">
        <v>536</v>
      </c>
      <c r="I1391" s="234" t="s">
        <v>652</v>
      </c>
      <c r="J1391" s="234"/>
      <c r="K1391" s="234"/>
      <c r="L1391" s="216" t="s">
        <v>1</v>
      </c>
      <c r="M1391" s="178">
        <v>1</v>
      </c>
      <c r="N1391" s="235">
        <v>30</v>
      </c>
      <c r="O1391" s="234">
        <v>30</v>
      </c>
      <c r="P1391" s="234"/>
      <c r="Q1391" s="180" t="str">
        <f>IF(PEDIDOS[[#This Row],[Valor do item pago]]=PEDIDOS[[#This Row],[Total Item ]],"PAGO", "")</f>
        <v/>
      </c>
    </row>
    <row r="1392" spans="1:17" s="216" customFormat="1" ht="39.950000000000003" customHeight="1" x14ac:dyDescent="0.25">
      <c r="A1392" s="231"/>
      <c r="B1392" s="216">
        <v>555</v>
      </c>
      <c r="C1392" s="232">
        <v>43378</v>
      </c>
      <c r="D1392" s="233" t="s">
        <v>477</v>
      </c>
      <c r="E1392" s="216" t="s">
        <v>355</v>
      </c>
      <c r="F1392" s="216" t="s">
        <v>294</v>
      </c>
      <c r="G1392" s="216" t="s">
        <v>145</v>
      </c>
      <c r="H1392" s="216" t="s">
        <v>390</v>
      </c>
      <c r="I1392" s="234" t="s">
        <v>251</v>
      </c>
      <c r="J1392" s="234"/>
      <c r="K1392" s="234"/>
      <c r="L1392" s="216" t="s">
        <v>3</v>
      </c>
      <c r="M1392" s="178">
        <v>2</v>
      </c>
      <c r="N1392" s="235">
        <v>30</v>
      </c>
      <c r="O1392" s="234">
        <v>60</v>
      </c>
      <c r="P1392" s="234"/>
      <c r="Q1392" s="180" t="str">
        <f>IF(PEDIDOS[[#This Row],[Valor do item pago]]=PEDIDOS[[#This Row],[Total Item ]],"PAGO", "")</f>
        <v/>
      </c>
    </row>
    <row r="1393" spans="1:17" s="216" customFormat="1" ht="39.950000000000003" customHeight="1" x14ac:dyDescent="0.25">
      <c r="A1393" s="231"/>
      <c r="B1393" s="216">
        <v>554</v>
      </c>
      <c r="C1393" s="232">
        <v>43378</v>
      </c>
      <c r="D1393" s="233" t="s">
        <v>477</v>
      </c>
      <c r="E1393" s="216" t="s">
        <v>877</v>
      </c>
      <c r="F1393" s="216" t="s">
        <v>876</v>
      </c>
      <c r="G1393" s="216" t="s">
        <v>878</v>
      </c>
      <c r="H1393" s="216" t="s">
        <v>441</v>
      </c>
      <c r="I1393" s="234" t="s">
        <v>879</v>
      </c>
      <c r="J1393" s="234"/>
      <c r="K1393" s="234" t="s">
        <v>477</v>
      </c>
      <c r="L1393" s="216" t="s">
        <v>1</v>
      </c>
      <c r="M1393" s="178">
        <v>1</v>
      </c>
      <c r="N1393" s="235">
        <v>30</v>
      </c>
      <c r="O1393" s="234">
        <v>30</v>
      </c>
      <c r="P1393" s="234"/>
      <c r="Q1393" s="180" t="str">
        <f>IF(PEDIDOS[[#This Row],[Valor do item pago]]=PEDIDOS[[#This Row],[Total Item ]],"PAGO", "")</f>
        <v/>
      </c>
    </row>
    <row r="1394" spans="1:17" s="216" customFormat="1" ht="39.950000000000003" customHeight="1" x14ac:dyDescent="0.25">
      <c r="A1394" s="231"/>
      <c r="B1394" s="216">
        <v>553</v>
      </c>
      <c r="C1394" s="232">
        <v>43378</v>
      </c>
      <c r="D1394" s="233" t="s">
        <v>477</v>
      </c>
      <c r="E1394" s="216" t="s">
        <v>25</v>
      </c>
      <c r="F1394" s="216" t="s">
        <v>291</v>
      </c>
      <c r="G1394" s="216" t="s">
        <v>330</v>
      </c>
      <c r="H1394" s="216" t="s">
        <v>406</v>
      </c>
      <c r="I1394" s="234" t="s">
        <v>329</v>
      </c>
      <c r="J1394" s="234"/>
      <c r="K1394" s="234"/>
      <c r="L1394" s="216" t="s">
        <v>219</v>
      </c>
      <c r="M1394" s="178">
        <v>5</v>
      </c>
      <c r="N1394" s="235">
        <v>30</v>
      </c>
      <c r="O1394" s="234">
        <v>150</v>
      </c>
      <c r="P1394" s="234">
        <v>150</v>
      </c>
      <c r="Q1394" s="180" t="str">
        <f>IF(PEDIDOS[[#This Row],[Valor do item pago]]=PEDIDOS[[#This Row],[Total Item ]],"PAGO", "")</f>
        <v>PAGO</v>
      </c>
    </row>
    <row r="1395" spans="1:17" s="216" customFormat="1" ht="39.950000000000003" customHeight="1" x14ac:dyDescent="0.25">
      <c r="A1395" s="231"/>
      <c r="B1395" s="216">
        <v>552</v>
      </c>
      <c r="C1395" s="232">
        <v>43378</v>
      </c>
      <c r="D1395" s="233" t="s">
        <v>477</v>
      </c>
      <c r="E1395" s="216" t="s">
        <v>343</v>
      </c>
      <c r="F1395" s="216" t="s">
        <v>826</v>
      </c>
      <c r="G1395" s="216" t="s">
        <v>875</v>
      </c>
      <c r="H1395" s="216" t="s">
        <v>441</v>
      </c>
      <c r="I1395" s="234" t="s">
        <v>874</v>
      </c>
      <c r="J1395" s="234"/>
      <c r="K1395" s="234" t="s">
        <v>477</v>
      </c>
      <c r="L1395" s="216" t="s">
        <v>219</v>
      </c>
      <c r="M1395" s="178">
        <v>1</v>
      </c>
      <c r="N1395" s="235">
        <v>30</v>
      </c>
      <c r="O1395" s="234">
        <v>30</v>
      </c>
      <c r="P1395" s="234"/>
      <c r="Q1395" s="180" t="str">
        <f>IF(PEDIDOS[[#This Row],[Valor do item pago]]=PEDIDOS[[#This Row],[Total Item ]],"PAGO", "")</f>
        <v/>
      </c>
    </row>
    <row r="1396" spans="1:17" s="216" customFormat="1" ht="39.950000000000003" customHeight="1" x14ac:dyDescent="0.25">
      <c r="A1396" s="231"/>
      <c r="B1396" s="216">
        <v>551</v>
      </c>
      <c r="C1396" s="232">
        <v>43378</v>
      </c>
      <c r="D1396" s="233" t="s">
        <v>823</v>
      </c>
      <c r="E1396" s="216" t="s">
        <v>622</v>
      </c>
      <c r="F1396" s="216" t="s">
        <v>623</v>
      </c>
      <c r="G1396" s="216" t="s">
        <v>625</v>
      </c>
      <c r="H1396" s="216" t="s">
        <v>520</v>
      </c>
      <c r="I1396" s="234" t="s">
        <v>682</v>
      </c>
      <c r="J1396" s="234" t="s">
        <v>887</v>
      </c>
      <c r="K1396" s="234"/>
      <c r="L1396" s="216" t="s">
        <v>219</v>
      </c>
      <c r="M1396" s="178">
        <v>1</v>
      </c>
      <c r="N1396" s="235">
        <v>30</v>
      </c>
      <c r="O1396" s="234">
        <v>30</v>
      </c>
      <c r="P1396" s="234"/>
      <c r="Q1396" s="180" t="str">
        <f>IF(PEDIDOS[[#This Row],[Valor do item pago]]=PEDIDOS[[#This Row],[Total Item ]],"PAGO", "")</f>
        <v/>
      </c>
    </row>
    <row r="1397" spans="1:17" s="216" customFormat="1" ht="39.950000000000003" customHeight="1" x14ac:dyDescent="0.25">
      <c r="A1397" s="231"/>
      <c r="B1397" s="216">
        <v>550</v>
      </c>
      <c r="C1397" s="232">
        <v>43378</v>
      </c>
      <c r="D1397" s="233" t="s">
        <v>823</v>
      </c>
      <c r="E1397" s="216" t="s">
        <v>578</v>
      </c>
      <c r="F1397" s="216" t="s">
        <v>573</v>
      </c>
      <c r="G1397" s="216" t="s">
        <v>621</v>
      </c>
      <c r="H1397" s="216" t="s">
        <v>582</v>
      </c>
      <c r="I1397" s="234" t="s">
        <v>674</v>
      </c>
      <c r="J1397" s="234"/>
      <c r="K1397" s="234"/>
      <c r="L1397" s="216" t="s">
        <v>219</v>
      </c>
      <c r="M1397" s="178">
        <v>1</v>
      </c>
      <c r="N1397" s="235">
        <v>30</v>
      </c>
      <c r="O1397" s="234">
        <v>30</v>
      </c>
      <c r="P1397" s="234"/>
      <c r="Q1397" s="180" t="str">
        <f>IF(PEDIDOS[[#This Row],[Valor do item pago]]=PEDIDOS[[#This Row],[Total Item ]],"PAGO", "")</f>
        <v/>
      </c>
    </row>
    <row r="1398" spans="1:17" s="216" customFormat="1" ht="39.950000000000003" customHeight="1" x14ac:dyDescent="0.25">
      <c r="A1398" s="231"/>
      <c r="B1398" s="216">
        <v>549</v>
      </c>
      <c r="C1398" s="232">
        <v>43378</v>
      </c>
      <c r="D1398" s="233" t="s">
        <v>48</v>
      </c>
      <c r="E1398" s="216" t="s">
        <v>607</v>
      </c>
      <c r="F1398" s="216" t="s">
        <v>606</v>
      </c>
      <c r="G1398" s="216" t="s">
        <v>608</v>
      </c>
      <c r="H1398" s="216" t="s">
        <v>609</v>
      </c>
      <c r="I1398" s="234" t="s">
        <v>681</v>
      </c>
      <c r="J1398" s="234"/>
      <c r="K1398" s="234"/>
      <c r="L1398" s="216" t="s">
        <v>3</v>
      </c>
      <c r="M1398" s="178">
        <v>1</v>
      </c>
      <c r="N1398" s="235">
        <v>30</v>
      </c>
      <c r="O1398" s="234">
        <v>30</v>
      </c>
      <c r="P1398" s="234"/>
      <c r="Q1398" s="180" t="str">
        <f>IF(PEDIDOS[[#This Row],[Valor do item pago]]=PEDIDOS[[#This Row],[Total Item ]],"PAGO", "")</f>
        <v/>
      </c>
    </row>
    <row r="1399" spans="1:17" s="216" customFormat="1" ht="39.950000000000003" customHeight="1" x14ac:dyDescent="0.25">
      <c r="A1399" s="231"/>
      <c r="B1399" s="216">
        <v>548</v>
      </c>
      <c r="C1399" s="232">
        <v>43378</v>
      </c>
      <c r="D1399" s="233" t="s">
        <v>48</v>
      </c>
      <c r="E1399" s="216" t="s">
        <v>712</v>
      </c>
      <c r="F1399" s="216" t="s">
        <v>713</v>
      </c>
      <c r="G1399" s="216" t="s">
        <v>714</v>
      </c>
      <c r="H1399" s="216" t="s">
        <v>716</v>
      </c>
      <c r="I1399" s="234" t="s">
        <v>715</v>
      </c>
      <c r="J1399" s="234"/>
      <c r="K1399" s="234"/>
      <c r="L1399" s="216" t="s">
        <v>219</v>
      </c>
      <c r="M1399" s="178">
        <v>1</v>
      </c>
      <c r="N1399" s="235">
        <v>30</v>
      </c>
      <c r="O1399" s="234">
        <v>30</v>
      </c>
      <c r="P1399" s="234"/>
      <c r="Q1399" s="180" t="str">
        <f>IF(PEDIDOS[[#This Row],[Valor do item pago]]=PEDIDOS[[#This Row],[Total Item ]],"PAGO", "")</f>
        <v/>
      </c>
    </row>
    <row r="1400" spans="1:17" s="216" customFormat="1" ht="39.950000000000003" customHeight="1" x14ac:dyDescent="0.25">
      <c r="A1400" s="231"/>
      <c r="B1400" s="216">
        <v>547</v>
      </c>
      <c r="C1400" s="232">
        <v>43378</v>
      </c>
      <c r="D1400" s="233" t="s">
        <v>48</v>
      </c>
      <c r="E1400" s="216" t="s">
        <v>213</v>
      </c>
      <c r="F1400" s="216" t="s">
        <v>284</v>
      </c>
      <c r="G1400" s="216" t="s">
        <v>85</v>
      </c>
      <c r="H1400" s="216" t="s">
        <v>420</v>
      </c>
      <c r="I1400" s="234" t="s">
        <v>419</v>
      </c>
      <c r="J1400" s="234" t="s">
        <v>887</v>
      </c>
      <c r="K1400" s="234"/>
      <c r="L1400" s="216" t="s">
        <v>1</v>
      </c>
      <c r="M1400" s="178">
        <v>1</v>
      </c>
      <c r="N1400" s="235">
        <v>30</v>
      </c>
      <c r="O1400" s="234">
        <v>30</v>
      </c>
      <c r="P1400" s="234">
        <v>30</v>
      </c>
      <c r="Q1400" s="180" t="str">
        <f>IF(PEDIDOS[[#This Row],[Valor do item pago]]=PEDIDOS[[#This Row],[Total Item ]],"PAGO", "")</f>
        <v>PAGO</v>
      </c>
    </row>
    <row r="1401" spans="1:17" s="216" customFormat="1" ht="39.950000000000003" customHeight="1" x14ac:dyDescent="0.25">
      <c r="A1401" s="231"/>
      <c r="B1401" s="216">
        <v>546</v>
      </c>
      <c r="C1401" s="232">
        <v>43378</v>
      </c>
      <c r="D1401" s="233" t="s">
        <v>48</v>
      </c>
      <c r="E1401" s="216" t="s">
        <v>610</v>
      </c>
      <c r="F1401" s="216" t="s">
        <v>319</v>
      </c>
      <c r="G1401" s="216" t="s">
        <v>455</v>
      </c>
      <c r="H1401" s="216" t="s">
        <v>396</v>
      </c>
      <c r="I1401" s="234" t="s">
        <v>454</v>
      </c>
      <c r="J1401" s="234"/>
      <c r="K1401" s="234"/>
      <c r="L1401" s="216" t="s">
        <v>3</v>
      </c>
      <c r="M1401" s="178">
        <v>1</v>
      </c>
      <c r="N1401" s="235">
        <v>30</v>
      </c>
      <c r="O1401" s="234">
        <v>30</v>
      </c>
      <c r="P1401" s="234">
        <v>30</v>
      </c>
      <c r="Q1401" s="180" t="str">
        <f>IF(PEDIDOS[[#This Row],[Valor do item pago]]=PEDIDOS[[#This Row],[Total Item ]],"PAGO", "")</f>
        <v>PAGO</v>
      </c>
    </row>
    <row r="1402" spans="1:17" s="216" customFormat="1" ht="39.950000000000003" customHeight="1" x14ac:dyDescent="0.25">
      <c r="A1402" s="231"/>
      <c r="B1402" s="216">
        <v>545</v>
      </c>
      <c r="C1402" s="232">
        <v>43378</v>
      </c>
      <c r="D1402" s="233" t="s">
        <v>804</v>
      </c>
      <c r="E1402" s="216" t="s">
        <v>804</v>
      </c>
      <c r="F1402" s="216" t="s">
        <v>803</v>
      </c>
      <c r="G1402" s="216">
        <v>0</v>
      </c>
      <c r="H1402" s="216">
        <v>0</v>
      </c>
      <c r="I1402" s="234"/>
      <c r="J1402" s="234"/>
      <c r="K1402" s="234"/>
      <c r="L1402" s="216" t="s">
        <v>3</v>
      </c>
      <c r="M1402" s="178">
        <v>2</v>
      </c>
      <c r="N1402" s="235">
        <v>30</v>
      </c>
      <c r="O1402" s="234">
        <v>60</v>
      </c>
      <c r="P1402" s="234"/>
      <c r="Q1402" s="180" t="str">
        <f>IF(PEDIDOS[[#This Row],[Valor do item pago]]=PEDIDOS[[#This Row],[Total Item ]],"PAGO", "")</f>
        <v/>
      </c>
    </row>
    <row r="1403" spans="1:17" s="216" customFormat="1" ht="39.950000000000003" customHeight="1" x14ac:dyDescent="0.25">
      <c r="A1403" s="231"/>
      <c r="B1403" s="216">
        <v>544</v>
      </c>
      <c r="C1403" s="232">
        <v>43378</v>
      </c>
      <c r="D1403" s="233" t="s">
        <v>230</v>
      </c>
      <c r="E1403" s="216" t="s">
        <v>20</v>
      </c>
      <c r="F1403" s="216" t="s">
        <v>953</v>
      </c>
      <c r="G1403" s="216" t="s">
        <v>59</v>
      </c>
      <c r="H1403" s="216" t="s">
        <v>462</v>
      </c>
      <c r="I1403" s="234" t="s">
        <v>416</v>
      </c>
      <c r="J1403" s="234"/>
      <c r="K1403" s="234"/>
      <c r="L1403" s="216" t="s">
        <v>1</v>
      </c>
      <c r="M1403" s="178">
        <v>2</v>
      </c>
      <c r="N1403" s="235">
        <v>30</v>
      </c>
      <c r="O1403" s="234">
        <v>60</v>
      </c>
      <c r="P1403" s="234"/>
      <c r="Q1403" s="180" t="str">
        <f>IF(PEDIDOS[[#This Row],[Valor do item pago]]=PEDIDOS[[#This Row],[Total Item ]],"PAGO", "")</f>
        <v/>
      </c>
    </row>
    <row r="1404" spans="1:17" s="216" customFormat="1" ht="39.950000000000003" customHeight="1" x14ac:dyDescent="0.25">
      <c r="A1404" s="231"/>
      <c r="B1404" s="216">
        <v>543</v>
      </c>
      <c r="C1404" s="232">
        <v>43378</v>
      </c>
      <c r="D1404" s="233" t="s">
        <v>24</v>
      </c>
      <c r="E1404" s="216" t="s">
        <v>25</v>
      </c>
      <c r="F1404" s="216" t="s">
        <v>291</v>
      </c>
      <c r="G1404" s="216" t="s">
        <v>330</v>
      </c>
      <c r="H1404" s="216" t="s">
        <v>406</v>
      </c>
      <c r="I1404" s="234" t="s">
        <v>329</v>
      </c>
      <c r="J1404" s="234" t="s">
        <v>24</v>
      </c>
      <c r="K1404" s="234"/>
      <c r="L1404" s="216" t="s">
        <v>219</v>
      </c>
      <c r="M1404" s="178">
        <v>1</v>
      </c>
      <c r="N1404" s="235">
        <v>30</v>
      </c>
      <c r="O1404" s="234">
        <v>30</v>
      </c>
      <c r="P1404" s="234"/>
      <c r="Q1404" s="180" t="str">
        <f>IF(PEDIDOS[[#This Row],[Valor do item pago]]=PEDIDOS[[#This Row],[Total Item ]],"PAGO", "")</f>
        <v/>
      </c>
    </row>
    <row r="1405" spans="1:17" s="216" customFormat="1" ht="39.950000000000003" customHeight="1" x14ac:dyDescent="0.25">
      <c r="A1405" s="231"/>
      <c r="B1405" s="216">
        <v>542</v>
      </c>
      <c r="C1405" s="232">
        <v>43378</v>
      </c>
      <c r="D1405" s="233" t="s">
        <v>24</v>
      </c>
      <c r="E1405" s="216" t="s">
        <v>23</v>
      </c>
      <c r="F1405" s="216">
        <v>0</v>
      </c>
      <c r="G1405" s="216">
        <v>0</v>
      </c>
      <c r="H1405" s="216">
        <v>0</v>
      </c>
      <c r="I1405" s="234"/>
      <c r="J1405" s="234"/>
      <c r="K1405" s="234" t="s">
        <v>40</v>
      </c>
      <c r="L1405" s="216" t="s">
        <v>219</v>
      </c>
      <c r="M1405" s="178">
        <v>2</v>
      </c>
      <c r="N1405" s="235">
        <v>30</v>
      </c>
      <c r="O1405" s="234">
        <v>60</v>
      </c>
      <c r="P1405" s="234"/>
      <c r="Q1405" s="180" t="str">
        <f>IF(PEDIDOS[[#This Row],[Valor do item pago]]=PEDIDOS[[#This Row],[Total Item ]],"PAGO", "")</f>
        <v/>
      </c>
    </row>
    <row r="1406" spans="1:17" s="216" customFormat="1" ht="39.950000000000003" customHeight="1" x14ac:dyDescent="0.25">
      <c r="A1406" s="231"/>
      <c r="B1406" s="216">
        <v>541</v>
      </c>
      <c r="C1406" s="232">
        <v>43378</v>
      </c>
      <c r="D1406" s="233" t="s">
        <v>47</v>
      </c>
      <c r="E1406" s="216" t="s">
        <v>37</v>
      </c>
      <c r="F1406" s="216" t="s">
        <v>321</v>
      </c>
      <c r="G1406" s="216" t="s">
        <v>15</v>
      </c>
      <c r="H1406" s="216" t="s">
        <v>459</v>
      </c>
      <c r="I1406" s="234" t="s">
        <v>458</v>
      </c>
      <c r="J1406" s="234"/>
      <c r="K1406" s="234"/>
      <c r="L1406" s="216" t="s">
        <v>3</v>
      </c>
      <c r="M1406" s="178">
        <v>1</v>
      </c>
      <c r="N1406" s="235">
        <v>30</v>
      </c>
      <c r="O1406" s="234">
        <v>30</v>
      </c>
      <c r="P1406" s="234"/>
      <c r="Q1406" s="180" t="str">
        <f>IF(PEDIDOS[[#This Row],[Valor do item pago]]=PEDIDOS[[#This Row],[Total Item ]],"PAGO", "")</f>
        <v/>
      </c>
    </row>
    <row r="1407" spans="1:17" s="216" customFormat="1" ht="39.950000000000003" customHeight="1" x14ac:dyDescent="0.25">
      <c r="A1407" s="231"/>
      <c r="B1407" s="216">
        <v>540</v>
      </c>
      <c r="C1407" s="232">
        <v>43378</v>
      </c>
      <c r="D1407" s="233" t="s">
        <v>34</v>
      </c>
      <c r="E1407" s="216" t="s">
        <v>691</v>
      </c>
      <c r="F1407" s="216" t="s">
        <v>692</v>
      </c>
      <c r="G1407" s="216" t="s">
        <v>693</v>
      </c>
      <c r="H1407" s="216" t="s">
        <v>84</v>
      </c>
      <c r="I1407" s="234" t="s">
        <v>694</v>
      </c>
      <c r="J1407" s="234"/>
      <c r="K1407" s="234"/>
      <c r="L1407" s="216" t="s">
        <v>3</v>
      </c>
      <c r="M1407" s="178">
        <v>1</v>
      </c>
      <c r="N1407" s="235">
        <v>30</v>
      </c>
      <c r="O1407" s="234">
        <v>30</v>
      </c>
      <c r="P1407" s="234">
        <v>30</v>
      </c>
      <c r="Q1407" s="180" t="str">
        <f>IF(PEDIDOS[[#This Row],[Valor do item pago]]=PEDIDOS[[#This Row],[Total Item ]],"PAGO", "")</f>
        <v>PAGO</v>
      </c>
    </row>
    <row r="1408" spans="1:17" s="216" customFormat="1" ht="39.950000000000003" customHeight="1" x14ac:dyDescent="0.25">
      <c r="A1408" s="231"/>
      <c r="B1408" s="216">
        <v>539</v>
      </c>
      <c r="C1408" s="232">
        <v>43378</v>
      </c>
      <c r="D1408" s="233" t="s">
        <v>34</v>
      </c>
      <c r="E1408" s="216" t="s">
        <v>594</v>
      </c>
      <c r="F1408" s="216" t="s">
        <v>272</v>
      </c>
      <c r="G1408" s="216" t="s">
        <v>414</v>
      </c>
      <c r="H1408" s="216" t="s">
        <v>112</v>
      </c>
      <c r="I1408" s="234" t="s">
        <v>413</v>
      </c>
      <c r="J1408" s="234"/>
      <c r="K1408" s="234" t="s">
        <v>40</v>
      </c>
      <c r="L1408" s="216" t="s">
        <v>3</v>
      </c>
      <c r="M1408" s="178">
        <v>1</v>
      </c>
      <c r="N1408" s="235">
        <v>30</v>
      </c>
      <c r="O1408" s="234">
        <v>30</v>
      </c>
      <c r="P1408" s="234"/>
      <c r="Q1408" s="180" t="str">
        <f>IF(PEDIDOS[[#This Row],[Valor do item pago]]=PEDIDOS[[#This Row],[Total Item ]],"PAGO", "")</f>
        <v/>
      </c>
    </row>
    <row r="1409" spans="1:17" s="216" customFormat="1" ht="39.950000000000003" customHeight="1" x14ac:dyDescent="0.25">
      <c r="A1409" s="231"/>
      <c r="B1409" s="216">
        <v>539</v>
      </c>
      <c r="C1409" s="232">
        <v>43378</v>
      </c>
      <c r="D1409" s="233" t="s">
        <v>34</v>
      </c>
      <c r="E1409" s="216" t="s">
        <v>594</v>
      </c>
      <c r="F1409" s="216" t="s">
        <v>272</v>
      </c>
      <c r="G1409" s="216" t="s">
        <v>414</v>
      </c>
      <c r="H1409" s="216" t="s">
        <v>112</v>
      </c>
      <c r="I1409" s="234" t="s">
        <v>413</v>
      </c>
      <c r="J1409" s="234"/>
      <c r="K1409" s="234" t="s">
        <v>40</v>
      </c>
      <c r="L1409" s="216" t="s">
        <v>235</v>
      </c>
      <c r="M1409" s="178">
        <v>1</v>
      </c>
      <c r="N1409" s="235">
        <v>30</v>
      </c>
      <c r="O1409" s="234">
        <v>30</v>
      </c>
      <c r="P1409" s="234"/>
      <c r="Q1409" s="180" t="str">
        <f>IF(PEDIDOS[[#This Row],[Valor do item pago]]=PEDIDOS[[#This Row],[Total Item ]],"PAGO", "")</f>
        <v/>
      </c>
    </row>
    <row r="1410" spans="1:17" s="216" customFormat="1" ht="39.950000000000003" customHeight="1" x14ac:dyDescent="0.25">
      <c r="A1410" s="231"/>
      <c r="B1410" s="216">
        <v>538</v>
      </c>
      <c r="C1410" s="232">
        <v>43378</v>
      </c>
      <c r="D1410" s="233" t="s">
        <v>916</v>
      </c>
      <c r="E1410" s="216" t="s">
        <v>732</v>
      </c>
      <c r="F1410" s="216" t="s">
        <v>733</v>
      </c>
      <c r="G1410" s="216">
        <v>0</v>
      </c>
      <c r="H1410" s="216" t="s">
        <v>40</v>
      </c>
      <c r="I1410" s="234"/>
      <c r="J1410" s="234"/>
      <c r="K1410" s="234" t="s">
        <v>40</v>
      </c>
      <c r="L1410" s="216" t="s">
        <v>0</v>
      </c>
      <c r="M1410" s="178">
        <v>1</v>
      </c>
      <c r="N1410" s="235">
        <v>30</v>
      </c>
      <c r="O1410" s="234">
        <v>30</v>
      </c>
      <c r="P1410" s="234"/>
      <c r="Q1410" s="180" t="str">
        <f>IF(PEDIDOS[[#This Row],[Valor do item pago]]=PEDIDOS[[#This Row],[Total Item ]],"PAGO", "")</f>
        <v/>
      </c>
    </row>
    <row r="1411" spans="1:17" s="216" customFormat="1" ht="39.950000000000003" customHeight="1" x14ac:dyDescent="0.25">
      <c r="A1411" s="231"/>
      <c r="B1411" s="216">
        <v>537</v>
      </c>
      <c r="C1411" s="232">
        <v>43342</v>
      </c>
      <c r="D1411" s="233" t="s">
        <v>40</v>
      </c>
      <c r="E1411" s="216" t="s">
        <v>819</v>
      </c>
      <c r="F1411" s="216" t="s">
        <v>820</v>
      </c>
      <c r="G1411" s="216" t="s">
        <v>821</v>
      </c>
      <c r="H1411" s="216" t="s">
        <v>84</v>
      </c>
      <c r="I1411" s="234" t="s">
        <v>824</v>
      </c>
      <c r="J1411" s="234"/>
      <c r="K1411" s="234"/>
      <c r="L1411" s="216" t="s">
        <v>219</v>
      </c>
      <c r="M1411" s="178">
        <v>1</v>
      </c>
      <c r="N1411" s="235">
        <v>30</v>
      </c>
      <c r="O1411" s="234">
        <v>30</v>
      </c>
      <c r="P1411" s="234"/>
      <c r="Q1411" s="180" t="str">
        <f>IF(PEDIDOS[[#This Row],[Valor do item pago]]=PEDIDOS[[#This Row],[Total Item ]],"PAGO", "")</f>
        <v/>
      </c>
    </row>
    <row r="1412" spans="1:17" s="216" customFormat="1" ht="39.950000000000003" customHeight="1" x14ac:dyDescent="0.25">
      <c r="A1412" s="231"/>
      <c r="B1412" s="216">
        <v>536</v>
      </c>
      <c r="C1412" s="232">
        <v>43342</v>
      </c>
      <c r="D1412" s="233" t="s">
        <v>40</v>
      </c>
      <c r="E1412" s="216" t="s">
        <v>635</v>
      </c>
      <c r="F1412" s="216" t="s">
        <v>1033</v>
      </c>
      <c r="G1412" s="216" t="s">
        <v>637</v>
      </c>
      <c r="H1412" s="216" t="s">
        <v>639</v>
      </c>
      <c r="I1412" s="234" t="s">
        <v>684</v>
      </c>
      <c r="J1412" s="234"/>
      <c r="K1412" s="234"/>
      <c r="L1412" s="216" t="s">
        <v>219</v>
      </c>
      <c r="M1412" s="178">
        <v>2</v>
      </c>
      <c r="N1412" s="235">
        <v>30</v>
      </c>
      <c r="O1412" s="234">
        <v>60</v>
      </c>
      <c r="P1412" s="234"/>
      <c r="Q1412" s="180" t="str">
        <f>IF(PEDIDOS[[#This Row],[Valor do item pago]]=PEDIDOS[[#This Row],[Total Item ]],"PAGO", "")</f>
        <v/>
      </c>
    </row>
    <row r="1413" spans="1:17" s="216" customFormat="1" ht="39.950000000000003" customHeight="1" x14ac:dyDescent="0.25">
      <c r="A1413" s="231"/>
      <c r="B1413" s="216">
        <v>535</v>
      </c>
      <c r="C1413" s="232">
        <v>43342</v>
      </c>
      <c r="D1413" s="233" t="s">
        <v>823</v>
      </c>
      <c r="E1413" s="216" t="s">
        <v>618</v>
      </c>
      <c r="F1413" s="216" t="s">
        <v>619</v>
      </c>
      <c r="G1413" s="216" t="s">
        <v>620</v>
      </c>
      <c r="H1413" s="216" t="s">
        <v>84</v>
      </c>
      <c r="I1413" s="234" t="s">
        <v>453</v>
      </c>
      <c r="J1413" s="234"/>
      <c r="K1413" s="234"/>
      <c r="L1413" s="216" t="s">
        <v>219</v>
      </c>
      <c r="M1413" s="178">
        <v>1</v>
      </c>
      <c r="N1413" s="235">
        <v>30</v>
      </c>
      <c r="O1413" s="234">
        <v>30</v>
      </c>
      <c r="P1413" s="234"/>
      <c r="Q1413" s="180" t="str">
        <f>IF(PEDIDOS[[#This Row],[Valor do item pago]]=PEDIDOS[[#This Row],[Total Item ]],"PAGO", "")</f>
        <v/>
      </c>
    </row>
    <row r="1414" spans="1:17" s="216" customFormat="1" ht="39.950000000000003" customHeight="1" x14ac:dyDescent="0.25">
      <c r="A1414" s="231"/>
      <c r="B1414" s="216">
        <v>534</v>
      </c>
      <c r="C1414" s="232">
        <v>43342</v>
      </c>
      <c r="D1414" s="233" t="s">
        <v>823</v>
      </c>
      <c r="E1414" s="216" t="s">
        <v>578</v>
      </c>
      <c r="F1414" s="216" t="s">
        <v>573</v>
      </c>
      <c r="G1414" s="216" t="s">
        <v>621</v>
      </c>
      <c r="H1414" s="216" t="s">
        <v>582</v>
      </c>
      <c r="I1414" s="234" t="s">
        <v>674</v>
      </c>
      <c r="J1414" s="234" t="s">
        <v>1035</v>
      </c>
      <c r="K1414" s="234"/>
      <c r="L1414" s="216" t="s">
        <v>219</v>
      </c>
      <c r="M1414" s="178">
        <v>1</v>
      </c>
      <c r="N1414" s="235">
        <v>30</v>
      </c>
      <c r="O1414" s="234">
        <v>30</v>
      </c>
      <c r="P1414" s="234"/>
      <c r="Q1414" s="180" t="str">
        <f>IF(PEDIDOS[[#This Row],[Valor do item pago]]=PEDIDOS[[#This Row],[Total Item ]],"PAGO", "")</f>
        <v/>
      </c>
    </row>
    <row r="1415" spans="1:17" s="216" customFormat="1" ht="39.950000000000003" customHeight="1" x14ac:dyDescent="0.25">
      <c r="A1415" s="231"/>
      <c r="B1415" s="216">
        <v>533</v>
      </c>
      <c r="C1415" s="232">
        <v>43342</v>
      </c>
      <c r="D1415" s="233" t="s">
        <v>823</v>
      </c>
      <c r="E1415" s="216" t="s">
        <v>622</v>
      </c>
      <c r="F1415" s="216" t="s">
        <v>623</v>
      </c>
      <c r="G1415" s="216" t="s">
        <v>625</v>
      </c>
      <c r="H1415" s="216" t="s">
        <v>520</v>
      </c>
      <c r="I1415" s="234" t="s">
        <v>682</v>
      </c>
      <c r="J1415" s="234" t="s">
        <v>887</v>
      </c>
      <c r="K1415" s="234"/>
      <c r="L1415" s="216" t="s">
        <v>219</v>
      </c>
      <c r="M1415" s="178">
        <v>1</v>
      </c>
      <c r="N1415" s="235">
        <v>30</v>
      </c>
      <c r="O1415" s="234">
        <v>30</v>
      </c>
      <c r="P1415" s="234"/>
      <c r="Q1415" s="180" t="str">
        <f>IF(PEDIDOS[[#This Row],[Valor do item pago]]=PEDIDOS[[#This Row],[Total Item ]],"PAGO", "")</f>
        <v/>
      </c>
    </row>
    <row r="1416" spans="1:17" s="216" customFormat="1" ht="39.950000000000003" customHeight="1" x14ac:dyDescent="0.25">
      <c r="A1416" s="231"/>
      <c r="B1416" s="216">
        <v>532</v>
      </c>
      <c r="C1416" s="232">
        <v>43342</v>
      </c>
      <c r="D1416" s="233" t="s">
        <v>823</v>
      </c>
      <c r="E1416" s="216" t="s">
        <v>626</v>
      </c>
      <c r="F1416" s="216" t="s">
        <v>627</v>
      </c>
      <c r="G1416" s="216" t="s">
        <v>628</v>
      </c>
      <c r="H1416" s="216" t="s">
        <v>629</v>
      </c>
      <c r="I1416" s="234" t="s">
        <v>683</v>
      </c>
      <c r="J1416" s="234"/>
      <c r="K1416" s="234"/>
      <c r="L1416" s="216" t="s">
        <v>3</v>
      </c>
      <c r="M1416" s="178">
        <v>1</v>
      </c>
      <c r="N1416" s="235">
        <v>30</v>
      </c>
      <c r="O1416" s="234">
        <v>30</v>
      </c>
      <c r="P1416" s="234"/>
      <c r="Q1416" s="180" t="str">
        <f>IF(PEDIDOS[[#This Row],[Valor do item pago]]=PEDIDOS[[#This Row],[Total Item ]],"PAGO", "")</f>
        <v/>
      </c>
    </row>
    <row r="1417" spans="1:17" s="216" customFormat="1" ht="39.950000000000003" customHeight="1" x14ac:dyDescent="0.25">
      <c r="A1417" s="231"/>
      <c r="B1417" s="216">
        <v>532</v>
      </c>
      <c r="C1417" s="232">
        <v>43342</v>
      </c>
      <c r="D1417" s="233" t="s">
        <v>823</v>
      </c>
      <c r="E1417" s="216" t="s">
        <v>626</v>
      </c>
      <c r="F1417" s="216" t="s">
        <v>627</v>
      </c>
      <c r="G1417" s="216" t="s">
        <v>628</v>
      </c>
      <c r="H1417" s="216" t="s">
        <v>629</v>
      </c>
      <c r="I1417" s="234" t="s">
        <v>683</v>
      </c>
      <c r="J1417" s="234"/>
      <c r="K1417" s="234"/>
      <c r="L1417" s="216" t="s">
        <v>1</v>
      </c>
      <c r="M1417" s="178">
        <v>1</v>
      </c>
      <c r="N1417" s="235">
        <v>30</v>
      </c>
      <c r="O1417" s="234">
        <v>30</v>
      </c>
      <c r="P1417" s="234"/>
      <c r="Q1417" s="180" t="str">
        <f>IF(PEDIDOS[[#This Row],[Valor do item pago]]=PEDIDOS[[#This Row],[Total Item ]],"PAGO", "")</f>
        <v/>
      </c>
    </row>
    <row r="1418" spans="1:17" s="216" customFormat="1" ht="39.950000000000003" customHeight="1" x14ac:dyDescent="0.25">
      <c r="A1418" s="231"/>
      <c r="B1418" s="216">
        <v>531</v>
      </c>
      <c r="C1418" s="232">
        <v>43342</v>
      </c>
      <c r="D1418" s="233" t="s">
        <v>40</v>
      </c>
      <c r="E1418" s="216" t="s">
        <v>203</v>
      </c>
      <c r="F1418" s="216" t="s">
        <v>305</v>
      </c>
      <c r="G1418" s="216" t="s">
        <v>41</v>
      </c>
      <c r="H1418" s="216" t="s">
        <v>441</v>
      </c>
      <c r="I1418" s="234" t="s">
        <v>442</v>
      </c>
      <c r="J1418" s="234"/>
      <c r="K1418" s="234" t="s">
        <v>648</v>
      </c>
      <c r="L1418" s="216" t="s">
        <v>1</v>
      </c>
      <c r="M1418" s="178">
        <v>1</v>
      </c>
      <c r="N1418" s="235">
        <v>30</v>
      </c>
      <c r="O1418" s="234">
        <v>30</v>
      </c>
      <c r="P1418" s="234"/>
      <c r="Q1418" s="180" t="str">
        <f>IF(PEDIDOS[[#This Row],[Valor do item pago]]=PEDIDOS[[#This Row],[Total Item ]],"PAGO", "")</f>
        <v/>
      </c>
    </row>
    <row r="1419" spans="1:17" s="216" customFormat="1" ht="39.950000000000003" customHeight="1" x14ac:dyDescent="0.25">
      <c r="A1419" s="231"/>
      <c r="B1419" s="216">
        <v>531</v>
      </c>
      <c r="C1419" s="232">
        <v>43342</v>
      </c>
      <c r="D1419" s="233" t="s">
        <v>40</v>
      </c>
      <c r="E1419" s="216" t="s">
        <v>203</v>
      </c>
      <c r="F1419" s="216" t="s">
        <v>305</v>
      </c>
      <c r="G1419" s="216" t="s">
        <v>41</v>
      </c>
      <c r="H1419" s="216" t="s">
        <v>441</v>
      </c>
      <c r="I1419" s="234" t="s">
        <v>442</v>
      </c>
      <c r="J1419" s="234"/>
      <c r="K1419" s="234" t="s">
        <v>648</v>
      </c>
      <c r="L1419" s="216" t="s">
        <v>0</v>
      </c>
      <c r="M1419" s="178">
        <v>1</v>
      </c>
      <c r="N1419" s="235">
        <v>30</v>
      </c>
      <c r="O1419" s="234">
        <v>30</v>
      </c>
      <c r="P1419" s="234"/>
      <c r="Q1419" s="180" t="str">
        <f>IF(PEDIDOS[[#This Row],[Valor do item pago]]=PEDIDOS[[#This Row],[Total Item ]],"PAGO", "")</f>
        <v/>
      </c>
    </row>
    <row r="1420" spans="1:17" s="216" customFormat="1" ht="39.950000000000003" customHeight="1" x14ac:dyDescent="0.25">
      <c r="A1420" s="231"/>
      <c r="B1420" s="216">
        <v>530</v>
      </c>
      <c r="C1420" s="232">
        <v>43342</v>
      </c>
      <c r="D1420" s="233" t="s">
        <v>40</v>
      </c>
      <c r="E1420" s="216" t="s">
        <v>1031</v>
      </c>
      <c r="F1420" s="216" t="s">
        <v>1030</v>
      </c>
      <c r="G1420" s="216">
        <v>0</v>
      </c>
      <c r="H1420" s="216">
        <v>0</v>
      </c>
      <c r="I1420" s="234"/>
      <c r="J1420" s="234"/>
      <c r="K1420" s="234" t="s">
        <v>40</v>
      </c>
      <c r="L1420" s="216" t="s">
        <v>1</v>
      </c>
      <c r="M1420" s="178">
        <v>1</v>
      </c>
      <c r="N1420" s="235">
        <v>30</v>
      </c>
      <c r="O1420" s="234">
        <v>30</v>
      </c>
      <c r="P1420" s="234"/>
      <c r="Q1420" s="180" t="str">
        <f>IF(PEDIDOS[[#This Row],[Valor do item pago]]=PEDIDOS[[#This Row],[Total Item ]],"PAGO", "")</f>
        <v/>
      </c>
    </row>
    <row r="1421" spans="1:17" s="216" customFormat="1" ht="39.950000000000003" customHeight="1" x14ac:dyDescent="0.25">
      <c r="A1421" s="231"/>
      <c r="B1421" s="216">
        <v>529</v>
      </c>
      <c r="C1421" s="232">
        <v>43342</v>
      </c>
      <c r="D1421" s="233" t="s">
        <v>40</v>
      </c>
      <c r="E1421" s="216" t="s">
        <v>1029</v>
      </c>
      <c r="F1421" s="216" t="s">
        <v>1032</v>
      </c>
      <c r="G1421" s="216">
        <v>0</v>
      </c>
      <c r="H1421" s="216">
        <v>0</v>
      </c>
      <c r="I1421" s="234"/>
      <c r="J1421" s="234"/>
      <c r="K1421" s="234"/>
      <c r="L1421" s="216" t="s">
        <v>1</v>
      </c>
      <c r="M1421" s="178">
        <v>2</v>
      </c>
      <c r="N1421" s="235">
        <v>30</v>
      </c>
      <c r="O1421" s="234">
        <v>60</v>
      </c>
      <c r="P1421" s="234"/>
      <c r="Q1421" s="180" t="str">
        <f>IF(PEDIDOS[[#This Row],[Valor do item pago]]=PEDIDOS[[#This Row],[Total Item ]],"PAGO", "")</f>
        <v/>
      </c>
    </row>
    <row r="1422" spans="1:17" s="216" customFormat="1" ht="39.950000000000003" customHeight="1" x14ac:dyDescent="0.25">
      <c r="A1422" s="231"/>
      <c r="B1422" s="216">
        <v>528</v>
      </c>
      <c r="C1422" s="232">
        <v>43342</v>
      </c>
      <c r="D1422" s="233" t="s">
        <v>40</v>
      </c>
      <c r="E1422" s="216" t="s">
        <v>1026</v>
      </c>
      <c r="F1422" s="216">
        <v>0</v>
      </c>
      <c r="G1422" s="216" t="s">
        <v>1027</v>
      </c>
      <c r="H1422" s="216" t="s">
        <v>274</v>
      </c>
      <c r="I1422" s="234" t="s">
        <v>1028</v>
      </c>
      <c r="J1422" s="234"/>
      <c r="K1422" s="234"/>
      <c r="L1422" s="216" t="s">
        <v>3</v>
      </c>
      <c r="M1422" s="178">
        <v>2</v>
      </c>
      <c r="N1422" s="235">
        <v>30</v>
      </c>
      <c r="O1422" s="234">
        <v>60</v>
      </c>
      <c r="P1422" s="234"/>
      <c r="Q1422" s="180" t="str">
        <f>IF(PEDIDOS[[#This Row],[Valor do item pago]]=PEDIDOS[[#This Row],[Total Item ]],"PAGO", "")</f>
        <v/>
      </c>
    </row>
    <row r="1423" spans="1:17" s="216" customFormat="1" ht="39.950000000000003" customHeight="1" x14ac:dyDescent="0.25">
      <c r="A1423" s="231"/>
      <c r="B1423" s="216">
        <v>528</v>
      </c>
      <c r="C1423" s="232">
        <v>43342</v>
      </c>
      <c r="D1423" s="233" t="s">
        <v>40</v>
      </c>
      <c r="E1423" s="216" t="s">
        <v>1026</v>
      </c>
      <c r="F1423" s="216">
        <v>0</v>
      </c>
      <c r="G1423" s="216" t="s">
        <v>1027</v>
      </c>
      <c r="H1423" s="216" t="s">
        <v>274</v>
      </c>
      <c r="I1423" s="234" t="s">
        <v>1028</v>
      </c>
      <c r="J1423" s="234"/>
      <c r="K1423" s="234"/>
      <c r="L1423" s="216" t="s">
        <v>1</v>
      </c>
      <c r="M1423" s="178">
        <v>2</v>
      </c>
      <c r="N1423" s="235">
        <v>30</v>
      </c>
      <c r="O1423" s="234">
        <v>60</v>
      </c>
      <c r="P1423" s="234"/>
      <c r="Q1423" s="180" t="str">
        <f>IF(PEDIDOS[[#This Row],[Valor do item pago]]=PEDIDOS[[#This Row],[Total Item ]],"PAGO", "")</f>
        <v/>
      </c>
    </row>
    <row r="1424" spans="1:17" s="216" customFormat="1" ht="39.950000000000003" customHeight="1" x14ac:dyDescent="0.25">
      <c r="A1424" s="231"/>
      <c r="B1424" s="216">
        <v>527</v>
      </c>
      <c r="C1424" s="232">
        <v>43342</v>
      </c>
      <c r="D1424" s="233" t="s">
        <v>40</v>
      </c>
      <c r="E1424" s="216" t="s">
        <v>642</v>
      </c>
      <c r="F1424" s="216" t="s">
        <v>643</v>
      </c>
      <c r="G1424" s="216" t="s">
        <v>644</v>
      </c>
      <c r="H1424" s="216" t="s">
        <v>645</v>
      </c>
      <c r="I1424" s="234" t="s">
        <v>685</v>
      </c>
      <c r="J1424" s="234" t="s">
        <v>887</v>
      </c>
      <c r="K1424" s="234"/>
      <c r="L1424" s="216" t="s">
        <v>219</v>
      </c>
      <c r="M1424" s="178">
        <v>1</v>
      </c>
      <c r="N1424" s="235">
        <v>30</v>
      </c>
      <c r="O1424" s="234">
        <v>30</v>
      </c>
      <c r="P1424" s="234"/>
      <c r="Q1424" s="180" t="str">
        <f>IF(PEDIDOS[[#This Row],[Valor do item pago]]=PEDIDOS[[#This Row],[Total Item ]],"PAGO", "")</f>
        <v/>
      </c>
    </row>
    <row r="1425" spans="1:17" s="216" customFormat="1" ht="39.950000000000003" customHeight="1" x14ac:dyDescent="0.25">
      <c r="A1425" s="231"/>
      <c r="B1425" s="216">
        <v>526</v>
      </c>
      <c r="C1425" s="232">
        <v>43342</v>
      </c>
      <c r="D1425" s="233" t="s">
        <v>40</v>
      </c>
      <c r="E1425" s="216" t="s">
        <v>208</v>
      </c>
      <c r="F1425" s="216" t="s">
        <v>301</v>
      </c>
      <c r="G1425" s="216" t="s">
        <v>111</v>
      </c>
      <c r="H1425" s="216" t="s">
        <v>112</v>
      </c>
      <c r="I1425" s="234" t="s">
        <v>435</v>
      </c>
      <c r="J1425" s="234"/>
      <c r="K1425" s="234"/>
      <c r="L1425" s="216" t="s">
        <v>0</v>
      </c>
      <c r="M1425" s="178">
        <v>1</v>
      </c>
      <c r="N1425" s="235">
        <v>30</v>
      </c>
      <c r="O1425" s="234">
        <v>30</v>
      </c>
      <c r="P1425" s="234"/>
      <c r="Q1425" s="180" t="str">
        <f>IF(PEDIDOS[[#This Row],[Valor do item pago]]=PEDIDOS[[#This Row],[Total Item ]],"PAGO", "")</f>
        <v/>
      </c>
    </row>
    <row r="1426" spans="1:17" s="216" customFormat="1" ht="39.950000000000003" customHeight="1" x14ac:dyDescent="0.25">
      <c r="A1426" s="231"/>
      <c r="B1426" s="216">
        <v>525</v>
      </c>
      <c r="C1426" s="232">
        <v>43342</v>
      </c>
      <c r="D1426" s="233" t="s">
        <v>40</v>
      </c>
      <c r="E1426" s="216" t="s">
        <v>473</v>
      </c>
      <c r="F1426" s="216" t="s">
        <v>315</v>
      </c>
      <c r="G1426" s="216">
        <v>0</v>
      </c>
      <c r="H1426" s="216">
        <v>0</v>
      </c>
      <c r="I1426" s="234"/>
      <c r="J1426" s="234"/>
      <c r="K1426" s="234"/>
      <c r="L1426" s="216" t="s">
        <v>1</v>
      </c>
      <c r="M1426" s="178">
        <v>2</v>
      </c>
      <c r="N1426" s="235">
        <v>30</v>
      </c>
      <c r="O1426" s="234">
        <v>60</v>
      </c>
      <c r="P1426" s="234"/>
      <c r="Q1426" s="180" t="str">
        <f>IF(PEDIDOS[[#This Row],[Valor do item pago]]=PEDIDOS[[#This Row],[Total Item ]],"PAGO", "")</f>
        <v/>
      </c>
    </row>
    <row r="1427" spans="1:17" s="216" customFormat="1" ht="39.950000000000003" customHeight="1" x14ac:dyDescent="0.25">
      <c r="A1427" s="231"/>
      <c r="B1427" s="216">
        <v>524</v>
      </c>
      <c r="C1427" s="232">
        <v>43342</v>
      </c>
      <c r="D1427" s="233" t="s">
        <v>40</v>
      </c>
      <c r="E1427" s="216" t="s">
        <v>649</v>
      </c>
      <c r="F1427" s="216" t="s">
        <v>310</v>
      </c>
      <c r="G1427" s="216" t="s">
        <v>51</v>
      </c>
      <c r="H1427" s="216" t="s">
        <v>52</v>
      </c>
      <c r="I1427" s="234" t="s">
        <v>447</v>
      </c>
      <c r="J1427" s="234"/>
      <c r="K1427" s="234"/>
      <c r="L1427" s="216" t="s">
        <v>219</v>
      </c>
      <c r="M1427" s="178">
        <v>1</v>
      </c>
      <c r="N1427" s="235">
        <v>30</v>
      </c>
      <c r="O1427" s="234">
        <v>30</v>
      </c>
      <c r="P1427" s="234"/>
      <c r="Q1427" s="180" t="str">
        <f>IF(PEDIDOS[[#This Row],[Valor do item pago]]=PEDIDOS[[#This Row],[Total Item ]],"PAGO", "")</f>
        <v/>
      </c>
    </row>
    <row r="1428" spans="1:17" s="216" customFormat="1" ht="39.950000000000003" customHeight="1" x14ac:dyDescent="0.25">
      <c r="A1428" s="231"/>
      <c r="B1428" s="216">
        <v>523</v>
      </c>
      <c r="C1428" s="232">
        <v>43342</v>
      </c>
      <c r="D1428" s="233" t="s">
        <v>40</v>
      </c>
      <c r="E1428" s="216" t="s">
        <v>647</v>
      </c>
      <c r="F1428" s="216" t="s">
        <v>303</v>
      </c>
      <c r="G1428" s="216" t="s">
        <v>437</v>
      </c>
      <c r="H1428" s="216" t="s">
        <v>84</v>
      </c>
      <c r="I1428" s="234" t="s">
        <v>439</v>
      </c>
      <c r="J1428" s="234"/>
      <c r="K1428" s="234"/>
      <c r="L1428" s="216" t="s">
        <v>1</v>
      </c>
      <c r="M1428" s="178">
        <v>1</v>
      </c>
      <c r="N1428" s="235">
        <v>30</v>
      </c>
      <c r="O1428" s="234">
        <v>30</v>
      </c>
      <c r="P1428" s="234"/>
      <c r="Q1428" s="180" t="str">
        <f>IF(PEDIDOS[[#This Row],[Valor do item pago]]=PEDIDOS[[#This Row],[Total Item ]],"PAGO", "")</f>
        <v/>
      </c>
    </row>
    <row r="1429" spans="1:17" s="216" customFormat="1" ht="39.950000000000003" customHeight="1" x14ac:dyDescent="0.25">
      <c r="A1429" s="231"/>
      <c r="B1429" s="216">
        <v>522</v>
      </c>
      <c r="C1429" s="232">
        <v>43342</v>
      </c>
      <c r="D1429" s="233" t="s">
        <v>40</v>
      </c>
      <c r="E1429" s="216" t="s">
        <v>630</v>
      </c>
      <c r="F1429" s="216" t="s">
        <v>312</v>
      </c>
      <c r="G1429" s="216" t="s">
        <v>616</v>
      </c>
      <c r="H1429" s="216" t="s">
        <v>523</v>
      </c>
      <c r="I1429" s="234" t="s">
        <v>735</v>
      </c>
      <c r="J1429" s="234"/>
      <c r="K1429" s="234"/>
      <c r="L1429" s="216" t="s">
        <v>1</v>
      </c>
      <c r="M1429" s="178">
        <v>4</v>
      </c>
      <c r="N1429" s="235">
        <v>30</v>
      </c>
      <c r="O1429" s="234">
        <v>120</v>
      </c>
      <c r="P1429" s="234">
        <v>120</v>
      </c>
      <c r="Q1429" s="180" t="str">
        <f>IF(PEDIDOS[[#This Row],[Valor do item pago]]=PEDIDOS[[#This Row],[Total Item ]],"PAGO", "")</f>
        <v>PAGO</v>
      </c>
    </row>
    <row r="1430" spans="1:17" s="216" customFormat="1" ht="39.950000000000003" customHeight="1" x14ac:dyDescent="0.25">
      <c r="A1430" s="231"/>
      <c r="B1430" s="216">
        <v>521</v>
      </c>
      <c r="C1430" s="232">
        <v>43342</v>
      </c>
      <c r="D1430" s="233" t="s">
        <v>40</v>
      </c>
      <c r="E1430" s="216" t="s">
        <v>13</v>
      </c>
      <c r="F1430" s="216">
        <v>0</v>
      </c>
      <c r="G1430" s="216">
        <v>0</v>
      </c>
      <c r="H1430" s="216">
        <v>0</v>
      </c>
      <c r="I1430" s="234"/>
      <c r="J1430" s="234"/>
      <c r="K1430" s="234"/>
      <c r="L1430" s="216" t="s">
        <v>219</v>
      </c>
      <c r="M1430" s="178">
        <v>2</v>
      </c>
      <c r="N1430" s="235">
        <v>30</v>
      </c>
      <c r="O1430" s="234">
        <v>60</v>
      </c>
      <c r="P1430" s="234"/>
      <c r="Q1430" s="180" t="str">
        <f>IF(PEDIDOS[[#This Row],[Valor do item pago]]=PEDIDOS[[#This Row],[Total Item ]],"PAGO", "")</f>
        <v/>
      </c>
    </row>
    <row r="1431" spans="1:17" s="216" customFormat="1" ht="39.950000000000003" customHeight="1" x14ac:dyDescent="0.25">
      <c r="A1431" s="231"/>
      <c r="B1431" s="216">
        <v>520</v>
      </c>
      <c r="C1431" s="232">
        <v>43342</v>
      </c>
      <c r="D1431" s="233" t="s">
        <v>40</v>
      </c>
      <c r="E1431" s="216" t="s">
        <v>204</v>
      </c>
      <c r="F1431" s="216" t="s">
        <v>279</v>
      </c>
      <c r="G1431" s="216">
        <v>0</v>
      </c>
      <c r="H1431" s="216">
        <v>0</v>
      </c>
      <c r="I1431" s="234"/>
      <c r="J1431" s="234"/>
      <c r="K1431" s="234" t="s">
        <v>40</v>
      </c>
      <c r="L1431" s="216" t="s">
        <v>3</v>
      </c>
      <c r="M1431" s="178">
        <v>2</v>
      </c>
      <c r="N1431" s="235">
        <v>30</v>
      </c>
      <c r="O1431" s="234">
        <v>60</v>
      </c>
      <c r="P1431" s="234"/>
      <c r="Q1431" s="180" t="str">
        <f>IF(PEDIDOS[[#This Row],[Valor do item pago]]=PEDIDOS[[#This Row],[Total Item ]],"PAGO", "")</f>
        <v/>
      </c>
    </row>
    <row r="1432" spans="1:17" s="216" customFormat="1" ht="39.950000000000003" customHeight="1" x14ac:dyDescent="0.25">
      <c r="A1432" s="231"/>
      <c r="B1432" s="216">
        <v>519</v>
      </c>
      <c r="C1432" s="232">
        <v>43342</v>
      </c>
      <c r="D1432" s="233" t="s">
        <v>45</v>
      </c>
      <c r="E1432" s="216" t="s">
        <v>478</v>
      </c>
      <c r="F1432" s="216" t="s">
        <v>297</v>
      </c>
      <c r="G1432" s="216">
        <v>0</v>
      </c>
      <c r="H1432" s="216">
        <v>0</v>
      </c>
      <c r="I1432" s="234"/>
      <c r="J1432" s="234"/>
      <c r="K1432" s="234"/>
      <c r="L1432" s="216" t="s">
        <v>1</v>
      </c>
      <c r="M1432" s="178">
        <v>1</v>
      </c>
      <c r="N1432" s="235">
        <v>30</v>
      </c>
      <c r="O1432" s="234">
        <v>30</v>
      </c>
      <c r="P1432" s="234"/>
      <c r="Q1432" s="180" t="str">
        <f>IF(PEDIDOS[[#This Row],[Valor do item pago]]=PEDIDOS[[#This Row],[Total Item ]],"PAGO", "")</f>
        <v/>
      </c>
    </row>
    <row r="1433" spans="1:17" s="216" customFormat="1" ht="39.950000000000003" customHeight="1" x14ac:dyDescent="0.25">
      <c r="A1433" s="231"/>
      <c r="B1433" s="216">
        <v>518</v>
      </c>
      <c r="C1433" s="232">
        <v>43342</v>
      </c>
      <c r="D1433" s="233" t="s">
        <v>916</v>
      </c>
      <c r="E1433" s="216" t="s">
        <v>732</v>
      </c>
      <c r="F1433" s="216" t="s">
        <v>733</v>
      </c>
      <c r="G1433" s="216">
        <v>0</v>
      </c>
      <c r="H1433" s="216" t="s">
        <v>40</v>
      </c>
      <c r="I1433" s="234"/>
      <c r="J1433" s="234"/>
      <c r="K1433" s="234" t="s">
        <v>916</v>
      </c>
      <c r="L1433" s="216" t="s">
        <v>219</v>
      </c>
      <c r="M1433" s="178">
        <v>2</v>
      </c>
      <c r="N1433" s="235">
        <v>30</v>
      </c>
      <c r="O1433" s="234">
        <v>60</v>
      </c>
      <c r="P1433" s="234"/>
      <c r="Q1433" s="180" t="str">
        <f>IF(PEDIDOS[[#This Row],[Valor do item pago]]=PEDIDOS[[#This Row],[Total Item ]],"PAGO", "")</f>
        <v/>
      </c>
    </row>
    <row r="1434" spans="1:17" s="216" customFormat="1" ht="39.950000000000003" customHeight="1" x14ac:dyDescent="0.25">
      <c r="A1434" s="231"/>
      <c r="B1434" s="216">
        <v>518</v>
      </c>
      <c r="C1434" s="232">
        <v>43342</v>
      </c>
      <c r="D1434" s="233" t="s">
        <v>916</v>
      </c>
      <c r="E1434" s="216" t="s">
        <v>732</v>
      </c>
      <c r="F1434" s="216" t="s">
        <v>733</v>
      </c>
      <c r="G1434" s="216">
        <v>0</v>
      </c>
      <c r="H1434" s="216" t="s">
        <v>40</v>
      </c>
      <c r="I1434" s="234"/>
      <c r="J1434" s="234"/>
      <c r="K1434" s="234" t="s">
        <v>916</v>
      </c>
      <c r="L1434" s="216" t="s">
        <v>0</v>
      </c>
      <c r="M1434" s="178">
        <v>1</v>
      </c>
      <c r="N1434" s="235">
        <v>30</v>
      </c>
      <c r="O1434" s="234">
        <v>30</v>
      </c>
      <c r="P1434" s="234"/>
      <c r="Q1434" s="180" t="str">
        <f>IF(PEDIDOS[[#This Row],[Valor do item pago]]=PEDIDOS[[#This Row],[Total Item ]],"PAGO", "")</f>
        <v/>
      </c>
    </row>
    <row r="1435" spans="1:17" s="216" customFormat="1" ht="39.950000000000003" customHeight="1" x14ac:dyDescent="0.25">
      <c r="A1435" s="231"/>
      <c r="B1435" s="216">
        <v>517</v>
      </c>
      <c r="C1435" s="232">
        <v>43342</v>
      </c>
      <c r="D1435" s="233" t="s">
        <v>804</v>
      </c>
      <c r="E1435" s="216" t="s">
        <v>804</v>
      </c>
      <c r="F1435" s="216" t="s">
        <v>803</v>
      </c>
      <c r="G1435" s="216">
        <v>0</v>
      </c>
      <c r="H1435" s="216">
        <v>0</v>
      </c>
      <c r="I1435" s="234"/>
      <c r="J1435" s="234"/>
      <c r="K1435" s="234"/>
      <c r="L1435" s="216" t="s">
        <v>3</v>
      </c>
      <c r="M1435" s="178">
        <v>1</v>
      </c>
      <c r="N1435" s="235">
        <v>30</v>
      </c>
      <c r="O1435" s="234">
        <v>30</v>
      </c>
      <c r="P1435" s="234"/>
      <c r="Q1435" s="180" t="str">
        <f>IF(PEDIDOS[[#This Row],[Valor do item pago]]=PEDIDOS[[#This Row],[Total Item ]],"PAGO", "")</f>
        <v/>
      </c>
    </row>
    <row r="1436" spans="1:17" s="216" customFormat="1" ht="39.950000000000003" customHeight="1" x14ac:dyDescent="0.25">
      <c r="A1436" s="231"/>
      <c r="B1436" s="216">
        <v>517</v>
      </c>
      <c r="C1436" s="232">
        <v>43342</v>
      </c>
      <c r="D1436" s="233" t="s">
        <v>804</v>
      </c>
      <c r="E1436" s="216" t="s">
        <v>804</v>
      </c>
      <c r="F1436" s="216" t="s">
        <v>803</v>
      </c>
      <c r="G1436" s="216">
        <v>0</v>
      </c>
      <c r="H1436" s="216">
        <v>0</v>
      </c>
      <c r="I1436" s="234"/>
      <c r="J1436" s="234"/>
      <c r="K1436" s="234"/>
      <c r="L1436" s="216" t="s">
        <v>219</v>
      </c>
      <c r="M1436" s="178">
        <v>1</v>
      </c>
      <c r="N1436" s="235">
        <v>30</v>
      </c>
      <c r="O1436" s="234">
        <v>30</v>
      </c>
      <c r="P1436" s="234"/>
      <c r="Q1436" s="180" t="str">
        <f>IF(PEDIDOS[[#This Row],[Valor do item pago]]=PEDIDOS[[#This Row],[Total Item ]],"PAGO", "")</f>
        <v/>
      </c>
    </row>
    <row r="1437" spans="1:17" s="216" customFormat="1" ht="39.950000000000003" customHeight="1" x14ac:dyDescent="0.25">
      <c r="A1437" s="231"/>
      <c r="B1437" s="216">
        <v>516</v>
      </c>
      <c r="C1437" s="232">
        <v>43342</v>
      </c>
      <c r="D1437" s="233" t="s">
        <v>34</v>
      </c>
      <c r="E1437" s="216" t="s">
        <v>594</v>
      </c>
      <c r="F1437" s="216" t="s">
        <v>272</v>
      </c>
      <c r="G1437" s="216" t="s">
        <v>414</v>
      </c>
      <c r="H1437" s="216" t="s">
        <v>112</v>
      </c>
      <c r="I1437" s="234" t="s">
        <v>413</v>
      </c>
      <c r="J1437" s="234"/>
      <c r="K1437" s="234" t="s">
        <v>34</v>
      </c>
      <c r="L1437" s="216" t="s">
        <v>235</v>
      </c>
      <c r="M1437" s="178">
        <v>1</v>
      </c>
      <c r="N1437" s="235">
        <v>30</v>
      </c>
      <c r="O1437" s="234">
        <v>30</v>
      </c>
      <c r="P1437" s="234"/>
      <c r="Q1437" s="180" t="str">
        <f>IF(PEDIDOS[[#This Row],[Valor do item pago]]=PEDIDOS[[#This Row],[Total Item ]],"PAGO", "")</f>
        <v/>
      </c>
    </row>
    <row r="1438" spans="1:17" s="216" customFormat="1" ht="39.950000000000003" customHeight="1" x14ac:dyDescent="0.25">
      <c r="A1438" s="231"/>
      <c r="B1438" s="216">
        <v>516</v>
      </c>
      <c r="C1438" s="232">
        <v>43342</v>
      </c>
      <c r="D1438" s="233" t="s">
        <v>34</v>
      </c>
      <c r="E1438" s="216" t="s">
        <v>594</v>
      </c>
      <c r="F1438" s="216" t="s">
        <v>272</v>
      </c>
      <c r="G1438" s="216" t="s">
        <v>414</v>
      </c>
      <c r="H1438" s="216" t="s">
        <v>112</v>
      </c>
      <c r="I1438" s="234" t="s">
        <v>413</v>
      </c>
      <c r="J1438" s="234"/>
      <c r="K1438" s="234" t="s">
        <v>34</v>
      </c>
      <c r="L1438" s="216" t="s">
        <v>3</v>
      </c>
      <c r="M1438" s="178">
        <v>1</v>
      </c>
      <c r="N1438" s="235">
        <v>30</v>
      </c>
      <c r="O1438" s="234">
        <v>30</v>
      </c>
      <c r="P1438" s="234"/>
      <c r="Q1438" s="180" t="str">
        <f>IF(PEDIDOS[[#This Row],[Valor do item pago]]=PEDIDOS[[#This Row],[Total Item ]],"PAGO", "")</f>
        <v/>
      </c>
    </row>
    <row r="1439" spans="1:17" s="216" customFormat="1" ht="39.950000000000003" customHeight="1" x14ac:dyDescent="0.25">
      <c r="A1439" s="231"/>
      <c r="B1439" s="216">
        <v>515</v>
      </c>
      <c r="C1439" s="232">
        <v>43342</v>
      </c>
      <c r="D1439" s="233" t="s">
        <v>34</v>
      </c>
      <c r="E1439" s="216" t="s">
        <v>687</v>
      </c>
      <c r="F1439" s="216" t="s">
        <v>688</v>
      </c>
      <c r="G1439" s="216" t="s">
        <v>689</v>
      </c>
      <c r="H1439" s="216" t="s">
        <v>84</v>
      </c>
      <c r="I1439" s="234" t="s">
        <v>690</v>
      </c>
      <c r="J1439" s="234"/>
      <c r="K1439" s="234"/>
      <c r="L1439" s="216" t="s">
        <v>0</v>
      </c>
      <c r="M1439" s="178">
        <v>1</v>
      </c>
      <c r="N1439" s="235">
        <v>30</v>
      </c>
      <c r="O1439" s="234">
        <v>30</v>
      </c>
      <c r="P1439" s="234"/>
      <c r="Q1439" s="180" t="str">
        <f>IF(PEDIDOS[[#This Row],[Valor do item pago]]=PEDIDOS[[#This Row],[Total Item ]],"PAGO", "")</f>
        <v/>
      </c>
    </row>
    <row r="1440" spans="1:17" s="216" customFormat="1" ht="39.950000000000003" customHeight="1" x14ac:dyDescent="0.25">
      <c r="A1440" s="231"/>
      <c r="B1440" s="216">
        <v>514</v>
      </c>
      <c r="C1440" s="232">
        <v>43342</v>
      </c>
      <c r="D1440" s="233" t="s">
        <v>24</v>
      </c>
      <c r="E1440" s="216" t="s">
        <v>25</v>
      </c>
      <c r="F1440" s="216" t="s">
        <v>291</v>
      </c>
      <c r="G1440" s="216" t="s">
        <v>330</v>
      </c>
      <c r="H1440" s="216" t="s">
        <v>406</v>
      </c>
      <c r="I1440" s="234" t="s">
        <v>329</v>
      </c>
      <c r="J1440" s="234" t="s">
        <v>24</v>
      </c>
      <c r="K1440" s="234"/>
      <c r="L1440" s="216" t="s">
        <v>219</v>
      </c>
      <c r="M1440" s="178">
        <v>1</v>
      </c>
      <c r="N1440" s="235">
        <v>30</v>
      </c>
      <c r="O1440" s="234">
        <v>30</v>
      </c>
      <c r="P1440" s="234"/>
      <c r="Q1440" s="180" t="str">
        <f>IF(PEDIDOS[[#This Row],[Valor do item pago]]=PEDIDOS[[#This Row],[Total Item ]],"PAGO", "")</f>
        <v/>
      </c>
    </row>
    <row r="1441" spans="1:17" s="216" customFormat="1" ht="39.950000000000003" customHeight="1" x14ac:dyDescent="0.25">
      <c r="A1441" s="231"/>
      <c r="B1441" s="216">
        <v>513</v>
      </c>
      <c r="C1441" s="232">
        <v>43342</v>
      </c>
      <c r="D1441" s="233" t="s">
        <v>24</v>
      </c>
      <c r="E1441" s="216" t="s">
        <v>23</v>
      </c>
      <c r="F1441" s="216">
        <v>0</v>
      </c>
      <c r="G1441" s="216">
        <v>0</v>
      </c>
      <c r="H1441" s="216">
        <v>0</v>
      </c>
      <c r="I1441" s="234"/>
      <c r="J1441" s="234"/>
      <c r="K1441" s="234"/>
      <c r="L1441" s="216" t="s">
        <v>219</v>
      </c>
      <c r="M1441" s="178">
        <v>2</v>
      </c>
      <c r="N1441" s="235">
        <v>30</v>
      </c>
      <c r="O1441" s="234">
        <v>60</v>
      </c>
      <c r="P1441" s="234"/>
      <c r="Q1441" s="180" t="str">
        <f>IF(PEDIDOS[[#This Row],[Valor do item pago]]=PEDIDOS[[#This Row],[Total Item ]],"PAGO", "")</f>
        <v/>
      </c>
    </row>
    <row r="1442" spans="1:17" s="216" customFormat="1" ht="39.950000000000003" customHeight="1" x14ac:dyDescent="0.25">
      <c r="A1442" s="231"/>
      <c r="B1442" s="216">
        <v>512</v>
      </c>
      <c r="C1442" s="232">
        <v>43342</v>
      </c>
      <c r="D1442" s="233" t="s">
        <v>230</v>
      </c>
      <c r="E1442" s="216" t="s">
        <v>20</v>
      </c>
      <c r="F1442" s="216" t="s">
        <v>953</v>
      </c>
      <c r="G1442" s="216" t="s">
        <v>59</v>
      </c>
      <c r="H1442" s="216" t="s">
        <v>462</v>
      </c>
      <c r="I1442" s="234" t="s">
        <v>416</v>
      </c>
      <c r="J1442" s="234"/>
      <c r="K1442" s="234"/>
      <c r="L1442" s="216" t="s">
        <v>1</v>
      </c>
      <c r="M1442" s="178">
        <v>2</v>
      </c>
      <c r="N1442" s="235">
        <v>30</v>
      </c>
      <c r="O1442" s="234">
        <v>60</v>
      </c>
      <c r="P1442" s="234"/>
      <c r="Q1442" s="180" t="str">
        <f>IF(PEDIDOS[[#This Row],[Valor do item pago]]=PEDIDOS[[#This Row],[Total Item ]],"PAGO", "")</f>
        <v/>
      </c>
    </row>
    <row r="1443" spans="1:17" s="216" customFormat="1" ht="39.950000000000003" customHeight="1" x14ac:dyDescent="0.25">
      <c r="A1443" s="231"/>
      <c r="B1443" s="216">
        <v>511</v>
      </c>
      <c r="C1443" s="232">
        <v>43342</v>
      </c>
      <c r="D1443" s="233" t="s">
        <v>47</v>
      </c>
      <c r="E1443" s="216" t="s">
        <v>37</v>
      </c>
      <c r="F1443" s="216" t="s">
        <v>321</v>
      </c>
      <c r="G1443" s="216" t="s">
        <v>15</v>
      </c>
      <c r="H1443" s="216" t="s">
        <v>459</v>
      </c>
      <c r="I1443" s="234" t="s">
        <v>458</v>
      </c>
      <c r="J1443" s="234"/>
      <c r="K1443" s="234"/>
      <c r="L1443" s="216" t="s">
        <v>3</v>
      </c>
      <c r="M1443" s="178">
        <v>1</v>
      </c>
      <c r="N1443" s="235">
        <v>30</v>
      </c>
      <c r="O1443" s="234">
        <v>30</v>
      </c>
      <c r="P1443" s="234"/>
      <c r="Q1443" s="180" t="str">
        <f>IF(PEDIDOS[[#This Row],[Valor do item pago]]=PEDIDOS[[#This Row],[Total Item ]],"PAGO", "")</f>
        <v/>
      </c>
    </row>
    <row r="1444" spans="1:17" s="216" customFormat="1" ht="39.950000000000003" customHeight="1" x14ac:dyDescent="0.25">
      <c r="A1444" s="231"/>
      <c r="B1444" s="216">
        <v>510</v>
      </c>
      <c r="C1444" s="232">
        <v>43342</v>
      </c>
      <c r="D1444" s="233" t="s">
        <v>44</v>
      </c>
      <c r="E1444" s="216" t="s">
        <v>365</v>
      </c>
      <c r="F1444" s="216" t="s">
        <v>300</v>
      </c>
      <c r="G1444" s="216" t="s">
        <v>432</v>
      </c>
      <c r="H1444" s="216" t="s">
        <v>433</v>
      </c>
      <c r="I1444" s="234" t="s">
        <v>434</v>
      </c>
      <c r="J1444" s="234"/>
      <c r="K1444" s="234"/>
      <c r="L1444" s="216" t="s">
        <v>1</v>
      </c>
      <c r="M1444" s="178">
        <v>1</v>
      </c>
      <c r="N1444" s="235">
        <v>30</v>
      </c>
      <c r="O1444" s="234">
        <v>30</v>
      </c>
      <c r="P1444" s="234"/>
      <c r="Q1444" s="180" t="str">
        <f>IF(PEDIDOS[[#This Row],[Valor do item pago]]=PEDIDOS[[#This Row],[Total Item ]],"PAGO", "")</f>
        <v/>
      </c>
    </row>
    <row r="1445" spans="1:17" s="216" customFormat="1" ht="39.950000000000003" customHeight="1" x14ac:dyDescent="0.25">
      <c r="A1445" s="231"/>
      <c r="B1445" s="216">
        <v>509</v>
      </c>
      <c r="C1445" s="232">
        <v>43342</v>
      </c>
      <c r="D1445" s="233" t="s">
        <v>44</v>
      </c>
      <c r="E1445" s="216" t="s">
        <v>380</v>
      </c>
      <c r="F1445" s="216">
        <v>0</v>
      </c>
      <c r="G1445" s="216">
        <v>0</v>
      </c>
      <c r="H1445" s="216">
        <v>0</v>
      </c>
      <c r="I1445" s="234"/>
      <c r="J1445" s="234"/>
      <c r="K1445" s="234" t="s">
        <v>44</v>
      </c>
      <c r="L1445" s="216" t="s">
        <v>1</v>
      </c>
      <c r="M1445" s="178">
        <v>1</v>
      </c>
      <c r="N1445" s="235">
        <v>30</v>
      </c>
      <c r="O1445" s="234">
        <v>30</v>
      </c>
      <c r="P1445" s="234"/>
      <c r="Q1445" s="180" t="str">
        <f>IF(PEDIDOS[[#This Row],[Valor do item pago]]=PEDIDOS[[#This Row],[Total Item ]],"PAGO", "")</f>
        <v/>
      </c>
    </row>
    <row r="1446" spans="1:17" s="216" customFormat="1" ht="39.950000000000003" customHeight="1" x14ac:dyDescent="0.25">
      <c r="A1446" s="231"/>
      <c r="B1446" s="216">
        <v>508</v>
      </c>
      <c r="C1446" s="232">
        <v>43342</v>
      </c>
      <c r="D1446" s="233" t="s">
        <v>44</v>
      </c>
      <c r="E1446" s="216" t="s">
        <v>750</v>
      </c>
      <c r="F1446" s="216" t="s">
        <v>751</v>
      </c>
      <c r="G1446" s="216" t="s">
        <v>752</v>
      </c>
      <c r="H1446" s="216" t="s">
        <v>753</v>
      </c>
      <c r="I1446" s="234" t="s">
        <v>754</v>
      </c>
      <c r="J1446" s="234"/>
      <c r="K1446" s="234"/>
      <c r="L1446" s="216" t="s">
        <v>219</v>
      </c>
      <c r="M1446" s="178">
        <v>1</v>
      </c>
      <c r="N1446" s="235">
        <v>30</v>
      </c>
      <c r="O1446" s="234">
        <v>30</v>
      </c>
      <c r="P1446" s="234"/>
      <c r="Q1446" s="180" t="str">
        <f>IF(PEDIDOS[[#This Row],[Valor do item pago]]=PEDIDOS[[#This Row],[Total Item ]],"PAGO", "")</f>
        <v/>
      </c>
    </row>
    <row r="1447" spans="1:17" s="216" customFormat="1" ht="39.950000000000003" customHeight="1" x14ac:dyDescent="0.25">
      <c r="A1447" s="231"/>
      <c r="B1447" s="216">
        <v>507</v>
      </c>
      <c r="C1447" s="232">
        <v>43342</v>
      </c>
      <c r="D1447" s="233" t="s">
        <v>44</v>
      </c>
      <c r="E1447" s="216" t="s">
        <v>744</v>
      </c>
      <c r="F1447" s="216" t="s">
        <v>745</v>
      </c>
      <c r="G1447" s="216">
        <v>0</v>
      </c>
      <c r="H1447" s="216" t="s">
        <v>38</v>
      </c>
      <c r="I1447" s="234"/>
      <c r="J1447" s="234"/>
      <c r="K1447" s="234" t="s">
        <v>44</v>
      </c>
      <c r="L1447" s="216" t="s">
        <v>219</v>
      </c>
      <c r="M1447" s="178">
        <v>1</v>
      </c>
      <c r="N1447" s="235">
        <v>30</v>
      </c>
      <c r="O1447" s="234">
        <v>30</v>
      </c>
      <c r="P1447" s="234"/>
      <c r="Q1447" s="180" t="str">
        <f>IF(PEDIDOS[[#This Row],[Valor do item pago]]=PEDIDOS[[#This Row],[Total Item ]],"PAGO", "")</f>
        <v/>
      </c>
    </row>
    <row r="1448" spans="1:17" s="216" customFormat="1" ht="39.950000000000003" customHeight="1" x14ac:dyDescent="0.25">
      <c r="A1448" s="231"/>
      <c r="B1448" s="216">
        <v>506</v>
      </c>
      <c r="C1448" s="232">
        <v>43342</v>
      </c>
      <c r="D1448" s="233" t="s">
        <v>44</v>
      </c>
      <c r="E1448" s="216" t="s">
        <v>25</v>
      </c>
      <c r="F1448" s="216" t="s">
        <v>291</v>
      </c>
      <c r="G1448" s="216" t="s">
        <v>330</v>
      </c>
      <c r="H1448" s="216" t="s">
        <v>406</v>
      </c>
      <c r="I1448" s="234" t="s">
        <v>329</v>
      </c>
      <c r="J1448" s="234" t="s">
        <v>1025</v>
      </c>
      <c r="K1448" s="234"/>
      <c r="L1448" s="216" t="s">
        <v>219</v>
      </c>
      <c r="M1448" s="178">
        <v>2</v>
      </c>
      <c r="N1448" s="235">
        <v>30</v>
      </c>
      <c r="O1448" s="234">
        <v>60</v>
      </c>
      <c r="P1448" s="234">
        <v>60</v>
      </c>
      <c r="Q1448" s="180" t="str">
        <f>IF(PEDIDOS[[#This Row],[Valor do item pago]]=PEDIDOS[[#This Row],[Total Item ]],"PAGO", "")</f>
        <v>PAGO</v>
      </c>
    </row>
    <row r="1449" spans="1:17" s="216" customFormat="1" ht="39.950000000000003" customHeight="1" x14ac:dyDescent="0.25">
      <c r="A1449" s="231"/>
      <c r="B1449" s="216">
        <v>505</v>
      </c>
      <c r="C1449" s="232">
        <v>43342</v>
      </c>
      <c r="D1449" s="233" t="s">
        <v>44</v>
      </c>
      <c r="E1449" s="216" t="s">
        <v>741</v>
      </c>
      <c r="F1449" s="216" t="s">
        <v>742</v>
      </c>
      <c r="G1449" s="216">
        <v>0</v>
      </c>
      <c r="H1449" s="216" t="s">
        <v>40</v>
      </c>
      <c r="I1449" s="234"/>
      <c r="J1449" s="234"/>
      <c r="K1449" s="234" t="s">
        <v>741</v>
      </c>
      <c r="L1449" s="216" t="s">
        <v>235</v>
      </c>
      <c r="M1449" s="178">
        <v>1</v>
      </c>
      <c r="N1449" s="235">
        <v>30</v>
      </c>
      <c r="O1449" s="234">
        <v>30</v>
      </c>
      <c r="P1449" s="234"/>
      <c r="Q1449" s="180" t="str">
        <f>IF(PEDIDOS[[#This Row],[Valor do item pago]]=PEDIDOS[[#This Row],[Total Item ]],"PAGO", "")</f>
        <v/>
      </c>
    </row>
    <row r="1450" spans="1:17" s="216" customFormat="1" ht="39.950000000000003" customHeight="1" x14ac:dyDescent="0.25">
      <c r="A1450" s="231"/>
      <c r="B1450" s="216">
        <v>504</v>
      </c>
      <c r="C1450" s="232">
        <v>43342</v>
      </c>
      <c r="D1450" s="233" t="s">
        <v>231</v>
      </c>
      <c r="E1450" s="216" t="s">
        <v>382</v>
      </c>
      <c r="F1450" s="216">
        <v>0</v>
      </c>
      <c r="G1450" s="216">
        <v>0</v>
      </c>
      <c r="H1450" s="216">
        <v>0</v>
      </c>
      <c r="I1450" s="234"/>
      <c r="J1450" s="234"/>
      <c r="K1450" s="234" t="s">
        <v>956</v>
      </c>
      <c r="L1450" s="216" t="s">
        <v>1</v>
      </c>
      <c r="M1450" s="178">
        <v>1</v>
      </c>
      <c r="N1450" s="235">
        <v>30</v>
      </c>
      <c r="O1450" s="234">
        <v>30</v>
      </c>
      <c r="P1450" s="234"/>
      <c r="Q1450" s="180" t="str">
        <f>IF(PEDIDOS[[#This Row],[Valor do item pago]]=PEDIDOS[[#This Row],[Total Item ]],"PAGO", "")</f>
        <v/>
      </c>
    </row>
    <row r="1451" spans="1:17" s="216" customFormat="1" ht="39.950000000000003" customHeight="1" x14ac:dyDescent="0.25">
      <c r="A1451" s="231"/>
      <c r="B1451" s="216">
        <v>503</v>
      </c>
      <c r="C1451" s="232">
        <v>43342</v>
      </c>
      <c r="D1451" s="233" t="s">
        <v>231</v>
      </c>
      <c r="E1451" s="216" t="s">
        <v>362</v>
      </c>
      <c r="F1451" s="216">
        <v>0</v>
      </c>
      <c r="G1451" s="216" t="s">
        <v>186</v>
      </c>
      <c r="H1451" s="216" t="s">
        <v>398</v>
      </c>
      <c r="I1451" s="234" t="s">
        <v>431</v>
      </c>
      <c r="J1451" s="234"/>
      <c r="K1451" s="234" t="s">
        <v>955</v>
      </c>
      <c r="L1451" s="216" t="s">
        <v>219</v>
      </c>
      <c r="M1451" s="178">
        <v>1</v>
      </c>
      <c r="N1451" s="235">
        <v>30</v>
      </c>
      <c r="O1451" s="234">
        <v>30</v>
      </c>
      <c r="P1451" s="234"/>
      <c r="Q1451" s="180" t="str">
        <f>IF(PEDIDOS[[#This Row],[Valor do item pago]]=PEDIDOS[[#This Row],[Total Item ]],"PAGO", "")</f>
        <v/>
      </c>
    </row>
    <row r="1452" spans="1:17" s="216" customFormat="1" ht="39.950000000000003" customHeight="1" x14ac:dyDescent="0.25">
      <c r="A1452" s="231"/>
      <c r="B1452" s="216">
        <v>503</v>
      </c>
      <c r="C1452" s="232">
        <v>43342</v>
      </c>
      <c r="D1452" s="233" t="s">
        <v>231</v>
      </c>
      <c r="E1452" s="216" t="s">
        <v>362</v>
      </c>
      <c r="F1452" s="216">
        <v>0</v>
      </c>
      <c r="G1452" s="216" t="s">
        <v>186</v>
      </c>
      <c r="H1452" s="216" t="s">
        <v>398</v>
      </c>
      <c r="I1452" s="234" t="s">
        <v>431</v>
      </c>
      <c r="J1452" s="234"/>
      <c r="K1452" s="234" t="s">
        <v>955</v>
      </c>
      <c r="L1452" s="216" t="s">
        <v>0</v>
      </c>
      <c r="M1452" s="178">
        <v>1</v>
      </c>
      <c r="N1452" s="235">
        <v>30</v>
      </c>
      <c r="O1452" s="234">
        <v>30</v>
      </c>
      <c r="P1452" s="234"/>
      <c r="Q1452" s="180" t="str">
        <f>IF(PEDIDOS[[#This Row],[Valor do item pago]]=PEDIDOS[[#This Row],[Total Item ]],"PAGO", "")</f>
        <v/>
      </c>
    </row>
    <row r="1453" spans="1:17" s="216" customFormat="1" ht="39.950000000000003" customHeight="1" x14ac:dyDescent="0.25">
      <c r="A1453" s="231"/>
      <c r="B1453" s="216">
        <v>502</v>
      </c>
      <c r="C1453" s="232">
        <v>43342</v>
      </c>
      <c r="D1453" s="233" t="s">
        <v>231</v>
      </c>
      <c r="E1453" s="216" t="s">
        <v>375</v>
      </c>
      <c r="F1453" s="216">
        <v>0</v>
      </c>
      <c r="G1453" s="216">
        <v>0</v>
      </c>
      <c r="H1453" s="216" t="s">
        <v>40</v>
      </c>
      <c r="I1453" s="234"/>
      <c r="J1453" s="234"/>
      <c r="K1453" s="234"/>
      <c r="L1453" s="216" t="s">
        <v>3</v>
      </c>
      <c r="M1453" s="178">
        <v>2</v>
      </c>
      <c r="N1453" s="235">
        <v>30</v>
      </c>
      <c r="O1453" s="234">
        <v>60</v>
      </c>
      <c r="P1453" s="234"/>
      <c r="Q1453" s="180" t="str">
        <f>IF(PEDIDOS[[#This Row],[Valor do item pago]]=PEDIDOS[[#This Row],[Total Item ]],"PAGO", "")</f>
        <v/>
      </c>
    </row>
    <row r="1454" spans="1:17" s="216" customFormat="1" ht="39.950000000000003" customHeight="1" x14ac:dyDescent="0.25">
      <c r="A1454" s="231"/>
      <c r="B1454" s="216">
        <v>502</v>
      </c>
      <c r="C1454" s="232">
        <v>43342</v>
      </c>
      <c r="D1454" s="233" t="s">
        <v>231</v>
      </c>
      <c r="E1454" s="216" t="s">
        <v>375</v>
      </c>
      <c r="F1454" s="216">
        <v>0</v>
      </c>
      <c r="G1454" s="216">
        <v>0</v>
      </c>
      <c r="H1454" s="216" t="s">
        <v>40</v>
      </c>
      <c r="I1454" s="234"/>
      <c r="J1454" s="234"/>
      <c r="K1454" s="234"/>
      <c r="L1454" s="216" t="s">
        <v>219</v>
      </c>
      <c r="M1454" s="178">
        <v>1</v>
      </c>
      <c r="N1454" s="235">
        <v>30</v>
      </c>
      <c r="O1454" s="234">
        <v>30</v>
      </c>
      <c r="P1454" s="234"/>
      <c r="Q1454" s="180" t="str">
        <f>IF(PEDIDOS[[#This Row],[Valor do item pago]]=PEDIDOS[[#This Row],[Total Item ]],"PAGO", "")</f>
        <v/>
      </c>
    </row>
    <row r="1455" spans="1:17" s="216" customFormat="1" ht="39.950000000000003" customHeight="1" x14ac:dyDescent="0.25">
      <c r="A1455" s="231"/>
      <c r="B1455" s="216">
        <v>501</v>
      </c>
      <c r="C1455" s="232">
        <v>43342</v>
      </c>
      <c r="D1455" s="233" t="s">
        <v>231</v>
      </c>
      <c r="E1455" s="216" t="s">
        <v>704</v>
      </c>
      <c r="F1455" s="216" t="s">
        <v>805</v>
      </c>
      <c r="G1455" s="216">
        <v>0</v>
      </c>
      <c r="H1455" s="216" t="s">
        <v>40</v>
      </c>
      <c r="I1455" s="234"/>
      <c r="J1455" s="234"/>
      <c r="K1455" s="234" t="s">
        <v>40</v>
      </c>
      <c r="L1455" s="216" t="s">
        <v>1</v>
      </c>
      <c r="M1455" s="178">
        <v>1</v>
      </c>
      <c r="N1455" s="235">
        <v>30</v>
      </c>
      <c r="O1455" s="234">
        <v>30</v>
      </c>
      <c r="P1455" s="234"/>
      <c r="Q1455" s="180" t="str">
        <f>IF(PEDIDOS[[#This Row],[Valor do item pago]]=PEDIDOS[[#This Row],[Total Item ]],"PAGO", "")</f>
        <v/>
      </c>
    </row>
    <row r="1456" spans="1:17" s="216" customFormat="1" ht="39.950000000000003" customHeight="1" x14ac:dyDescent="0.25">
      <c r="A1456" s="231"/>
      <c r="B1456" s="216">
        <v>500</v>
      </c>
      <c r="C1456" s="232">
        <v>43342</v>
      </c>
      <c r="D1456" s="233" t="s">
        <v>231</v>
      </c>
      <c r="E1456" s="216" t="s">
        <v>90</v>
      </c>
      <c r="F1456" s="216" t="s">
        <v>806</v>
      </c>
      <c r="G1456" s="216">
        <v>0</v>
      </c>
      <c r="H1456" s="216" t="s">
        <v>40</v>
      </c>
      <c r="I1456" s="234"/>
      <c r="J1456" s="234"/>
      <c r="K1456" s="234" t="s">
        <v>90</v>
      </c>
      <c r="L1456" s="216" t="s">
        <v>219</v>
      </c>
      <c r="M1456" s="178">
        <v>2</v>
      </c>
      <c r="N1456" s="235">
        <v>30</v>
      </c>
      <c r="O1456" s="234">
        <v>60</v>
      </c>
      <c r="P1456" s="234"/>
      <c r="Q1456" s="180" t="str">
        <f>IF(PEDIDOS[[#This Row],[Valor do item pago]]=PEDIDOS[[#This Row],[Total Item ]],"PAGO", "")</f>
        <v/>
      </c>
    </row>
    <row r="1457" spans="1:17" s="216" customFormat="1" ht="39.950000000000003" customHeight="1" x14ac:dyDescent="0.25">
      <c r="A1457" s="231"/>
      <c r="B1457" s="216">
        <v>499</v>
      </c>
      <c r="C1457" s="232">
        <v>43342</v>
      </c>
      <c r="D1457" s="233" t="s">
        <v>231</v>
      </c>
      <c r="E1457" s="216" t="s">
        <v>597</v>
      </c>
      <c r="F1457" s="216" t="s">
        <v>703</v>
      </c>
      <c r="G1457" s="216" t="s">
        <v>596</v>
      </c>
      <c r="H1457" s="216" t="s">
        <v>84</v>
      </c>
      <c r="I1457" s="234" t="s">
        <v>679</v>
      </c>
      <c r="J1457" s="234"/>
      <c r="K1457" s="234"/>
      <c r="L1457" s="216" t="s">
        <v>219</v>
      </c>
      <c r="M1457" s="178">
        <v>1</v>
      </c>
      <c r="N1457" s="235">
        <v>30</v>
      </c>
      <c r="O1457" s="234">
        <v>30</v>
      </c>
      <c r="P1457" s="234">
        <v>30</v>
      </c>
      <c r="Q1457" s="180" t="str">
        <f>IF(PEDIDOS[[#This Row],[Valor do item pago]]=PEDIDOS[[#This Row],[Total Item ]],"PAGO", "")</f>
        <v>PAGO</v>
      </c>
    </row>
    <row r="1458" spans="1:17" s="216" customFormat="1" ht="39.950000000000003" customHeight="1" x14ac:dyDescent="0.25">
      <c r="A1458" s="231"/>
      <c r="B1458" s="216">
        <v>498</v>
      </c>
      <c r="C1458" s="232">
        <v>43342</v>
      </c>
      <c r="D1458" s="233" t="s">
        <v>231</v>
      </c>
      <c r="E1458" s="216" t="s">
        <v>356</v>
      </c>
      <c r="F1458" s="216" t="s">
        <v>700</v>
      </c>
      <c r="G1458" s="216" t="s">
        <v>699</v>
      </c>
      <c r="H1458" s="216" t="s">
        <v>701</v>
      </c>
      <c r="I1458" s="234" t="s">
        <v>702</v>
      </c>
      <c r="J1458" s="234" t="s">
        <v>599</v>
      </c>
      <c r="K1458" s="234"/>
      <c r="L1458" s="216" t="s">
        <v>219</v>
      </c>
      <c r="M1458" s="178">
        <v>1</v>
      </c>
      <c r="N1458" s="235">
        <v>30</v>
      </c>
      <c r="O1458" s="234">
        <v>30</v>
      </c>
      <c r="P1458" s="234"/>
      <c r="Q1458" s="180" t="str">
        <f>IF(PEDIDOS[[#This Row],[Valor do item pago]]=PEDIDOS[[#This Row],[Total Item ]],"PAGO", "")</f>
        <v/>
      </c>
    </row>
    <row r="1459" spans="1:17" s="216" customFormat="1" ht="39.950000000000003" customHeight="1" x14ac:dyDescent="0.25">
      <c r="A1459" s="231"/>
      <c r="B1459" s="216">
        <v>497</v>
      </c>
      <c r="C1459" s="232">
        <v>43342</v>
      </c>
      <c r="D1459" s="233" t="s">
        <v>231</v>
      </c>
      <c r="E1459" s="216" t="s">
        <v>346</v>
      </c>
      <c r="F1459" s="216" t="s">
        <v>286</v>
      </c>
      <c r="G1459" s="216" t="s">
        <v>595</v>
      </c>
      <c r="H1459" s="216" t="s">
        <v>512</v>
      </c>
      <c r="I1459" s="234" t="s">
        <v>655</v>
      </c>
      <c r="J1459" s="234"/>
      <c r="K1459" s="234"/>
      <c r="L1459" s="216" t="s">
        <v>219</v>
      </c>
      <c r="M1459" s="178">
        <v>1</v>
      </c>
      <c r="N1459" s="235">
        <v>30</v>
      </c>
      <c r="O1459" s="234">
        <v>30</v>
      </c>
      <c r="P1459" s="234"/>
      <c r="Q1459" s="180" t="str">
        <f>IF(PEDIDOS[[#This Row],[Valor do item pago]]=PEDIDOS[[#This Row],[Total Item ]],"PAGO", "")</f>
        <v/>
      </c>
    </row>
    <row r="1460" spans="1:17" s="216" customFormat="1" ht="39.950000000000003" customHeight="1" x14ac:dyDescent="0.25">
      <c r="A1460" s="231"/>
      <c r="B1460" s="216">
        <v>496</v>
      </c>
      <c r="C1460" s="232">
        <v>43342</v>
      </c>
      <c r="D1460" s="233" t="s">
        <v>49</v>
      </c>
      <c r="E1460" s="216" t="s">
        <v>25</v>
      </c>
      <c r="F1460" s="216" t="s">
        <v>291</v>
      </c>
      <c r="G1460" s="216" t="s">
        <v>330</v>
      </c>
      <c r="H1460" s="216" t="s">
        <v>406</v>
      </c>
      <c r="I1460" s="234" t="s">
        <v>329</v>
      </c>
      <c r="J1460" s="234" t="s">
        <v>49</v>
      </c>
      <c r="K1460" s="234"/>
      <c r="L1460" s="216" t="s">
        <v>1</v>
      </c>
      <c r="M1460" s="178">
        <v>2</v>
      </c>
      <c r="N1460" s="235">
        <v>30</v>
      </c>
      <c r="O1460" s="234">
        <v>60</v>
      </c>
      <c r="P1460" s="234">
        <v>60</v>
      </c>
      <c r="Q1460" s="180" t="str">
        <f>IF(PEDIDOS[[#This Row],[Valor do item pago]]=PEDIDOS[[#This Row],[Total Item ]],"PAGO", "")</f>
        <v>PAGO</v>
      </c>
    </row>
    <row r="1461" spans="1:17" s="216" customFormat="1" ht="39.950000000000003" customHeight="1" x14ac:dyDescent="0.25">
      <c r="A1461" s="231"/>
      <c r="B1461" s="216">
        <v>495</v>
      </c>
      <c r="C1461" s="232">
        <v>43342</v>
      </c>
      <c r="D1461" s="233" t="s">
        <v>49</v>
      </c>
      <c r="E1461" s="216" t="s">
        <v>615</v>
      </c>
      <c r="F1461" s="216" t="s">
        <v>324</v>
      </c>
      <c r="G1461" s="216" t="s">
        <v>616</v>
      </c>
      <c r="H1461" s="216" t="s">
        <v>523</v>
      </c>
      <c r="I1461" s="234" t="s">
        <v>735</v>
      </c>
      <c r="J1461" s="234"/>
      <c r="K1461" s="234"/>
      <c r="L1461" s="216" t="s">
        <v>3</v>
      </c>
      <c r="M1461" s="178">
        <v>1</v>
      </c>
      <c r="N1461" s="235">
        <v>30</v>
      </c>
      <c r="O1461" s="234">
        <v>30</v>
      </c>
      <c r="P1461" s="234">
        <v>30</v>
      </c>
      <c r="Q1461" s="180" t="str">
        <f>IF(PEDIDOS[[#This Row],[Valor do item pago]]=PEDIDOS[[#This Row],[Total Item ]],"PAGO", "")</f>
        <v>PAGO</v>
      </c>
    </row>
    <row r="1462" spans="1:17" s="216" customFormat="1" ht="39.950000000000003" customHeight="1" x14ac:dyDescent="0.25">
      <c r="A1462" s="231"/>
      <c r="B1462" s="216">
        <v>495</v>
      </c>
      <c r="C1462" s="232">
        <v>43342</v>
      </c>
      <c r="D1462" s="233" t="s">
        <v>49</v>
      </c>
      <c r="E1462" s="216" t="s">
        <v>615</v>
      </c>
      <c r="F1462" s="216" t="s">
        <v>324</v>
      </c>
      <c r="G1462" s="216" t="s">
        <v>616</v>
      </c>
      <c r="H1462" s="216" t="s">
        <v>523</v>
      </c>
      <c r="I1462" s="234" t="s">
        <v>735</v>
      </c>
      <c r="J1462" s="234"/>
      <c r="K1462" s="234"/>
      <c r="L1462" s="216" t="s">
        <v>1</v>
      </c>
      <c r="M1462" s="178">
        <v>1</v>
      </c>
      <c r="N1462" s="235">
        <v>30</v>
      </c>
      <c r="O1462" s="234">
        <v>30</v>
      </c>
      <c r="P1462" s="234">
        <v>30</v>
      </c>
      <c r="Q1462" s="180" t="str">
        <f>IF(PEDIDOS[[#This Row],[Valor do item pago]]=PEDIDOS[[#This Row],[Total Item ]],"PAGO", "")</f>
        <v>PAGO</v>
      </c>
    </row>
    <row r="1463" spans="1:17" s="216" customFormat="1" ht="39.950000000000003" customHeight="1" x14ac:dyDescent="0.25">
      <c r="A1463" s="231"/>
      <c r="B1463" s="216">
        <v>494</v>
      </c>
      <c r="C1463" s="232">
        <v>43342</v>
      </c>
      <c r="D1463" s="233" t="s">
        <v>49</v>
      </c>
      <c r="E1463" s="216" t="s">
        <v>614</v>
      </c>
      <c r="F1463" s="216" t="s">
        <v>289</v>
      </c>
      <c r="G1463" s="216" t="s">
        <v>72</v>
      </c>
      <c r="H1463" s="216" t="s">
        <v>393</v>
      </c>
      <c r="I1463" s="234" t="s">
        <v>423</v>
      </c>
      <c r="J1463" s="234"/>
      <c r="K1463" s="234"/>
      <c r="L1463" s="216" t="s">
        <v>219</v>
      </c>
      <c r="M1463" s="178">
        <v>1</v>
      </c>
      <c r="N1463" s="235">
        <v>30</v>
      </c>
      <c r="O1463" s="234">
        <v>30</v>
      </c>
      <c r="P1463" s="234">
        <v>30</v>
      </c>
      <c r="Q1463" s="180" t="str">
        <f>IF(PEDIDOS[[#This Row],[Valor do item pago]]=PEDIDOS[[#This Row],[Total Item ]],"PAGO", "")</f>
        <v>PAGO</v>
      </c>
    </row>
    <row r="1464" spans="1:17" s="216" customFormat="1" ht="39.950000000000003" customHeight="1" x14ac:dyDescent="0.25">
      <c r="A1464" s="231"/>
      <c r="B1464" s="216">
        <v>493</v>
      </c>
      <c r="C1464" s="232">
        <v>43342</v>
      </c>
      <c r="D1464" s="233" t="s">
        <v>49</v>
      </c>
      <c r="E1464" s="216" t="s">
        <v>611</v>
      </c>
      <c r="F1464" s="216" t="s">
        <v>276</v>
      </c>
      <c r="G1464" s="216" t="s">
        <v>66</v>
      </c>
      <c r="H1464" s="216" t="s">
        <v>390</v>
      </c>
      <c r="I1464" s="234" t="s">
        <v>253</v>
      </c>
      <c r="J1464" s="234"/>
      <c r="K1464" s="234"/>
      <c r="L1464" s="216" t="s">
        <v>3</v>
      </c>
      <c r="M1464" s="178">
        <v>1</v>
      </c>
      <c r="N1464" s="235">
        <v>30</v>
      </c>
      <c r="O1464" s="234">
        <v>30</v>
      </c>
      <c r="P1464" s="234"/>
      <c r="Q1464" s="180" t="str">
        <f>IF(PEDIDOS[[#This Row],[Valor do item pago]]=PEDIDOS[[#This Row],[Total Item ]],"PAGO", "")</f>
        <v/>
      </c>
    </row>
    <row r="1465" spans="1:17" s="216" customFormat="1" ht="39.950000000000003" customHeight="1" x14ac:dyDescent="0.25">
      <c r="A1465" s="231"/>
      <c r="B1465" s="216">
        <v>492</v>
      </c>
      <c r="C1465" s="232">
        <v>43342</v>
      </c>
      <c r="D1465" s="233" t="s">
        <v>48</v>
      </c>
      <c r="E1465" s="216" t="s">
        <v>1022</v>
      </c>
      <c r="F1465" s="216" t="s">
        <v>1021</v>
      </c>
      <c r="G1465" s="216" t="s">
        <v>1023</v>
      </c>
      <c r="H1465" s="216" t="s">
        <v>780</v>
      </c>
      <c r="I1465" s="234" t="s">
        <v>1024</v>
      </c>
      <c r="J1465" s="234"/>
      <c r="K1465" s="234"/>
      <c r="L1465" s="216" t="s">
        <v>3</v>
      </c>
      <c r="M1465" s="178">
        <v>1</v>
      </c>
      <c r="N1465" s="235">
        <v>30</v>
      </c>
      <c r="O1465" s="234">
        <v>30</v>
      </c>
      <c r="P1465" s="234"/>
      <c r="Q1465" s="180" t="str">
        <f>IF(PEDIDOS[[#This Row],[Valor do item pago]]=PEDIDOS[[#This Row],[Total Item ]],"PAGO", "")</f>
        <v/>
      </c>
    </row>
    <row r="1466" spans="1:17" s="216" customFormat="1" ht="39.950000000000003" customHeight="1" x14ac:dyDescent="0.25">
      <c r="A1466" s="231"/>
      <c r="B1466" s="216">
        <v>491</v>
      </c>
      <c r="C1466" s="232">
        <v>43342</v>
      </c>
      <c r="D1466" s="233" t="s">
        <v>48</v>
      </c>
      <c r="E1466" s="216" t="s">
        <v>1019</v>
      </c>
      <c r="F1466" s="216" t="s">
        <v>1020</v>
      </c>
      <c r="G1466" s="216" t="s">
        <v>1017</v>
      </c>
      <c r="H1466" s="216" t="s">
        <v>581</v>
      </c>
      <c r="I1466" s="234" t="s">
        <v>1018</v>
      </c>
      <c r="J1466" s="234"/>
      <c r="K1466" s="234"/>
      <c r="L1466" s="216" t="s">
        <v>219</v>
      </c>
      <c r="M1466" s="178">
        <v>1</v>
      </c>
      <c r="N1466" s="235">
        <v>30</v>
      </c>
      <c r="O1466" s="234">
        <v>30</v>
      </c>
      <c r="P1466" s="234">
        <v>30</v>
      </c>
      <c r="Q1466" s="180" t="str">
        <f>IF(PEDIDOS[[#This Row],[Valor do item pago]]=PEDIDOS[[#This Row],[Total Item ]],"PAGO", "")</f>
        <v>PAGO</v>
      </c>
    </row>
    <row r="1467" spans="1:17" s="216" customFormat="1" ht="39.950000000000003" customHeight="1" x14ac:dyDescent="0.25">
      <c r="A1467" s="231"/>
      <c r="B1467" s="216">
        <v>490</v>
      </c>
      <c r="C1467" s="232">
        <v>43342</v>
      </c>
      <c r="D1467" s="233" t="s">
        <v>48</v>
      </c>
      <c r="E1467" s="216" t="s">
        <v>1014</v>
      </c>
      <c r="F1467" s="216" t="s">
        <v>320</v>
      </c>
      <c r="G1467" s="216" t="s">
        <v>1015</v>
      </c>
      <c r="H1467" s="216" t="s">
        <v>544</v>
      </c>
      <c r="I1467" s="234" t="s">
        <v>1016</v>
      </c>
      <c r="J1467" s="234"/>
      <c r="K1467" s="234"/>
      <c r="L1467" s="216" t="s">
        <v>219</v>
      </c>
      <c r="M1467" s="178">
        <v>1</v>
      </c>
      <c r="N1467" s="235">
        <v>30</v>
      </c>
      <c r="O1467" s="234">
        <v>30</v>
      </c>
      <c r="P1467" s="234"/>
      <c r="Q1467" s="180" t="str">
        <f>IF(PEDIDOS[[#This Row],[Valor do item pago]]=PEDIDOS[[#This Row],[Total Item ]],"PAGO", "")</f>
        <v/>
      </c>
    </row>
    <row r="1468" spans="1:17" s="216" customFormat="1" ht="39.950000000000003" customHeight="1" x14ac:dyDescent="0.25">
      <c r="A1468" s="231"/>
      <c r="B1468" s="216">
        <v>489</v>
      </c>
      <c r="C1468" s="232">
        <v>43342</v>
      </c>
      <c r="D1468" s="233" t="s">
        <v>48</v>
      </c>
      <c r="E1468" s="216" t="s">
        <v>213</v>
      </c>
      <c r="F1468" s="216" t="s">
        <v>284</v>
      </c>
      <c r="G1468" s="216" t="s">
        <v>85</v>
      </c>
      <c r="H1468" s="216" t="s">
        <v>420</v>
      </c>
      <c r="I1468" s="234" t="s">
        <v>419</v>
      </c>
      <c r="J1468" s="234" t="s">
        <v>887</v>
      </c>
      <c r="K1468" s="234"/>
      <c r="L1468" s="216" t="s">
        <v>1</v>
      </c>
      <c r="M1468" s="178">
        <v>1</v>
      </c>
      <c r="N1468" s="235">
        <v>30</v>
      </c>
      <c r="O1468" s="234">
        <v>30</v>
      </c>
      <c r="P1468" s="234"/>
      <c r="Q1468" s="180" t="str">
        <f>IF(PEDIDOS[[#This Row],[Valor do item pago]]=PEDIDOS[[#This Row],[Total Item ]],"PAGO", "")</f>
        <v/>
      </c>
    </row>
    <row r="1469" spans="1:17" s="216" customFormat="1" ht="39.950000000000003" customHeight="1" x14ac:dyDescent="0.25">
      <c r="A1469" s="231"/>
      <c r="B1469" s="216">
        <v>488</v>
      </c>
      <c r="C1469" s="232">
        <v>43342</v>
      </c>
      <c r="D1469" s="233" t="s">
        <v>48</v>
      </c>
      <c r="E1469" s="216" t="s">
        <v>610</v>
      </c>
      <c r="F1469" s="216" t="s">
        <v>319</v>
      </c>
      <c r="G1469" s="216" t="s">
        <v>455</v>
      </c>
      <c r="H1469" s="216" t="s">
        <v>396</v>
      </c>
      <c r="I1469" s="234" t="s">
        <v>454</v>
      </c>
      <c r="J1469" s="234"/>
      <c r="K1469" s="234"/>
      <c r="L1469" s="216" t="s">
        <v>3</v>
      </c>
      <c r="M1469" s="178">
        <v>1</v>
      </c>
      <c r="N1469" s="235">
        <v>30</v>
      </c>
      <c r="O1469" s="234">
        <v>30</v>
      </c>
      <c r="P1469" s="234">
        <v>30</v>
      </c>
      <c r="Q1469" s="180" t="str">
        <f>IF(PEDIDOS[[#This Row],[Valor do item pago]]=PEDIDOS[[#This Row],[Total Item ]],"PAGO", "")</f>
        <v>PAGO</v>
      </c>
    </row>
    <row r="1470" spans="1:17" s="216" customFormat="1" ht="39.950000000000003" customHeight="1" x14ac:dyDescent="0.25">
      <c r="A1470" s="231"/>
      <c r="B1470" s="216">
        <v>487</v>
      </c>
      <c r="C1470" s="232">
        <v>43342</v>
      </c>
      <c r="D1470" s="233" t="s">
        <v>477</v>
      </c>
      <c r="E1470" s="216" t="s">
        <v>1009</v>
      </c>
      <c r="F1470" s="216" t="s">
        <v>1012</v>
      </c>
      <c r="G1470" s="216" t="s">
        <v>1010</v>
      </c>
      <c r="H1470" s="216" t="s">
        <v>593</v>
      </c>
      <c r="I1470" s="234" t="s">
        <v>1011</v>
      </c>
      <c r="J1470" s="234"/>
      <c r="K1470" s="234"/>
      <c r="L1470" s="216" t="s">
        <v>219</v>
      </c>
      <c r="M1470" s="178">
        <v>1</v>
      </c>
      <c r="N1470" s="235">
        <v>30</v>
      </c>
      <c r="O1470" s="234">
        <v>30</v>
      </c>
      <c r="P1470" s="234"/>
      <c r="Q1470" s="180" t="str">
        <f>IF(PEDIDOS[[#This Row],[Valor do item pago]]=PEDIDOS[[#This Row],[Total Item ]],"PAGO", "")</f>
        <v/>
      </c>
    </row>
    <row r="1471" spans="1:17" s="216" customFormat="1" ht="39.950000000000003" customHeight="1" x14ac:dyDescent="0.25">
      <c r="A1471" s="231"/>
      <c r="B1471" s="216">
        <v>486</v>
      </c>
      <c r="C1471" s="232">
        <v>43342</v>
      </c>
      <c r="D1471" s="233" t="s">
        <v>477</v>
      </c>
      <c r="E1471" s="216" t="s">
        <v>968</v>
      </c>
      <c r="F1471" s="216" t="s">
        <v>969</v>
      </c>
      <c r="G1471" s="216" t="s">
        <v>970</v>
      </c>
      <c r="H1471" s="216" t="s">
        <v>52</v>
      </c>
      <c r="I1471" s="234" t="s">
        <v>971</v>
      </c>
      <c r="J1471" s="234" t="s">
        <v>1008</v>
      </c>
      <c r="K1471" s="234"/>
      <c r="L1471" s="216" t="s">
        <v>219</v>
      </c>
      <c r="M1471" s="178">
        <v>1</v>
      </c>
      <c r="N1471" s="235">
        <v>30</v>
      </c>
      <c r="O1471" s="234">
        <v>30</v>
      </c>
      <c r="P1471" s="234">
        <v>30</v>
      </c>
      <c r="Q1471" s="180" t="str">
        <f>IF(PEDIDOS[[#This Row],[Valor do item pago]]=PEDIDOS[[#This Row],[Total Item ]],"PAGO", "")</f>
        <v>PAGO</v>
      </c>
    </row>
    <row r="1472" spans="1:17" s="216" customFormat="1" ht="39.950000000000003" customHeight="1" x14ac:dyDescent="0.25">
      <c r="A1472" s="231"/>
      <c r="B1472" s="216">
        <v>485</v>
      </c>
      <c r="C1472" s="232">
        <v>43342</v>
      </c>
      <c r="D1472" s="233" t="s">
        <v>477</v>
      </c>
      <c r="E1472" s="216" t="s">
        <v>367</v>
      </c>
      <c r="F1472" s="216" t="s">
        <v>323</v>
      </c>
      <c r="G1472" s="216" t="s">
        <v>151</v>
      </c>
      <c r="H1472" s="216" t="s">
        <v>392</v>
      </c>
      <c r="I1472" s="234" t="s">
        <v>656</v>
      </c>
      <c r="J1472" s="234"/>
      <c r="K1472" s="234"/>
      <c r="L1472" s="216" t="s">
        <v>219</v>
      </c>
      <c r="M1472" s="178">
        <v>1</v>
      </c>
      <c r="N1472" s="235">
        <v>30</v>
      </c>
      <c r="O1472" s="234">
        <v>30</v>
      </c>
      <c r="P1472" s="234"/>
      <c r="Q1472" s="180" t="str">
        <f>IF(PEDIDOS[[#This Row],[Valor do item pago]]=PEDIDOS[[#This Row],[Total Item ]],"PAGO", "")</f>
        <v/>
      </c>
    </row>
    <row r="1473" spans="1:17" s="216" customFormat="1" ht="39.950000000000003" customHeight="1" x14ac:dyDescent="0.25">
      <c r="A1473" s="231"/>
      <c r="B1473" s="216">
        <v>484</v>
      </c>
      <c r="C1473" s="232">
        <v>43342</v>
      </c>
      <c r="D1473" s="233" t="s">
        <v>477</v>
      </c>
      <c r="E1473" s="216" t="s">
        <v>364</v>
      </c>
      <c r="F1473" s="216" t="s">
        <v>882</v>
      </c>
      <c r="G1473" s="216" t="s">
        <v>883</v>
      </c>
      <c r="H1473" s="216" t="s">
        <v>441</v>
      </c>
      <c r="I1473" s="234" t="s">
        <v>884</v>
      </c>
      <c r="J1473" s="234"/>
      <c r="K1473" s="234" t="s">
        <v>477</v>
      </c>
      <c r="L1473" s="216" t="s">
        <v>219</v>
      </c>
      <c r="M1473" s="178">
        <v>1</v>
      </c>
      <c r="N1473" s="235">
        <v>30</v>
      </c>
      <c r="O1473" s="234">
        <v>30</v>
      </c>
      <c r="P1473" s="234"/>
      <c r="Q1473" s="180" t="str">
        <f>IF(PEDIDOS[[#This Row],[Valor do item pago]]=PEDIDOS[[#This Row],[Total Item ]],"PAGO", "")</f>
        <v/>
      </c>
    </row>
    <row r="1474" spans="1:17" s="216" customFormat="1" ht="39.950000000000003" customHeight="1" x14ac:dyDescent="0.25">
      <c r="A1474" s="231"/>
      <c r="B1474" s="216">
        <v>483</v>
      </c>
      <c r="C1474" s="232">
        <v>43342</v>
      </c>
      <c r="D1474" s="233" t="s">
        <v>477</v>
      </c>
      <c r="E1474" s="216" t="s">
        <v>363</v>
      </c>
      <c r="F1474" s="216">
        <v>0</v>
      </c>
      <c r="G1474" s="216">
        <v>0</v>
      </c>
      <c r="H1474" s="216">
        <v>0</v>
      </c>
      <c r="I1474" s="234"/>
      <c r="J1474" s="234"/>
      <c r="K1474" s="234" t="s">
        <v>40</v>
      </c>
      <c r="L1474" s="216" t="s">
        <v>1</v>
      </c>
      <c r="M1474" s="178">
        <v>1</v>
      </c>
      <c r="N1474" s="235">
        <v>30</v>
      </c>
      <c r="O1474" s="234">
        <v>30</v>
      </c>
      <c r="P1474" s="234">
        <v>30</v>
      </c>
      <c r="Q1474" s="180" t="str">
        <f>IF(PEDIDOS[[#This Row],[Valor do item pago]]=PEDIDOS[[#This Row],[Total Item ]],"PAGO", "")</f>
        <v>PAGO</v>
      </c>
    </row>
    <row r="1475" spans="1:17" s="216" customFormat="1" ht="39.950000000000003" customHeight="1" x14ac:dyDescent="0.25">
      <c r="A1475" s="231"/>
      <c r="B1475" s="216">
        <v>482</v>
      </c>
      <c r="C1475" s="232">
        <v>43342</v>
      </c>
      <c r="D1475" s="233" t="s">
        <v>477</v>
      </c>
      <c r="E1475" s="216" t="s">
        <v>11</v>
      </c>
      <c r="F1475" s="216" t="s">
        <v>882</v>
      </c>
      <c r="G1475" s="216" t="s">
        <v>883</v>
      </c>
      <c r="H1475" s="216" t="s">
        <v>441</v>
      </c>
      <c r="I1475" s="234" t="s">
        <v>884</v>
      </c>
      <c r="J1475" s="234"/>
      <c r="K1475" s="234" t="s">
        <v>477</v>
      </c>
      <c r="L1475" s="216" t="s">
        <v>1</v>
      </c>
      <c r="M1475" s="178">
        <v>4</v>
      </c>
      <c r="N1475" s="235">
        <v>30</v>
      </c>
      <c r="O1475" s="234">
        <v>120</v>
      </c>
      <c r="P1475" s="234">
        <v>120</v>
      </c>
      <c r="Q1475" s="180" t="str">
        <f>IF(PEDIDOS[[#This Row],[Valor do item pago]]=PEDIDOS[[#This Row],[Total Item ]],"PAGO", "")</f>
        <v>PAGO</v>
      </c>
    </row>
    <row r="1476" spans="1:17" s="216" customFormat="1" ht="39.950000000000003" customHeight="1" x14ac:dyDescent="0.25">
      <c r="A1476" s="231"/>
      <c r="B1476" s="216">
        <v>481</v>
      </c>
      <c r="C1476" s="232">
        <v>43342</v>
      </c>
      <c r="D1476" s="233" t="s">
        <v>477</v>
      </c>
      <c r="E1476" s="216" t="s">
        <v>506</v>
      </c>
      <c r="F1476" s="216" t="s">
        <v>503</v>
      </c>
      <c r="G1476" s="216" t="s">
        <v>504</v>
      </c>
      <c r="H1476" s="216" t="s">
        <v>505</v>
      </c>
      <c r="I1476" s="234" t="s">
        <v>660</v>
      </c>
      <c r="J1476" s="234"/>
      <c r="K1476" s="234"/>
      <c r="L1476" s="216" t="s">
        <v>1</v>
      </c>
      <c r="M1476" s="178">
        <v>2</v>
      </c>
      <c r="N1476" s="235">
        <v>30</v>
      </c>
      <c r="O1476" s="234">
        <v>60</v>
      </c>
      <c r="P1476" s="234"/>
      <c r="Q1476" s="180" t="str">
        <f>IF(PEDIDOS[[#This Row],[Valor do item pago]]=PEDIDOS[[#This Row],[Total Item ]],"PAGO", "")</f>
        <v/>
      </c>
    </row>
    <row r="1477" spans="1:17" s="216" customFormat="1" ht="39.950000000000003" customHeight="1" x14ac:dyDescent="0.25">
      <c r="A1477" s="231"/>
      <c r="B1477" s="216">
        <v>480</v>
      </c>
      <c r="C1477" s="232">
        <v>43342</v>
      </c>
      <c r="D1477" s="233" t="s">
        <v>477</v>
      </c>
      <c r="E1477" s="216" t="s">
        <v>355</v>
      </c>
      <c r="F1477" s="216" t="s">
        <v>294</v>
      </c>
      <c r="G1477" s="216" t="s">
        <v>145</v>
      </c>
      <c r="H1477" s="216" t="s">
        <v>390</v>
      </c>
      <c r="I1477" s="234" t="s">
        <v>251</v>
      </c>
      <c r="J1477" s="234"/>
      <c r="K1477" s="234"/>
      <c r="L1477" s="216" t="s">
        <v>3</v>
      </c>
      <c r="M1477" s="178">
        <v>2</v>
      </c>
      <c r="N1477" s="235">
        <v>30</v>
      </c>
      <c r="O1477" s="234">
        <v>60</v>
      </c>
      <c r="P1477" s="234"/>
      <c r="Q1477" s="180" t="str">
        <f>IF(PEDIDOS[[#This Row],[Valor do item pago]]=PEDIDOS[[#This Row],[Total Item ]],"PAGO", "")</f>
        <v/>
      </c>
    </row>
    <row r="1478" spans="1:17" s="216" customFormat="1" ht="39.950000000000003" customHeight="1" x14ac:dyDescent="0.25">
      <c r="A1478" s="231"/>
      <c r="B1478" s="216">
        <v>479</v>
      </c>
      <c r="C1478" s="232">
        <v>43342</v>
      </c>
      <c r="D1478" s="233" t="s">
        <v>477</v>
      </c>
      <c r="E1478" s="216" t="s">
        <v>877</v>
      </c>
      <c r="F1478" s="216" t="s">
        <v>876</v>
      </c>
      <c r="G1478" s="216" t="s">
        <v>878</v>
      </c>
      <c r="H1478" s="216" t="s">
        <v>441</v>
      </c>
      <c r="I1478" s="234" t="s">
        <v>879</v>
      </c>
      <c r="J1478" s="234"/>
      <c r="K1478" s="234" t="s">
        <v>477</v>
      </c>
      <c r="L1478" s="216" t="s">
        <v>235</v>
      </c>
      <c r="M1478" s="178">
        <v>1</v>
      </c>
      <c r="N1478" s="235">
        <v>30</v>
      </c>
      <c r="O1478" s="234">
        <v>30</v>
      </c>
      <c r="P1478" s="234"/>
      <c r="Q1478" s="180" t="str">
        <f>IF(PEDIDOS[[#This Row],[Valor do item pago]]=PEDIDOS[[#This Row],[Total Item ]],"PAGO", "")</f>
        <v/>
      </c>
    </row>
    <row r="1479" spans="1:17" s="216" customFormat="1" ht="39.950000000000003" customHeight="1" x14ac:dyDescent="0.25">
      <c r="A1479" s="231"/>
      <c r="B1479" s="216">
        <v>478</v>
      </c>
      <c r="C1479" s="232">
        <v>43342</v>
      </c>
      <c r="D1479" s="233" t="s">
        <v>477</v>
      </c>
      <c r="E1479" s="216" t="s">
        <v>25</v>
      </c>
      <c r="F1479" s="216" t="s">
        <v>291</v>
      </c>
      <c r="G1479" s="216" t="s">
        <v>330</v>
      </c>
      <c r="H1479" s="216" t="s">
        <v>406</v>
      </c>
      <c r="I1479" s="234" t="s">
        <v>329</v>
      </c>
      <c r="J1479" s="234" t="s">
        <v>1007</v>
      </c>
      <c r="K1479" s="234"/>
      <c r="L1479" s="216" t="s">
        <v>219</v>
      </c>
      <c r="M1479" s="178">
        <v>5</v>
      </c>
      <c r="N1479" s="235">
        <v>30</v>
      </c>
      <c r="O1479" s="234">
        <v>150</v>
      </c>
      <c r="P1479" s="234">
        <v>150</v>
      </c>
      <c r="Q1479" s="180" t="str">
        <f>IF(PEDIDOS[[#This Row],[Valor do item pago]]=PEDIDOS[[#This Row],[Total Item ]],"PAGO", "")</f>
        <v>PAGO</v>
      </c>
    </row>
    <row r="1480" spans="1:17" s="216" customFormat="1" ht="39.950000000000003" customHeight="1" x14ac:dyDescent="0.25">
      <c r="A1480" s="231"/>
      <c r="B1480" s="216">
        <v>477</v>
      </c>
      <c r="C1480" s="232">
        <v>43342</v>
      </c>
      <c r="D1480" s="233" t="s">
        <v>477</v>
      </c>
      <c r="E1480" s="216" t="s">
        <v>343</v>
      </c>
      <c r="F1480" s="216" t="s">
        <v>826</v>
      </c>
      <c r="G1480" s="216" t="s">
        <v>875</v>
      </c>
      <c r="H1480" s="216" t="s">
        <v>441</v>
      </c>
      <c r="I1480" s="234" t="s">
        <v>874</v>
      </c>
      <c r="J1480" s="234"/>
      <c r="K1480" s="234" t="s">
        <v>477</v>
      </c>
      <c r="L1480" s="216" t="s">
        <v>1</v>
      </c>
      <c r="M1480" s="178">
        <v>1</v>
      </c>
      <c r="N1480" s="235">
        <v>30</v>
      </c>
      <c r="O1480" s="234">
        <v>30</v>
      </c>
      <c r="P1480" s="234"/>
      <c r="Q1480" s="180" t="str">
        <f>IF(PEDIDOS[[#This Row],[Valor do item pago]]=PEDIDOS[[#This Row],[Total Item ]],"PAGO", "")</f>
        <v/>
      </c>
    </row>
    <row r="1481" spans="1:17" s="216" customFormat="1" ht="39.950000000000003" customHeight="1" x14ac:dyDescent="0.25">
      <c r="A1481" s="231"/>
      <c r="B1481" s="216">
        <v>476</v>
      </c>
      <c r="C1481" s="232">
        <v>43342</v>
      </c>
      <c r="D1481" s="233" t="s">
        <v>477</v>
      </c>
      <c r="E1481" s="216" t="s">
        <v>342</v>
      </c>
      <c r="F1481" s="216" t="s">
        <v>282</v>
      </c>
      <c r="G1481" s="216" t="s">
        <v>156</v>
      </c>
      <c r="H1481" s="216" t="s">
        <v>389</v>
      </c>
      <c r="I1481" s="234" t="s">
        <v>255</v>
      </c>
      <c r="J1481" s="234"/>
      <c r="K1481" s="234"/>
      <c r="L1481" s="216" t="s">
        <v>1</v>
      </c>
      <c r="M1481" s="178">
        <v>1</v>
      </c>
      <c r="N1481" s="235">
        <v>30</v>
      </c>
      <c r="O1481" s="234">
        <v>30</v>
      </c>
      <c r="P1481" s="234"/>
      <c r="Q1481" s="180" t="str">
        <f>IF(PEDIDOS[[#This Row],[Valor do item pago]]=PEDIDOS[[#This Row],[Total Item ]],"PAGO", "")</f>
        <v/>
      </c>
    </row>
    <row r="1482" spans="1:17" s="216" customFormat="1" ht="39.950000000000003" customHeight="1" x14ac:dyDescent="0.25">
      <c r="A1482" s="231"/>
      <c r="B1482" s="216">
        <v>475</v>
      </c>
      <c r="C1482" s="232">
        <v>43342</v>
      </c>
      <c r="D1482" s="233" t="s">
        <v>477</v>
      </c>
      <c r="E1482" s="216" t="s">
        <v>338</v>
      </c>
      <c r="F1482" s="216" t="s">
        <v>273</v>
      </c>
      <c r="G1482" s="216" t="s">
        <v>500</v>
      </c>
      <c r="H1482" s="216" t="s">
        <v>501</v>
      </c>
      <c r="I1482" s="234" t="s">
        <v>654</v>
      </c>
      <c r="J1482" s="234"/>
      <c r="K1482" s="234"/>
      <c r="L1482" s="216" t="s">
        <v>1</v>
      </c>
      <c r="M1482" s="178">
        <v>1</v>
      </c>
      <c r="N1482" s="235">
        <v>30</v>
      </c>
      <c r="O1482" s="234">
        <v>30</v>
      </c>
      <c r="P1482" s="234"/>
      <c r="Q1482" s="180" t="str">
        <f>IF(PEDIDOS[[#This Row],[Valor do item pago]]=PEDIDOS[[#This Row],[Total Item ]],"PAGO", "")</f>
        <v/>
      </c>
    </row>
    <row r="1483" spans="1:17" s="216" customFormat="1" ht="39.950000000000003" customHeight="1" x14ac:dyDescent="0.25">
      <c r="A1483" s="231"/>
      <c r="B1483" s="216">
        <v>474</v>
      </c>
      <c r="C1483" s="232">
        <v>43342</v>
      </c>
      <c r="D1483" s="233" t="s">
        <v>477</v>
      </c>
      <c r="E1483" s="216" t="s">
        <v>902</v>
      </c>
      <c r="F1483" s="216" t="s">
        <v>903</v>
      </c>
      <c r="G1483" s="216" t="s">
        <v>904</v>
      </c>
      <c r="H1483" s="216" t="s">
        <v>520</v>
      </c>
      <c r="I1483" s="234" t="s">
        <v>905</v>
      </c>
      <c r="J1483" s="234"/>
      <c r="K1483" s="234"/>
      <c r="L1483" s="216" t="s">
        <v>219</v>
      </c>
      <c r="M1483" s="178">
        <v>1</v>
      </c>
      <c r="N1483" s="235">
        <v>30</v>
      </c>
      <c r="O1483" s="234">
        <v>30</v>
      </c>
      <c r="P1483" s="234"/>
      <c r="Q1483" s="180" t="str">
        <f>IF(PEDIDOS[[#This Row],[Valor do item pago]]=PEDIDOS[[#This Row],[Total Item ]],"PAGO", "")</f>
        <v/>
      </c>
    </row>
    <row r="1484" spans="1:17" s="216" customFormat="1" ht="39.950000000000003" customHeight="1" x14ac:dyDescent="0.25">
      <c r="A1484" s="231"/>
      <c r="B1484" s="216">
        <v>473</v>
      </c>
      <c r="C1484" s="232">
        <v>43342</v>
      </c>
      <c r="D1484" s="233" t="s">
        <v>477</v>
      </c>
      <c r="E1484" s="216" t="s">
        <v>898</v>
      </c>
      <c r="F1484" s="216" t="s">
        <v>899</v>
      </c>
      <c r="G1484" s="216" t="s">
        <v>900</v>
      </c>
      <c r="H1484" s="216" t="s">
        <v>651</v>
      </c>
      <c r="I1484" s="234" t="s">
        <v>901</v>
      </c>
      <c r="J1484" s="234"/>
      <c r="K1484" s="234"/>
      <c r="L1484" s="216" t="s">
        <v>219</v>
      </c>
      <c r="M1484" s="178">
        <v>1</v>
      </c>
      <c r="N1484" s="235">
        <v>30</v>
      </c>
      <c r="O1484" s="234">
        <v>30</v>
      </c>
      <c r="P1484" s="234"/>
      <c r="Q1484" s="180" t="str">
        <f>IF(PEDIDOS[[#This Row],[Valor do item pago]]=PEDIDOS[[#This Row],[Total Item ]],"PAGO", "")</f>
        <v/>
      </c>
    </row>
    <row r="1485" spans="1:17" s="216" customFormat="1" ht="39.950000000000003" customHeight="1" x14ac:dyDescent="0.25">
      <c r="A1485" s="231"/>
      <c r="B1485" s="216">
        <v>472</v>
      </c>
      <c r="C1485" s="232">
        <v>43342</v>
      </c>
      <c r="D1485" s="233" t="s">
        <v>477</v>
      </c>
      <c r="E1485" s="216" t="s">
        <v>534</v>
      </c>
      <c r="F1485" s="216">
        <v>0</v>
      </c>
      <c r="G1485" s="216">
        <v>0</v>
      </c>
      <c r="H1485" s="216">
        <v>0</v>
      </c>
      <c r="I1485" s="234"/>
      <c r="J1485" s="234"/>
      <c r="K1485" s="234" t="s">
        <v>477</v>
      </c>
      <c r="L1485" s="216" t="s">
        <v>1</v>
      </c>
      <c r="M1485" s="178">
        <v>1</v>
      </c>
      <c r="N1485" s="235">
        <v>30</v>
      </c>
      <c r="O1485" s="234">
        <v>30</v>
      </c>
      <c r="P1485" s="234"/>
      <c r="Q1485" s="180" t="str">
        <f>IF(PEDIDOS[[#This Row],[Valor do item pago]]=PEDIDOS[[#This Row],[Total Item ]],"PAGO", "")</f>
        <v/>
      </c>
    </row>
    <row r="1486" spans="1:17" s="216" customFormat="1" ht="39.950000000000003" customHeight="1" x14ac:dyDescent="0.25">
      <c r="A1486" s="231"/>
      <c r="B1486" s="216">
        <v>471</v>
      </c>
      <c r="C1486" s="232">
        <v>43342</v>
      </c>
      <c r="D1486" s="233" t="s">
        <v>477</v>
      </c>
      <c r="E1486" s="216" t="s">
        <v>379</v>
      </c>
      <c r="F1486" s="216" t="s">
        <v>318</v>
      </c>
      <c r="G1486" s="216" t="s">
        <v>258</v>
      </c>
      <c r="H1486" s="216" t="s">
        <v>404</v>
      </c>
      <c r="I1486" s="234" t="s">
        <v>257</v>
      </c>
      <c r="J1486" s="234"/>
      <c r="K1486" s="234"/>
      <c r="L1486" s="216" t="s">
        <v>1</v>
      </c>
      <c r="M1486" s="178">
        <v>1</v>
      </c>
      <c r="N1486" s="235">
        <v>30</v>
      </c>
      <c r="O1486" s="234">
        <v>30</v>
      </c>
      <c r="P1486" s="234"/>
      <c r="Q1486" s="180" t="str">
        <f>IF(PEDIDOS[[#This Row],[Valor do item pago]]=PEDIDOS[[#This Row],[Total Item ]],"PAGO", "")</f>
        <v/>
      </c>
    </row>
    <row r="1487" spans="1:17" s="216" customFormat="1" ht="39.950000000000003" customHeight="1" x14ac:dyDescent="0.25">
      <c r="A1487" s="231"/>
      <c r="B1487" s="216">
        <v>470</v>
      </c>
      <c r="C1487" s="232">
        <v>43342</v>
      </c>
      <c r="D1487" s="233" t="s">
        <v>477</v>
      </c>
      <c r="E1487" s="216" t="s">
        <v>547</v>
      </c>
      <c r="F1487" s="216" t="s">
        <v>521</v>
      </c>
      <c r="G1487" s="216" t="s">
        <v>522</v>
      </c>
      <c r="H1487" s="216" t="s">
        <v>523</v>
      </c>
      <c r="I1487" s="234" t="s">
        <v>663</v>
      </c>
      <c r="J1487" s="234"/>
      <c r="K1487" s="234"/>
      <c r="L1487" s="216" t="s">
        <v>235</v>
      </c>
      <c r="M1487" s="178">
        <v>1</v>
      </c>
      <c r="N1487" s="235">
        <v>30</v>
      </c>
      <c r="O1487" s="234">
        <v>30</v>
      </c>
      <c r="P1487" s="234"/>
      <c r="Q1487" s="180" t="str">
        <f>IF(PEDIDOS[[#This Row],[Valor do item pago]]=PEDIDOS[[#This Row],[Total Item ]],"PAGO", "")</f>
        <v/>
      </c>
    </row>
    <row r="1488" spans="1:17" s="216" customFormat="1" ht="39.950000000000003" customHeight="1" x14ac:dyDescent="0.25">
      <c r="A1488" s="231"/>
      <c r="B1488" s="216">
        <v>469</v>
      </c>
      <c r="C1488" s="232">
        <v>43342</v>
      </c>
      <c r="D1488" s="233" t="s">
        <v>477</v>
      </c>
      <c r="E1488" s="216" t="s">
        <v>836</v>
      </c>
      <c r="F1488" s="216" t="s">
        <v>837</v>
      </c>
      <c r="G1488" s="216" t="s">
        <v>449</v>
      </c>
      <c r="H1488" s="216" t="s">
        <v>403</v>
      </c>
      <c r="I1488" s="234" t="s">
        <v>450</v>
      </c>
      <c r="J1488" s="234"/>
      <c r="K1488" s="234"/>
      <c r="L1488" s="216" t="s">
        <v>1</v>
      </c>
      <c r="M1488" s="178">
        <v>1</v>
      </c>
      <c r="N1488" s="235">
        <v>30</v>
      </c>
      <c r="O1488" s="234">
        <v>30</v>
      </c>
      <c r="P1488" s="234">
        <v>30</v>
      </c>
      <c r="Q1488" s="180" t="str">
        <f>IF(PEDIDOS[[#This Row],[Valor do item pago]]=PEDIDOS[[#This Row],[Total Item ]],"PAGO", "")</f>
        <v>PAGO</v>
      </c>
    </row>
    <row r="1489" spans="1:17" s="216" customFormat="1" ht="39.950000000000003" customHeight="1" x14ac:dyDescent="0.25">
      <c r="A1489" s="231"/>
      <c r="B1489" s="216">
        <v>468</v>
      </c>
      <c r="C1489" s="232">
        <v>43342</v>
      </c>
      <c r="D1489" s="233" t="s">
        <v>477</v>
      </c>
      <c r="E1489" s="216" t="s">
        <v>369</v>
      </c>
      <c r="F1489" s="216" t="s">
        <v>308</v>
      </c>
      <c r="G1489" s="216" t="s">
        <v>148</v>
      </c>
      <c r="H1489" s="216" t="s">
        <v>400</v>
      </c>
      <c r="I1489" s="234" t="s">
        <v>444</v>
      </c>
      <c r="J1489" s="234"/>
      <c r="K1489" s="234"/>
      <c r="L1489" s="216" t="s">
        <v>219</v>
      </c>
      <c r="M1489" s="178">
        <v>1</v>
      </c>
      <c r="N1489" s="235">
        <v>30</v>
      </c>
      <c r="O1489" s="234">
        <v>30</v>
      </c>
      <c r="P1489" s="234"/>
      <c r="Q1489" s="180" t="str">
        <f>IF(PEDIDOS[[#This Row],[Valor do item pago]]=PEDIDOS[[#This Row],[Total Item ]],"PAGO", "")</f>
        <v/>
      </c>
    </row>
    <row r="1490" spans="1:17" s="216" customFormat="1" ht="39.950000000000003" customHeight="1" x14ac:dyDescent="0.25">
      <c r="A1490" s="231"/>
      <c r="B1490" s="216">
        <v>467</v>
      </c>
      <c r="C1490" s="232">
        <v>43342</v>
      </c>
      <c r="D1490" s="233" t="s">
        <v>477</v>
      </c>
      <c r="E1490" s="216" t="s">
        <v>845</v>
      </c>
      <c r="F1490" s="216" t="s">
        <v>846</v>
      </c>
      <c r="G1490" s="216" t="s">
        <v>847</v>
      </c>
      <c r="H1490" s="216" t="s">
        <v>461</v>
      </c>
      <c r="I1490" s="234" t="s">
        <v>848</v>
      </c>
      <c r="J1490" s="234" t="s">
        <v>1006</v>
      </c>
      <c r="K1490" s="234"/>
      <c r="L1490" s="216" t="s">
        <v>1</v>
      </c>
      <c r="M1490" s="178">
        <v>1</v>
      </c>
      <c r="N1490" s="235">
        <v>30</v>
      </c>
      <c r="O1490" s="234">
        <v>30</v>
      </c>
      <c r="P1490" s="234">
        <v>30</v>
      </c>
      <c r="Q1490" s="180" t="str">
        <f>IF(PEDIDOS[[#This Row],[Valor do item pago]]=PEDIDOS[[#This Row],[Total Item ]],"PAGO", "")</f>
        <v>PAGO</v>
      </c>
    </row>
    <row r="1491" spans="1:17" s="216" customFormat="1" ht="39.950000000000003" customHeight="1" x14ac:dyDescent="0.25">
      <c r="A1491" s="231"/>
      <c r="B1491" s="216">
        <v>466</v>
      </c>
      <c r="C1491" s="232">
        <v>43322</v>
      </c>
      <c r="D1491" s="233" t="s">
        <v>477</v>
      </c>
      <c r="E1491" s="216" t="s">
        <v>378</v>
      </c>
      <c r="F1491" s="216" t="s">
        <v>316</v>
      </c>
      <c r="G1491" s="216" t="s">
        <v>175</v>
      </c>
      <c r="H1491" s="216" t="s">
        <v>397</v>
      </c>
      <c r="I1491" s="234" t="s">
        <v>452</v>
      </c>
      <c r="J1491" s="234"/>
      <c r="K1491" s="234"/>
      <c r="L1491" s="216" t="s">
        <v>1</v>
      </c>
      <c r="M1491" s="178">
        <v>1</v>
      </c>
      <c r="N1491" s="235">
        <v>30</v>
      </c>
      <c r="O1491" s="234">
        <v>30</v>
      </c>
      <c r="P1491" s="234"/>
      <c r="Q1491" s="180" t="str">
        <f>IF(PEDIDOS[[#This Row],[Valor do item pago]]=PEDIDOS[[#This Row],[Total Item ]],"PAGO", "")</f>
        <v/>
      </c>
    </row>
    <row r="1492" spans="1:17" s="216" customFormat="1" ht="39.950000000000003" customHeight="1" x14ac:dyDescent="0.25">
      <c r="A1492" s="231"/>
      <c r="B1492" s="216">
        <v>465</v>
      </c>
      <c r="C1492" s="232">
        <v>43322</v>
      </c>
      <c r="D1492" s="233" t="s">
        <v>477</v>
      </c>
      <c r="E1492" s="216" t="s">
        <v>1002</v>
      </c>
      <c r="F1492" s="216" t="s">
        <v>1003</v>
      </c>
      <c r="G1492" s="216" t="s">
        <v>1004</v>
      </c>
      <c r="H1492" s="216" t="s">
        <v>549</v>
      </c>
      <c r="I1492" s="234" t="s">
        <v>1005</v>
      </c>
      <c r="J1492" s="234"/>
      <c r="K1492" s="234"/>
      <c r="L1492" s="216" t="s">
        <v>219</v>
      </c>
      <c r="M1492" s="178">
        <v>1</v>
      </c>
      <c r="N1492" s="235">
        <v>30</v>
      </c>
      <c r="O1492" s="234">
        <v>30</v>
      </c>
      <c r="P1492" s="234"/>
      <c r="Q1492" s="180" t="str">
        <f>IF(PEDIDOS[[#This Row],[Valor do item pago]]=PEDIDOS[[#This Row],[Total Item ]],"PAGO", "")</f>
        <v/>
      </c>
    </row>
    <row r="1493" spans="1:17" s="216" customFormat="1" ht="39.950000000000003" customHeight="1" x14ac:dyDescent="0.25">
      <c r="A1493" s="231"/>
      <c r="B1493" s="216">
        <v>464</v>
      </c>
      <c r="C1493" s="232">
        <v>43322</v>
      </c>
      <c r="D1493" s="233" t="s">
        <v>477</v>
      </c>
      <c r="E1493" s="216" t="s">
        <v>1001</v>
      </c>
      <c r="F1493" s="216" t="s">
        <v>907</v>
      </c>
      <c r="G1493" s="216" t="s">
        <v>909</v>
      </c>
      <c r="H1493" s="216" t="s">
        <v>461</v>
      </c>
      <c r="I1493" s="234" t="s">
        <v>908</v>
      </c>
      <c r="J1493" s="234"/>
      <c r="K1493" s="234"/>
      <c r="L1493" s="216" t="s">
        <v>1</v>
      </c>
      <c r="M1493" s="178">
        <v>1</v>
      </c>
      <c r="N1493" s="235">
        <v>30</v>
      </c>
      <c r="O1493" s="234">
        <v>30</v>
      </c>
      <c r="P1493" s="234">
        <v>30</v>
      </c>
      <c r="Q1493" s="180" t="str">
        <f>IF(PEDIDOS[[#This Row],[Valor do item pago]]=PEDIDOS[[#This Row],[Total Item ]],"PAGO", "")</f>
        <v>PAGO</v>
      </c>
    </row>
    <row r="1494" spans="1:17" s="216" customFormat="1" ht="39.950000000000003" customHeight="1" x14ac:dyDescent="0.25">
      <c r="A1494" s="231"/>
      <c r="B1494" s="216">
        <v>463</v>
      </c>
      <c r="C1494" s="232">
        <v>43322</v>
      </c>
      <c r="D1494" s="233" t="s">
        <v>477</v>
      </c>
      <c r="E1494" s="216" t="s">
        <v>996</v>
      </c>
      <c r="F1494" s="216" t="s">
        <v>997</v>
      </c>
      <c r="G1494" s="216" t="s">
        <v>998</v>
      </c>
      <c r="H1494" s="216" t="s">
        <v>544</v>
      </c>
      <c r="I1494" s="234" t="s">
        <v>999</v>
      </c>
      <c r="J1494" s="234"/>
      <c r="K1494" s="234"/>
      <c r="L1494" s="216" t="s">
        <v>1</v>
      </c>
      <c r="M1494" s="178">
        <v>1</v>
      </c>
      <c r="N1494" s="235">
        <v>30</v>
      </c>
      <c r="O1494" s="234">
        <v>30</v>
      </c>
      <c r="P1494" s="234">
        <v>30</v>
      </c>
      <c r="Q1494" s="180" t="str">
        <f>IF(PEDIDOS[[#This Row],[Valor do item pago]]=PEDIDOS[[#This Row],[Total Item ]],"PAGO", "")</f>
        <v>PAGO</v>
      </c>
    </row>
    <row r="1495" spans="1:17" s="216" customFormat="1" ht="39.950000000000003" customHeight="1" x14ac:dyDescent="0.25">
      <c r="A1495" s="231"/>
      <c r="B1495" s="216">
        <v>462</v>
      </c>
      <c r="C1495" s="232">
        <v>43322</v>
      </c>
      <c r="D1495" s="233" t="s">
        <v>477</v>
      </c>
      <c r="E1495" s="216" t="s">
        <v>991</v>
      </c>
      <c r="F1495" s="216" t="s">
        <v>992</v>
      </c>
      <c r="G1495" s="216" t="s">
        <v>994</v>
      </c>
      <c r="H1495" s="216" t="s">
        <v>52</v>
      </c>
      <c r="I1495" s="234" t="s">
        <v>995</v>
      </c>
      <c r="J1495" s="234"/>
      <c r="K1495" s="234"/>
      <c r="L1495" s="216" t="s">
        <v>219</v>
      </c>
      <c r="M1495" s="178">
        <v>1</v>
      </c>
      <c r="N1495" s="235">
        <v>30</v>
      </c>
      <c r="O1495" s="234">
        <v>30</v>
      </c>
      <c r="P1495" s="234">
        <v>30</v>
      </c>
      <c r="Q1495" s="180" t="str">
        <f>IF(PEDIDOS[[#This Row],[Valor do item pago]]=PEDIDOS[[#This Row],[Total Item ]],"PAGO", "")</f>
        <v>PAGO</v>
      </c>
    </row>
    <row r="1496" spans="1:17" s="216" customFormat="1" ht="39.950000000000003" customHeight="1" x14ac:dyDescent="0.25">
      <c r="A1496" s="231"/>
      <c r="B1496" s="216">
        <v>461</v>
      </c>
      <c r="C1496" s="232">
        <v>43322</v>
      </c>
      <c r="D1496" s="233" t="s">
        <v>477</v>
      </c>
      <c r="E1496" s="216" t="s">
        <v>987</v>
      </c>
      <c r="F1496" s="216" t="s">
        <v>988</v>
      </c>
      <c r="G1496" s="216" t="s">
        <v>989</v>
      </c>
      <c r="H1496" s="216" t="s">
        <v>398</v>
      </c>
      <c r="I1496" s="234" t="s">
        <v>990</v>
      </c>
      <c r="J1496" s="234"/>
      <c r="K1496" s="234"/>
      <c r="L1496" s="216" t="s">
        <v>219</v>
      </c>
      <c r="M1496" s="178">
        <v>2</v>
      </c>
      <c r="N1496" s="235">
        <v>30</v>
      </c>
      <c r="O1496" s="234">
        <v>60</v>
      </c>
      <c r="P1496" s="234">
        <v>60</v>
      </c>
      <c r="Q1496" s="180" t="str">
        <f>IF(PEDIDOS[[#This Row],[Valor do item pago]]=PEDIDOS[[#This Row],[Total Item ]],"PAGO", "")</f>
        <v>PAGO</v>
      </c>
    </row>
    <row r="1497" spans="1:17" s="216" customFormat="1" ht="39.950000000000003" customHeight="1" x14ac:dyDescent="0.25">
      <c r="A1497" s="231"/>
      <c r="B1497" s="216">
        <v>460</v>
      </c>
      <c r="C1497" s="232">
        <v>43322</v>
      </c>
      <c r="D1497" s="233" t="s">
        <v>477</v>
      </c>
      <c r="E1497" s="216" t="s">
        <v>984</v>
      </c>
      <c r="F1497" s="216" t="s">
        <v>985</v>
      </c>
      <c r="G1497" s="216" t="s">
        <v>986</v>
      </c>
      <c r="H1497" s="216" t="s">
        <v>84</v>
      </c>
      <c r="I1497" s="234" t="s">
        <v>453</v>
      </c>
      <c r="J1497" s="234"/>
      <c r="K1497" s="234"/>
      <c r="L1497" s="216" t="s">
        <v>219</v>
      </c>
      <c r="M1497" s="178">
        <v>1</v>
      </c>
      <c r="N1497" s="235">
        <v>30</v>
      </c>
      <c r="O1497" s="234">
        <v>30</v>
      </c>
      <c r="P1497" s="234">
        <v>30</v>
      </c>
      <c r="Q1497" s="180" t="str">
        <f>IF(PEDIDOS[[#This Row],[Valor do item pago]]=PEDIDOS[[#This Row],[Total Item ]],"PAGO", "")</f>
        <v>PAGO</v>
      </c>
    </row>
    <row r="1498" spans="1:17" s="216" customFormat="1" ht="39.950000000000003" customHeight="1" x14ac:dyDescent="0.25">
      <c r="A1498" s="231"/>
      <c r="B1498" s="216">
        <v>459</v>
      </c>
      <c r="C1498" s="232">
        <v>43322</v>
      </c>
      <c r="D1498" s="233" t="s">
        <v>477</v>
      </c>
      <c r="E1498" s="216" t="s">
        <v>849</v>
      </c>
      <c r="F1498" s="216" t="s">
        <v>850</v>
      </c>
      <c r="G1498" s="216" t="s">
        <v>851</v>
      </c>
      <c r="H1498" s="216" t="s">
        <v>84</v>
      </c>
      <c r="I1498" s="234" t="s">
        <v>436</v>
      </c>
      <c r="J1498" s="234"/>
      <c r="K1498" s="234"/>
      <c r="L1498" s="216" t="s">
        <v>219</v>
      </c>
      <c r="M1498" s="178">
        <v>1</v>
      </c>
      <c r="N1498" s="235">
        <v>30</v>
      </c>
      <c r="O1498" s="234">
        <v>30</v>
      </c>
      <c r="P1498" s="234"/>
      <c r="Q1498" s="180" t="str">
        <f>IF(PEDIDOS[[#This Row],[Valor do item pago]]=PEDIDOS[[#This Row],[Total Item ]],"PAGO", "")</f>
        <v/>
      </c>
    </row>
    <row r="1499" spans="1:17" s="216" customFormat="1" ht="39.950000000000003" customHeight="1" x14ac:dyDescent="0.25">
      <c r="A1499" s="231"/>
      <c r="B1499" s="216">
        <v>458</v>
      </c>
      <c r="C1499" s="232">
        <v>43322</v>
      </c>
      <c r="D1499" s="233" t="s">
        <v>477</v>
      </c>
      <c r="E1499" s="216" t="s">
        <v>980</v>
      </c>
      <c r="F1499" s="216" t="s">
        <v>981</v>
      </c>
      <c r="G1499" s="216" t="s">
        <v>982</v>
      </c>
      <c r="H1499" s="216" t="s">
        <v>544</v>
      </c>
      <c r="I1499" s="234" t="s">
        <v>983</v>
      </c>
      <c r="J1499" s="234"/>
      <c r="K1499" s="234"/>
      <c r="L1499" s="216" t="s">
        <v>219</v>
      </c>
      <c r="M1499" s="178">
        <v>1</v>
      </c>
      <c r="N1499" s="235">
        <v>30</v>
      </c>
      <c r="O1499" s="234">
        <v>30</v>
      </c>
      <c r="P1499" s="234"/>
      <c r="Q1499" s="180" t="str">
        <f>IF(PEDIDOS[[#This Row],[Valor do item pago]]=PEDIDOS[[#This Row],[Total Item ]],"PAGO", "")</f>
        <v/>
      </c>
    </row>
    <row r="1500" spans="1:17" s="216" customFormat="1" ht="39.950000000000003" customHeight="1" x14ac:dyDescent="0.25">
      <c r="A1500" s="231"/>
      <c r="B1500" s="216">
        <v>457</v>
      </c>
      <c r="C1500" s="232">
        <v>43322</v>
      </c>
      <c r="D1500" s="233" t="s">
        <v>477</v>
      </c>
      <c r="E1500" s="216" t="s">
        <v>902</v>
      </c>
      <c r="F1500" s="216" t="s">
        <v>903</v>
      </c>
      <c r="G1500" s="216" t="s">
        <v>904</v>
      </c>
      <c r="H1500" s="216" t="s">
        <v>520</v>
      </c>
      <c r="I1500" s="234" t="s">
        <v>905</v>
      </c>
      <c r="J1500" s="234"/>
      <c r="K1500" s="234"/>
      <c r="L1500" s="216" t="s">
        <v>1</v>
      </c>
      <c r="M1500" s="178">
        <v>1</v>
      </c>
      <c r="N1500" s="235">
        <v>30</v>
      </c>
      <c r="O1500" s="234">
        <v>30</v>
      </c>
      <c r="P1500" s="234"/>
      <c r="Q1500" s="180" t="str">
        <f>IF(PEDIDOS[[#This Row],[Valor do item pago]]=PEDIDOS[[#This Row],[Total Item ]],"PAGO", "")</f>
        <v/>
      </c>
    </row>
    <row r="1501" spans="1:17" s="216" customFormat="1" ht="39.950000000000003" customHeight="1" x14ac:dyDescent="0.25">
      <c r="A1501" s="231"/>
      <c r="B1501" s="216">
        <v>456</v>
      </c>
      <c r="C1501" s="232">
        <v>43322</v>
      </c>
      <c r="D1501" s="233" t="s">
        <v>477</v>
      </c>
      <c r="E1501" s="216" t="s">
        <v>534</v>
      </c>
      <c r="F1501" s="216">
        <v>0</v>
      </c>
      <c r="G1501" s="216">
        <v>0</v>
      </c>
      <c r="H1501" s="216">
        <v>0</v>
      </c>
      <c r="I1501" s="234"/>
      <c r="J1501" s="234"/>
      <c r="K1501" s="234" t="s">
        <v>477</v>
      </c>
      <c r="L1501" s="216" t="s">
        <v>219</v>
      </c>
      <c r="M1501" s="178">
        <v>1</v>
      </c>
      <c r="N1501" s="235">
        <v>30</v>
      </c>
      <c r="O1501" s="234">
        <v>30</v>
      </c>
      <c r="P1501" s="234"/>
      <c r="Q1501" s="180" t="str">
        <f>IF(PEDIDOS[[#This Row],[Valor do item pago]]=PEDIDOS[[#This Row],[Total Item ]],"PAGO", "")</f>
        <v/>
      </c>
    </row>
    <row r="1502" spans="1:17" s="216" customFormat="1" ht="39.950000000000003" customHeight="1" x14ac:dyDescent="0.25">
      <c r="A1502" s="231"/>
      <c r="B1502" s="216">
        <v>455</v>
      </c>
      <c r="C1502" s="232">
        <v>43322</v>
      </c>
      <c r="D1502" s="233" t="s">
        <v>477</v>
      </c>
      <c r="E1502" s="216" t="s">
        <v>379</v>
      </c>
      <c r="F1502" s="216" t="s">
        <v>318</v>
      </c>
      <c r="G1502" s="216" t="s">
        <v>258</v>
      </c>
      <c r="H1502" s="216" t="s">
        <v>404</v>
      </c>
      <c r="I1502" s="234" t="s">
        <v>257</v>
      </c>
      <c r="J1502" s="234"/>
      <c r="K1502" s="234"/>
      <c r="L1502" s="216" t="s">
        <v>1</v>
      </c>
      <c r="M1502" s="178">
        <v>1</v>
      </c>
      <c r="N1502" s="235">
        <v>30</v>
      </c>
      <c r="O1502" s="234">
        <v>30</v>
      </c>
      <c r="P1502" s="234"/>
      <c r="Q1502" s="180" t="str">
        <f>IF(PEDIDOS[[#This Row],[Valor do item pago]]=PEDIDOS[[#This Row],[Total Item ]],"PAGO", "")</f>
        <v/>
      </c>
    </row>
    <row r="1503" spans="1:17" s="216" customFormat="1" ht="39.950000000000003" customHeight="1" x14ac:dyDescent="0.25">
      <c r="A1503" s="231"/>
      <c r="B1503" s="216">
        <v>454</v>
      </c>
      <c r="C1503" s="232">
        <v>43322</v>
      </c>
      <c r="D1503" s="233" t="s">
        <v>477</v>
      </c>
      <c r="E1503" s="216" t="s">
        <v>547</v>
      </c>
      <c r="F1503" s="216" t="s">
        <v>521</v>
      </c>
      <c r="G1503" s="216" t="s">
        <v>522</v>
      </c>
      <c r="H1503" s="216" t="s">
        <v>523</v>
      </c>
      <c r="I1503" s="234" t="s">
        <v>663</v>
      </c>
      <c r="J1503" s="234" t="s">
        <v>979</v>
      </c>
      <c r="K1503" s="234"/>
      <c r="L1503" s="216" t="s">
        <v>235</v>
      </c>
      <c r="M1503" s="178">
        <v>1</v>
      </c>
      <c r="N1503" s="235">
        <v>30</v>
      </c>
      <c r="O1503" s="234">
        <v>30</v>
      </c>
      <c r="P1503" s="234"/>
      <c r="Q1503" s="180" t="str">
        <f>IF(PEDIDOS[[#This Row],[Valor do item pago]]=PEDIDOS[[#This Row],[Total Item ]],"PAGO", "")</f>
        <v/>
      </c>
    </row>
    <row r="1504" spans="1:17" s="216" customFormat="1" ht="39.950000000000003" customHeight="1" x14ac:dyDescent="0.25">
      <c r="A1504" s="231"/>
      <c r="B1504" s="216">
        <v>453</v>
      </c>
      <c r="C1504" s="232">
        <v>43322</v>
      </c>
      <c r="D1504" s="233" t="s">
        <v>477</v>
      </c>
      <c r="E1504" s="216" t="s">
        <v>373</v>
      </c>
      <c r="F1504" s="216" t="s">
        <v>311</v>
      </c>
      <c r="G1504" s="216" t="s">
        <v>142</v>
      </c>
      <c r="H1504" s="216" t="s">
        <v>84</v>
      </c>
      <c r="I1504" s="234" t="s">
        <v>448</v>
      </c>
      <c r="J1504" s="234" t="s">
        <v>978</v>
      </c>
      <c r="K1504" s="234"/>
      <c r="L1504" s="216" t="s">
        <v>1</v>
      </c>
      <c r="M1504" s="178">
        <v>1</v>
      </c>
      <c r="N1504" s="235">
        <v>30</v>
      </c>
      <c r="O1504" s="234">
        <v>30</v>
      </c>
      <c r="P1504" s="234"/>
      <c r="Q1504" s="180" t="str">
        <f>IF(PEDIDOS[[#This Row],[Valor do item pago]]=PEDIDOS[[#This Row],[Total Item ]],"PAGO", "")</f>
        <v/>
      </c>
    </row>
    <row r="1505" spans="1:17" s="216" customFormat="1" ht="39.950000000000003" customHeight="1" x14ac:dyDescent="0.25">
      <c r="A1505" s="231"/>
      <c r="B1505" s="216">
        <v>452</v>
      </c>
      <c r="C1505" s="232">
        <v>43322</v>
      </c>
      <c r="D1505" s="233" t="s">
        <v>477</v>
      </c>
      <c r="E1505" s="216" t="s">
        <v>371</v>
      </c>
      <c r="F1505" s="216" t="s">
        <v>309</v>
      </c>
      <c r="G1505" s="216" t="s">
        <v>159</v>
      </c>
      <c r="H1505" s="216" t="s">
        <v>401</v>
      </c>
      <c r="I1505" s="234" t="s">
        <v>445</v>
      </c>
      <c r="J1505" s="234"/>
      <c r="K1505" s="234"/>
      <c r="L1505" s="216" t="s">
        <v>3</v>
      </c>
      <c r="M1505" s="178">
        <v>1</v>
      </c>
      <c r="N1505" s="235">
        <v>30</v>
      </c>
      <c r="O1505" s="234">
        <v>30</v>
      </c>
      <c r="P1505" s="234"/>
      <c r="Q1505" s="180" t="str">
        <f>IF(PEDIDOS[[#This Row],[Valor do item pago]]=PEDIDOS[[#This Row],[Total Item ]],"PAGO", "")</f>
        <v/>
      </c>
    </row>
    <row r="1506" spans="1:17" s="216" customFormat="1" ht="39.950000000000003" customHeight="1" x14ac:dyDescent="0.25">
      <c r="A1506" s="231"/>
      <c r="B1506" s="216">
        <v>451</v>
      </c>
      <c r="C1506" s="232">
        <v>43322</v>
      </c>
      <c r="D1506" s="233" t="s">
        <v>477</v>
      </c>
      <c r="E1506" s="216" t="s">
        <v>369</v>
      </c>
      <c r="F1506" s="216" t="s">
        <v>308</v>
      </c>
      <c r="G1506" s="216" t="s">
        <v>148</v>
      </c>
      <c r="H1506" s="216" t="s">
        <v>400</v>
      </c>
      <c r="I1506" s="234" t="s">
        <v>444</v>
      </c>
      <c r="J1506" s="234" t="s">
        <v>977</v>
      </c>
      <c r="K1506" s="234"/>
      <c r="L1506" s="216" t="s">
        <v>219</v>
      </c>
      <c r="M1506" s="178">
        <v>1</v>
      </c>
      <c r="N1506" s="235">
        <v>30</v>
      </c>
      <c r="O1506" s="234">
        <v>30</v>
      </c>
      <c r="P1506" s="234"/>
      <c r="Q1506" s="180" t="str">
        <f>IF(PEDIDOS[[#This Row],[Valor do item pago]]=PEDIDOS[[#This Row],[Total Item ]],"PAGO", "")</f>
        <v/>
      </c>
    </row>
    <row r="1507" spans="1:17" s="216" customFormat="1" ht="39.950000000000003" customHeight="1" x14ac:dyDescent="0.25">
      <c r="A1507" s="231"/>
      <c r="B1507" s="216">
        <v>450</v>
      </c>
      <c r="C1507" s="232">
        <v>43322</v>
      </c>
      <c r="D1507" s="233" t="s">
        <v>477</v>
      </c>
      <c r="E1507" s="216" t="s">
        <v>513</v>
      </c>
      <c r="F1507" s="216" t="s">
        <v>514</v>
      </c>
      <c r="G1507" s="216" t="s">
        <v>515</v>
      </c>
      <c r="H1507" s="216" t="s">
        <v>183</v>
      </c>
      <c r="I1507" s="234" t="s">
        <v>661</v>
      </c>
      <c r="J1507" s="234"/>
      <c r="K1507" s="234"/>
      <c r="L1507" s="216" t="s">
        <v>219</v>
      </c>
      <c r="M1507" s="178">
        <v>1</v>
      </c>
      <c r="N1507" s="235">
        <v>30</v>
      </c>
      <c r="O1507" s="234">
        <v>30</v>
      </c>
      <c r="P1507" s="234"/>
      <c r="Q1507" s="180" t="str">
        <f>IF(PEDIDOS[[#This Row],[Valor do item pago]]=PEDIDOS[[#This Row],[Total Item ]],"PAGO", "")</f>
        <v/>
      </c>
    </row>
    <row r="1508" spans="1:17" s="216" customFormat="1" ht="39.950000000000003" customHeight="1" x14ac:dyDescent="0.25">
      <c r="A1508" s="231"/>
      <c r="B1508" s="216">
        <v>450</v>
      </c>
      <c r="C1508" s="232">
        <v>43322</v>
      </c>
      <c r="D1508" s="233" t="s">
        <v>477</v>
      </c>
      <c r="E1508" s="216" t="s">
        <v>513</v>
      </c>
      <c r="F1508" s="216" t="s">
        <v>514</v>
      </c>
      <c r="G1508" s="216" t="s">
        <v>515</v>
      </c>
      <c r="H1508" s="216" t="s">
        <v>183</v>
      </c>
      <c r="I1508" s="234" t="s">
        <v>661</v>
      </c>
      <c r="J1508" s="234"/>
      <c r="K1508" s="234"/>
      <c r="L1508" s="216" t="s">
        <v>1</v>
      </c>
      <c r="M1508" s="178">
        <v>1</v>
      </c>
      <c r="N1508" s="235">
        <v>30</v>
      </c>
      <c r="O1508" s="234">
        <v>30</v>
      </c>
      <c r="P1508" s="234"/>
      <c r="Q1508" s="180" t="str">
        <f>IF(PEDIDOS[[#This Row],[Valor do item pago]]=PEDIDOS[[#This Row],[Total Item ]],"PAGO", "")</f>
        <v/>
      </c>
    </row>
    <row r="1509" spans="1:17" s="216" customFormat="1" ht="39.950000000000003" customHeight="1" x14ac:dyDescent="0.25">
      <c r="A1509" s="231"/>
      <c r="B1509" s="216">
        <v>449</v>
      </c>
      <c r="C1509" s="232">
        <v>43322</v>
      </c>
      <c r="D1509" s="233" t="s">
        <v>477</v>
      </c>
      <c r="E1509" s="216" t="s">
        <v>367</v>
      </c>
      <c r="F1509" s="216" t="s">
        <v>323</v>
      </c>
      <c r="G1509" s="216" t="s">
        <v>151</v>
      </c>
      <c r="H1509" s="216" t="s">
        <v>392</v>
      </c>
      <c r="I1509" s="234" t="s">
        <v>656</v>
      </c>
      <c r="J1509" s="234"/>
      <c r="K1509" s="234"/>
      <c r="L1509" s="216" t="s">
        <v>0</v>
      </c>
      <c r="M1509" s="178">
        <v>1</v>
      </c>
      <c r="N1509" s="235">
        <v>30</v>
      </c>
      <c r="O1509" s="234">
        <v>30</v>
      </c>
      <c r="P1509" s="234"/>
      <c r="Q1509" s="180" t="str">
        <f>IF(PEDIDOS[[#This Row],[Valor do item pago]]=PEDIDOS[[#This Row],[Total Item ]],"PAGO", "")</f>
        <v/>
      </c>
    </row>
    <row r="1510" spans="1:17" s="216" customFormat="1" ht="39.950000000000003" customHeight="1" x14ac:dyDescent="0.25">
      <c r="A1510" s="231"/>
      <c r="B1510" s="216">
        <v>448</v>
      </c>
      <c r="C1510" s="232">
        <v>43322</v>
      </c>
      <c r="D1510" s="233" t="s">
        <v>477</v>
      </c>
      <c r="E1510" s="216" t="s">
        <v>383</v>
      </c>
      <c r="F1510" s="216" t="s">
        <v>304</v>
      </c>
      <c r="G1510" s="216" t="s">
        <v>191</v>
      </c>
      <c r="H1510" s="216" t="s">
        <v>387</v>
      </c>
      <c r="I1510" s="234" t="s">
        <v>440</v>
      </c>
      <c r="J1510" s="234" t="s">
        <v>976</v>
      </c>
      <c r="K1510" s="234"/>
      <c r="L1510" s="216" t="s">
        <v>235</v>
      </c>
      <c r="M1510" s="178">
        <v>1</v>
      </c>
      <c r="N1510" s="235">
        <v>30</v>
      </c>
      <c r="O1510" s="234">
        <v>30</v>
      </c>
      <c r="P1510" s="234"/>
      <c r="Q1510" s="180" t="str">
        <f>IF(PEDIDOS[[#This Row],[Valor do item pago]]=PEDIDOS[[#This Row],[Total Item ]],"PAGO", "")</f>
        <v/>
      </c>
    </row>
    <row r="1511" spans="1:17" s="216" customFormat="1" ht="39.950000000000003" customHeight="1" x14ac:dyDescent="0.25">
      <c r="A1511" s="231"/>
      <c r="B1511" s="216">
        <v>448</v>
      </c>
      <c r="C1511" s="232">
        <v>43322</v>
      </c>
      <c r="D1511" s="233" t="s">
        <v>477</v>
      </c>
      <c r="E1511" s="216" t="s">
        <v>383</v>
      </c>
      <c r="F1511" s="216" t="s">
        <v>304</v>
      </c>
      <c r="G1511" s="216" t="s">
        <v>191</v>
      </c>
      <c r="H1511" s="216" t="s">
        <v>387</v>
      </c>
      <c r="I1511" s="234" t="s">
        <v>440</v>
      </c>
      <c r="J1511" s="234" t="s">
        <v>976</v>
      </c>
      <c r="K1511" s="234"/>
      <c r="L1511" s="216" t="s">
        <v>219</v>
      </c>
      <c r="M1511" s="178">
        <v>1</v>
      </c>
      <c r="N1511" s="235">
        <v>30</v>
      </c>
      <c r="O1511" s="234">
        <v>30</v>
      </c>
      <c r="P1511" s="234"/>
      <c r="Q1511" s="180" t="str">
        <f>IF(PEDIDOS[[#This Row],[Valor do item pago]]=PEDIDOS[[#This Row],[Total Item ]],"PAGO", "")</f>
        <v/>
      </c>
    </row>
    <row r="1512" spans="1:17" s="216" customFormat="1" ht="39.950000000000003" customHeight="1" x14ac:dyDescent="0.25">
      <c r="A1512" s="231"/>
      <c r="B1512" s="216">
        <v>447</v>
      </c>
      <c r="C1512" s="232">
        <v>43322</v>
      </c>
      <c r="D1512" s="233" t="s">
        <v>477</v>
      </c>
      <c r="E1512" s="216" t="s">
        <v>364</v>
      </c>
      <c r="F1512" s="216" t="s">
        <v>882</v>
      </c>
      <c r="G1512" s="216" t="s">
        <v>883</v>
      </c>
      <c r="H1512" s="216" t="s">
        <v>441</v>
      </c>
      <c r="I1512" s="234" t="s">
        <v>884</v>
      </c>
      <c r="J1512" s="234"/>
      <c r="K1512" s="234" t="s">
        <v>477</v>
      </c>
      <c r="L1512" s="216" t="s">
        <v>0</v>
      </c>
      <c r="M1512" s="178">
        <v>1</v>
      </c>
      <c r="N1512" s="235">
        <v>30</v>
      </c>
      <c r="O1512" s="234">
        <v>30</v>
      </c>
      <c r="P1512" s="234"/>
      <c r="Q1512" s="180" t="str">
        <f>IF(PEDIDOS[[#This Row],[Valor do item pago]]=PEDIDOS[[#This Row],[Total Item ]],"PAGO", "")</f>
        <v/>
      </c>
    </row>
    <row r="1513" spans="1:17" s="216" customFormat="1" ht="39.950000000000003" customHeight="1" x14ac:dyDescent="0.25">
      <c r="A1513" s="231"/>
      <c r="B1513" s="216">
        <v>446</v>
      </c>
      <c r="C1513" s="232">
        <v>43322</v>
      </c>
      <c r="D1513" s="233" t="s">
        <v>477</v>
      </c>
      <c r="E1513" s="216" t="s">
        <v>510</v>
      </c>
      <c r="F1513" s="216" t="s">
        <v>508</v>
      </c>
      <c r="G1513" s="216" t="s">
        <v>511</v>
      </c>
      <c r="H1513" s="216" t="s">
        <v>512</v>
      </c>
      <c r="I1513" s="234" t="s">
        <v>424</v>
      </c>
      <c r="J1513" s="234" t="s">
        <v>887</v>
      </c>
      <c r="K1513" s="234"/>
      <c r="L1513" s="216" t="s">
        <v>219</v>
      </c>
      <c r="M1513" s="178">
        <v>1</v>
      </c>
      <c r="N1513" s="235">
        <v>30</v>
      </c>
      <c r="O1513" s="234">
        <v>30</v>
      </c>
      <c r="P1513" s="234"/>
      <c r="Q1513" s="180" t="str">
        <f>IF(PEDIDOS[[#This Row],[Valor do item pago]]=PEDIDOS[[#This Row],[Total Item ]],"PAGO", "")</f>
        <v/>
      </c>
    </row>
    <row r="1514" spans="1:17" s="216" customFormat="1" ht="39.950000000000003" customHeight="1" x14ac:dyDescent="0.25">
      <c r="A1514" s="231"/>
      <c r="B1514" s="216">
        <v>445</v>
      </c>
      <c r="C1514" s="232">
        <v>43322</v>
      </c>
      <c r="D1514" s="233" t="s">
        <v>477</v>
      </c>
      <c r="E1514" s="216" t="s">
        <v>363</v>
      </c>
      <c r="F1514" s="216">
        <v>0</v>
      </c>
      <c r="G1514" s="216">
        <v>0</v>
      </c>
      <c r="H1514" s="216">
        <v>0</v>
      </c>
      <c r="I1514" s="234"/>
      <c r="J1514" s="234"/>
      <c r="K1514" s="234" t="s">
        <v>40</v>
      </c>
      <c r="L1514" s="216" t="s">
        <v>1</v>
      </c>
      <c r="M1514" s="178">
        <v>1</v>
      </c>
      <c r="N1514" s="235">
        <v>30</v>
      </c>
      <c r="O1514" s="234">
        <v>30</v>
      </c>
      <c r="P1514" s="234">
        <v>30</v>
      </c>
      <c r="Q1514" s="180" t="str">
        <f>IF(PEDIDOS[[#This Row],[Valor do item pago]]=PEDIDOS[[#This Row],[Total Item ]],"PAGO", "")</f>
        <v>PAGO</v>
      </c>
    </row>
    <row r="1515" spans="1:17" s="216" customFormat="1" ht="39.950000000000003" customHeight="1" x14ac:dyDescent="0.25">
      <c r="A1515" s="231"/>
      <c r="B1515" s="216">
        <v>444</v>
      </c>
      <c r="C1515" s="232">
        <v>43322</v>
      </c>
      <c r="D1515" s="233" t="s">
        <v>477</v>
      </c>
      <c r="E1515" s="216" t="s">
        <v>11</v>
      </c>
      <c r="F1515" s="216" t="s">
        <v>882</v>
      </c>
      <c r="G1515" s="216" t="s">
        <v>883</v>
      </c>
      <c r="H1515" s="216" t="s">
        <v>441</v>
      </c>
      <c r="I1515" s="234" t="s">
        <v>884</v>
      </c>
      <c r="J1515" s="234"/>
      <c r="K1515" s="234" t="s">
        <v>477</v>
      </c>
      <c r="L1515" s="216" t="s">
        <v>1</v>
      </c>
      <c r="M1515" s="178">
        <v>3</v>
      </c>
      <c r="N1515" s="235">
        <v>30</v>
      </c>
      <c r="O1515" s="234">
        <v>90</v>
      </c>
      <c r="P1515" s="234">
        <v>90</v>
      </c>
      <c r="Q1515" s="180" t="str">
        <f>IF(PEDIDOS[[#This Row],[Valor do item pago]]=PEDIDOS[[#This Row],[Total Item ]],"PAGO", "")</f>
        <v>PAGO</v>
      </c>
    </row>
    <row r="1516" spans="1:17" s="216" customFormat="1" ht="39.950000000000003" customHeight="1" x14ac:dyDescent="0.25">
      <c r="A1516" s="231"/>
      <c r="B1516" s="216">
        <v>443</v>
      </c>
      <c r="C1516" s="232">
        <v>43322</v>
      </c>
      <c r="D1516" s="233" t="s">
        <v>477</v>
      </c>
      <c r="E1516" s="216" t="s">
        <v>506</v>
      </c>
      <c r="F1516" s="216" t="s">
        <v>503</v>
      </c>
      <c r="G1516" s="216" t="s">
        <v>504</v>
      </c>
      <c r="H1516" s="216" t="s">
        <v>505</v>
      </c>
      <c r="I1516" s="234" t="s">
        <v>660</v>
      </c>
      <c r="J1516" s="234"/>
      <c r="K1516" s="234"/>
      <c r="L1516" s="216" t="s">
        <v>1</v>
      </c>
      <c r="M1516" s="178">
        <v>2</v>
      </c>
      <c r="N1516" s="235">
        <v>30</v>
      </c>
      <c r="O1516" s="234">
        <v>60</v>
      </c>
      <c r="P1516" s="234"/>
      <c r="Q1516" s="180" t="str">
        <f>IF(PEDIDOS[[#This Row],[Valor do item pago]]=PEDIDOS[[#This Row],[Total Item ]],"PAGO", "")</f>
        <v/>
      </c>
    </row>
    <row r="1517" spans="1:17" s="216" customFormat="1" ht="39.950000000000003" customHeight="1" x14ac:dyDescent="0.25">
      <c r="A1517" s="231"/>
      <c r="B1517" s="216">
        <v>442</v>
      </c>
      <c r="C1517" s="232">
        <v>43322</v>
      </c>
      <c r="D1517" s="233" t="s">
        <v>477</v>
      </c>
      <c r="E1517" s="216" t="s">
        <v>870</v>
      </c>
      <c r="F1517" s="216" t="s">
        <v>871</v>
      </c>
      <c r="G1517" s="216" t="s">
        <v>872</v>
      </c>
      <c r="H1517" s="216" t="s">
        <v>112</v>
      </c>
      <c r="I1517" s="234" t="s">
        <v>873</v>
      </c>
      <c r="J1517" s="234" t="s">
        <v>975</v>
      </c>
      <c r="K1517" s="234"/>
      <c r="L1517" s="216" t="s">
        <v>219</v>
      </c>
      <c r="M1517" s="178">
        <v>1</v>
      </c>
      <c r="N1517" s="235">
        <v>30</v>
      </c>
      <c r="O1517" s="234">
        <v>30</v>
      </c>
      <c r="P1517" s="234"/>
      <c r="Q1517" s="180" t="str">
        <f>IF(PEDIDOS[[#This Row],[Valor do item pago]]=PEDIDOS[[#This Row],[Total Item ]],"PAGO", "")</f>
        <v/>
      </c>
    </row>
    <row r="1518" spans="1:17" s="216" customFormat="1" ht="39.950000000000003" customHeight="1" x14ac:dyDescent="0.25">
      <c r="A1518" s="231"/>
      <c r="B1518" s="216">
        <v>441</v>
      </c>
      <c r="C1518" s="232">
        <v>43322</v>
      </c>
      <c r="D1518" s="233" t="s">
        <v>477</v>
      </c>
      <c r="E1518" s="216" t="s">
        <v>507</v>
      </c>
      <c r="F1518" s="216" t="s">
        <v>497</v>
      </c>
      <c r="G1518" s="216" t="s">
        <v>499</v>
      </c>
      <c r="H1518" s="216" t="s">
        <v>461</v>
      </c>
      <c r="I1518" s="234" t="s">
        <v>659</v>
      </c>
      <c r="J1518" s="234"/>
      <c r="K1518" s="234"/>
      <c r="L1518" s="216" t="s">
        <v>1</v>
      </c>
      <c r="M1518" s="178">
        <v>1</v>
      </c>
      <c r="N1518" s="235">
        <v>30</v>
      </c>
      <c r="O1518" s="234">
        <v>30</v>
      </c>
      <c r="P1518" s="234"/>
      <c r="Q1518" s="180" t="str">
        <f>IF(PEDIDOS[[#This Row],[Valor do item pago]]=PEDIDOS[[#This Row],[Total Item ]],"PAGO", "")</f>
        <v/>
      </c>
    </row>
    <row r="1519" spans="1:17" s="216" customFormat="1" ht="39.950000000000003" customHeight="1" x14ac:dyDescent="0.25">
      <c r="A1519" s="231"/>
      <c r="B1519" s="216">
        <v>440</v>
      </c>
      <c r="C1519" s="232">
        <v>43322</v>
      </c>
      <c r="D1519" s="233" t="s">
        <v>477</v>
      </c>
      <c r="E1519" s="216" t="s">
        <v>355</v>
      </c>
      <c r="F1519" s="216" t="s">
        <v>294</v>
      </c>
      <c r="G1519" s="216" t="s">
        <v>145</v>
      </c>
      <c r="H1519" s="216" t="s">
        <v>390</v>
      </c>
      <c r="I1519" s="234" t="s">
        <v>251</v>
      </c>
      <c r="J1519" s="234"/>
      <c r="K1519" s="234"/>
      <c r="L1519" s="216" t="s">
        <v>3</v>
      </c>
      <c r="M1519" s="178">
        <v>2</v>
      </c>
      <c r="N1519" s="235">
        <v>30</v>
      </c>
      <c r="O1519" s="234">
        <v>60</v>
      </c>
      <c r="P1519" s="234"/>
      <c r="Q1519" s="180" t="str">
        <f>IF(PEDIDOS[[#This Row],[Valor do item pago]]=PEDIDOS[[#This Row],[Total Item ]],"PAGO", "")</f>
        <v/>
      </c>
    </row>
    <row r="1520" spans="1:17" s="216" customFormat="1" ht="39.950000000000003" customHeight="1" x14ac:dyDescent="0.25">
      <c r="A1520" s="231"/>
      <c r="B1520" s="216">
        <v>439</v>
      </c>
      <c r="C1520" s="232">
        <v>43322</v>
      </c>
      <c r="D1520" s="233" t="s">
        <v>477</v>
      </c>
      <c r="E1520" s="216" t="s">
        <v>877</v>
      </c>
      <c r="F1520" s="216" t="s">
        <v>876</v>
      </c>
      <c r="G1520" s="216" t="s">
        <v>878</v>
      </c>
      <c r="H1520" s="216" t="s">
        <v>441</v>
      </c>
      <c r="I1520" s="234" t="s">
        <v>879</v>
      </c>
      <c r="J1520" s="234"/>
      <c r="K1520" s="234" t="s">
        <v>477</v>
      </c>
      <c r="L1520" s="216" t="s">
        <v>1</v>
      </c>
      <c r="M1520" s="178">
        <v>1</v>
      </c>
      <c r="N1520" s="235">
        <v>30</v>
      </c>
      <c r="O1520" s="234">
        <v>30</v>
      </c>
      <c r="P1520" s="234"/>
      <c r="Q1520" s="180" t="str">
        <f>IF(PEDIDOS[[#This Row],[Valor do item pago]]=PEDIDOS[[#This Row],[Total Item ]],"PAGO", "")</f>
        <v/>
      </c>
    </row>
    <row r="1521" spans="1:17" s="216" customFormat="1" ht="39.950000000000003" customHeight="1" x14ac:dyDescent="0.25">
      <c r="A1521" s="231"/>
      <c r="B1521" s="216">
        <v>438</v>
      </c>
      <c r="C1521" s="232">
        <v>43322</v>
      </c>
      <c r="D1521" s="233" t="s">
        <v>477</v>
      </c>
      <c r="E1521" s="216" t="s">
        <v>25</v>
      </c>
      <c r="F1521" s="216" t="s">
        <v>291</v>
      </c>
      <c r="G1521" s="216" t="s">
        <v>330</v>
      </c>
      <c r="H1521" s="216" t="s">
        <v>406</v>
      </c>
      <c r="I1521" s="234" t="s">
        <v>329</v>
      </c>
      <c r="J1521" s="234"/>
      <c r="K1521" s="234"/>
      <c r="L1521" s="216" t="s">
        <v>219</v>
      </c>
      <c r="M1521" s="178">
        <v>5</v>
      </c>
      <c r="N1521" s="235">
        <v>30</v>
      </c>
      <c r="O1521" s="234">
        <v>150</v>
      </c>
      <c r="P1521" s="234">
        <v>150</v>
      </c>
      <c r="Q1521" s="180" t="str">
        <f>IF(PEDIDOS[[#This Row],[Valor do item pago]]=PEDIDOS[[#This Row],[Total Item ]],"PAGO", "")</f>
        <v>PAGO</v>
      </c>
    </row>
    <row r="1522" spans="1:17" s="216" customFormat="1" ht="39.950000000000003" customHeight="1" x14ac:dyDescent="0.25">
      <c r="A1522" s="231"/>
      <c r="B1522" s="216">
        <v>437</v>
      </c>
      <c r="C1522" s="232">
        <v>43322</v>
      </c>
      <c r="D1522" s="233" t="s">
        <v>477</v>
      </c>
      <c r="E1522" s="216" t="s">
        <v>343</v>
      </c>
      <c r="F1522" s="216" t="s">
        <v>826</v>
      </c>
      <c r="G1522" s="216" t="s">
        <v>875</v>
      </c>
      <c r="H1522" s="216" t="s">
        <v>441</v>
      </c>
      <c r="I1522" s="234" t="s">
        <v>874</v>
      </c>
      <c r="J1522" s="234"/>
      <c r="K1522" s="234" t="s">
        <v>477</v>
      </c>
      <c r="L1522" s="216" t="s">
        <v>1</v>
      </c>
      <c r="M1522" s="178">
        <v>1</v>
      </c>
      <c r="N1522" s="235">
        <v>30</v>
      </c>
      <c r="O1522" s="234">
        <v>30</v>
      </c>
      <c r="P1522" s="234"/>
      <c r="Q1522" s="180" t="str">
        <f>IF(PEDIDOS[[#This Row],[Valor do item pago]]=PEDIDOS[[#This Row],[Total Item ]],"PAGO", "")</f>
        <v/>
      </c>
    </row>
    <row r="1523" spans="1:17" s="216" customFormat="1" ht="39.950000000000003" customHeight="1" x14ac:dyDescent="0.25">
      <c r="A1523" s="231"/>
      <c r="B1523" s="216">
        <v>436</v>
      </c>
      <c r="C1523" s="232">
        <v>43322</v>
      </c>
      <c r="D1523" s="233" t="s">
        <v>477</v>
      </c>
      <c r="E1523" s="216" t="s">
        <v>340</v>
      </c>
      <c r="F1523" s="216" t="s">
        <v>974</v>
      </c>
      <c r="G1523" s="216" t="s">
        <v>973</v>
      </c>
      <c r="H1523" s="216" t="s">
        <v>388</v>
      </c>
      <c r="I1523" s="234" t="s">
        <v>417</v>
      </c>
      <c r="J1523" s="234"/>
      <c r="K1523" s="234"/>
      <c r="L1523" s="216" t="s">
        <v>235</v>
      </c>
      <c r="M1523" s="178">
        <v>1</v>
      </c>
      <c r="N1523" s="235">
        <v>30</v>
      </c>
      <c r="O1523" s="234">
        <v>30</v>
      </c>
      <c r="P1523" s="234"/>
      <c r="Q1523" s="180" t="str">
        <f>IF(PEDIDOS[[#This Row],[Valor do item pago]]=PEDIDOS[[#This Row],[Total Item ]],"PAGO", "")</f>
        <v/>
      </c>
    </row>
    <row r="1524" spans="1:17" s="216" customFormat="1" ht="39.950000000000003" customHeight="1" x14ac:dyDescent="0.25">
      <c r="A1524" s="231"/>
      <c r="B1524" s="216">
        <v>435</v>
      </c>
      <c r="C1524" s="232">
        <v>43322</v>
      </c>
      <c r="D1524" s="233" t="s">
        <v>477</v>
      </c>
      <c r="E1524" s="216" t="s">
        <v>968</v>
      </c>
      <c r="F1524" s="216" t="s">
        <v>969</v>
      </c>
      <c r="G1524" s="216" t="s">
        <v>970</v>
      </c>
      <c r="H1524" s="216" t="s">
        <v>52</v>
      </c>
      <c r="I1524" s="234" t="s">
        <v>971</v>
      </c>
      <c r="J1524" s="234" t="s">
        <v>972</v>
      </c>
      <c r="K1524" s="234"/>
      <c r="L1524" s="216" t="s">
        <v>219</v>
      </c>
      <c r="M1524" s="178">
        <v>1</v>
      </c>
      <c r="N1524" s="235">
        <v>30</v>
      </c>
      <c r="O1524" s="234">
        <v>30</v>
      </c>
      <c r="P1524" s="234">
        <v>30</v>
      </c>
      <c r="Q1524" s="180" t="str">
        <f>IF(PEDIDOS[[#This Row],[Valor do item pago]]=PEDIDOS[[#This Row],[Total Item ]],"PAGO", "")</f>
        <v>PAGO</v>
      </c>
    </row>
    <row r="1525" spans="1:17" s="216" customFormat="1" ht="39.950000000000003" customHeight="1" x14ac:dyDescent="0.25">
      <c r="A1525" s="231"/>
      <c r="B1525" s="216">
        <v>434</v>
      </c>
      <c r="C1525" s="232">
        <v>43322</v>
      </c>
      <c r="D1525" s="233" t="s">
        <v>477</v>
      </c>
      <c r="E1525" s="216" t="s">
        <v>338</v>
      </c>
      <c r="F1525" s="216" t="s">
        <v>273</v>
      </c>
      <c r="G1525" s="216" t="s">
        <v>500</v>
      </c>
      <c r="H1525" s="216" t="s">
        <v>501</v>
      </c>
      <c r="I1525" s="234" t="s">
        <v>654</v>
      </c>
      <c r="J1525" s="234"/>
      <c r="K1525" s="234"/>
      <c r="L1525" s="216" t="s">
        <v>1</v>
      </c>
      <c r="M1525" s="178">
        <v>1</v>
      </c>
      <c r="N1525" s="235">
        <v>30</v>
      </c>
      <c r="O1525" s="234">
        <v>30</v>
      </c>
      <c r="P1525" s="234"/>
      <c r="Q1525" s="180" t="str">
        <f>IF(PEDIDOS[[#This Row],[Valor do item pago]]=PEDIDOS[[#This Row],[Total Item ]],"PAGO", "")</f>
        <v/>
      </c>
    </row>
    <row r="1526" spans="1:17" s="216" customFormat="1" ht="39.950000000000003" customHeight="1" x14ac:dyDescent="0.25">
      <c r="A1526" s="231"/>
      <c r="B1526" s="216">
        <v>433</v>
      </c>
      <c r="C1526" s="232">
        <v>43322</v>
      </c>
      <c r="D1526" s="233" t="s">
        <v>477</v>
      </c>
      <c r="E1526" s="216" t="s">
        <v>845</v>
      </c>
      <c r="F1526" s="216" t="s">
        <v>846</v>
      </c>
      <c r="G1526" s="216" t="s">
        <v>847</v>
      </c>
      <c r="H1526" s="216" t="s">
        <v>461</v>
      </c>
      <c r="I1526" s="234" t="s">
        <v>848</v>
      </c>
      <c r="J1526" s="234" t="s">
        <v>967</v>
      </c>
      <c r="K1526" s="234"/>
      <c r="L1526" s="216" t="s">
        <v>219</v>
      </c>
      <c r="M1526" s="178">
        <v>1</v>
      </c>
      <c r="N1526" s="235">
        <v>30</v>
      </c>
      <c r="O1526" s="234">
        <v>30</v>
      </c>
      <c r="P1526" s="234">
        <v>30</v>
      </c>
      <c r="Q1526" s="180" t="str">
        <f>IF(PEDIDOS[[#This Row],[Valor do item pago]]=PEDIDOS[[#This Row],[Total Item ]],"PAGO", "")</f>
        <v>PAGO</v>
      </c>
    </row>
    <row r="1527" spans="1:17" s="216" customFormat="1" ht="39.950000000000003" customHeight="1" x14ac:dyDescent="0.25">
      <c r="A1527" s="231"/>
      <c r="B1527" s="216">
        <v>432</v>
      </c>
      <c r="C1527" s="232">
        <v>43322</v>
      </c>
      <c r="D1527" s="233" t="s">
        <v>40</v>
      </c>
      <c r="E1527" s="216" t="s">
        <v>966</v>
      </c>
      <c r="F1527" s="216">
        <v>0</v>
      </c>
      <c r="G1527" s="216">
        <v>0</v>
      </c>
      <c r="H1527" s="216" t="s">
        <v>40</v>
      </c>
      <c r="I1527" s="234"/>
      <c r="J1527" s="234"/>
      <c r="K1527" s="234" t="s">
        <v>24</v>
      </c>
      <c r="L1527" s="216" t="s">
        <v>3</v>
      </c>
      <c r="M1527" s="178">
        <v>1</v>
      </c>
      <c r="N1527" s="235">
        <v>30</v>
      </c>
      <c r="O1527" s="234">
        <v>30</v>
      </c>
      <c r="P1527" s="234">
        <v>30</v>
      </c>
      <c r="Q1527" s="180" t="str">
        <f>IF(PEDIDOS[[#This Row],[Valor do item pago]]=PEDIDOS[[#This Row],[Total Item ]],"PAGO", "")</f>
        <v>PAGO</v>
      </c>
    </row>
    <row r="1528" spans="1:17" s="216" customFormat="1" ht="39.950000000000003" customHeight="1" x14ac:dyDescent="0.25">
      <c r="A1528" s="231"/>
      <c r="B1528" s="216">
        <v>432</v>
      </c>
      <c r="C1528" s="232">
        <v>43322</v>
      </c>
      <c r="D1528" s="233" t="s">
        <v>40</v>
      </c>
      <c r="E1528" s="216" t="s">
        <v>966</v>
      </c>
      <c r="F1528" s="216">
        <v>0</v>
      </c>
      <c r="G1528" s="216">
        <v>0</v>
      </c>
      <c r="H1528" s="216" t="s">
        <v>40</v>
      </c>
      <c r="I1528" s="234"/>
      <c r="J1528" s="234"/>
      <c r="K1528" s="234" t="s">
        <v>24</v>
      </c>
      <c r="L1528" s="216" t="s">
        <v>0</v>
      </c>
      <c r="M1528" s="178">
        <v>1</v>
      </c>
      <c r="N1528" s="235">
        <v>30</v>
      </c>
      <c r="O1528" s="234">
        <v>30</v>
      </c>
      <c r="P1528" s="234">
        <v>30</v>
      </c>
      <c r="Q1528" s="180" t="str">
        <f>IF(PEDIDOS[[#This Row],[Valor do item pago]]=PEDIDOS[[#This Row],[Total Item ]],"PAGO", "")</f>
        <v>PAGO</v>
      </c>
    </row>
    <row r="1529" spans="1:17" s="216" customFormat="1" ht="39.950000000000003" customHeight="1" x14ac:dyDescent="0.25">
      <c r="A1529" s="231"/>
      <c r="B1529" s="216">
        <v>431</v>
      </c>
      <c r="C1529" s="232">
        <v>43322</v>
      </c>
      <c r="D1529" s="233" t="s">
        <v>40</v>
      </c>
      <c r="E1529" s="216" t="s">
        <v>208</v>
      </c>
      <c r="F1529" s="216" t="s">
        <v>301</v>
      </c>
      <c r="G1529" s="216" t="s">
        <v>111</v>
      </c>
      <c r="H1529" s="216" t="s">
        <v>112</v>
      </c>
      <c r="I1529" s="234" t="s">
        <v>435</v>
      </c>
      <c r="J1529" s="234" t="s">
        <v>260</v>
      </c>
      <c r="K1529" s="234"/>
      <c r="L1529" s="216" t="s">
        <v>219</v>
      </c>
      <c r="M1529" s="178">
        <v>1</v>
      </c>
      <c r="N1529" s="235">
        <v>30</v>
      </c>
      <c r="O1529" s="234">
        <v>30</v>
      </c>
      <c r="P1529" s="234"/>
      <c r="Q1529" s="180" t="str">
        <f>IF(PEDIDOS[[#This Row],[Valor do item pago]]=PEDIDOS[[#This Row],[Total Item ]],"PAGO", "")</f>
        <v/>
      </c>
    </row>
    <row r="1530" spans="1:17" s="216" customFormat="1" ht="39.950000000000003" customHeight="1" x14ac:dyDescent="0.25">
      <c r="A1530" s="231"/>
      <c r="B1530" s="216">
        <v>430</v>
      </c>
      <c r="C1530" s="232">
        <v>43322</v>
      </c>
      <c r="D1530" s="233" t="s">
        <v>40</v>
      </c>
      <c r="E1530" s="216" t="s">
        <v>209</v>
      </c>
      <c r="F1530" s="216" t="s">
        <v>306</v>
      </c>
      <c r="G1530" s="216" t="s">
        <v>114</v>
      </c>
      <c r="H1530" s="216" t="s">
        <v>115</v>
      </c>
      <c r="I1530" s="234" t="s">
        <v>443</v>
      </c>
      <c r="J1530" s="234"/>
      <c r="K1530" s="234"/>
      <c r="L1530" s="216" t="s">
        <v>0</v>
      </c>
      <c r="M1530" s="178">
        <v>1</v>
      </c>
      <c r="N1530" s="235">
        <v>30</v>
      </c>
      <c r="O1530" s="234">
        <v>30</v>
      </c>
      <c r="P1530" s="234"/>
      <c r="Q1530" s="180" t="str">
        <f>IF(PEDIDOS[[#This Row],[Valor do item pago]]=PEDIDOS[[#This Row],[Total Item ]],"PAGO", "")</f>
        <v/>
      </c>
    </row>
    <row r="1531" spans="1:17" s="216" customFormat="1" ht="39.950000000000003" customHeight="1" x14ac:dyDescent="0.25">
      <c r="A1531" s="231"/>
      <c r="B1531" s="216">
        <v>429</v>
      </c>
      <c r="C1531" s="232">
        <v>43322</v>
      </c>
      <c r="D1531" s="233" t="s">
        <v>40</v>
      </c>
      <c r="E1531" s="216" t="s">
        <v>635</v>
      </c>
      <c r="F1531" s="216" t="s">
        <v>636</v>
      </c>
      <c r="G1531" s="216" t="s">
        <v>637</v>
      </c>
      <c r="H1531" s="216" t="s">
        <v>639</v>
      </c>
      <c r="I1531" s="234" t="s">
        <v>684</v>
      </c>
      <c r="J1531" s="234" t="s">
        <v>965</v>
      </c>
      <c r="K1531" s="234"/>
      <c r="L1531" s="216" t="s">
        <v>219</v>
      </c>
      <c r="M1531" s="178">
        <v>2</v>
      </c>
      <c r="N1531" s="235">
        <v>30</v>
      </c>
      <c r="O1531" s="234">
        <v>60</v>
      </c>
      <c r="P1531" s="234"/>
      <c r="Q1531" s="180" t="str">
        <f>IF(PEDIDOS[[#This Row],[Valor do item pago]]=PEDIDOS[[#This Row],[Total Item ]],"PAGO", "")</f>
        <v/>
      </c>
    </row>
    <row r="1532" spans="1:17" s="216" customFormat="1" ht="39.950000000000003" customHeight="1" x14ac:dyDescent="0.25">
      <c r="A1532" s="231"/>
      <c r="B1532" s="216">
        <v>428</v>
      </c>
      <c r="C1532" s="232">
        <v>43322</v>
      </c>
      <c r="D1532" s="233" t="s">
        <v>40</v>
      </c>
      <c r="E1532" s="216" t="s">
        <v>473</v>
      </c>
      <c r="F1532" s="216" t="s">
        <v>315</v>
      </c>
      <c r="G1532" s="216">
        <v>0</v>
      </c>
      <c r="H1532" s="216">
        <v>0</v>
      </c>
      <c r="I1532" s="234"/>
      <c r="J1532" s="234"/>
      <c r="K1532" s="234" t="s">
        <v>40</v>
      </c>
      <c r="L1532" s="216" t="s">
        <v>3</v>
      </c>
      <c r="M1532" s="178">
        <v>1</v>
      </c>
      <c r="N1532" s="235">
        <v>30</v>
      </c>
      <c r="O1532" s="234">
        <v>30</v>
      </c>
      <c r="P1532" s="234"/>
      <c r="Q1532" s="180" t="str">
        <f>IF(PEDIDOS[[#This Row],[Valor do item pago]]=PEDIDOS[[#This Row],[Total Item ]],"PAGO", "")</f>
        <v/>
      </c>
    </row>
    <row r="1533" spans="1:17" s="216" customFormat="1" ht="39.950000000000003" customHeight="1" x14ac:dyDescent="0.25">
      <c r="A1533" s="231"/>
      <c r="B1533" s="216">
        <v>428</v>
      </c>
      <c r="C1533" s="232">
        <v>43322</v>
      </c>
      <c r="D1533" s="233" t="s">
        <v>40</v>
      </c>
      <c r="E1533" s="216" t="s">
        <v>473</v>
      </c>
      <c r="F1533" s="216" t="s">
        <v>315</v>
      </c>
      <c r="G1533" s="216">
        <v>0</v>
      </c>
      <c r="H1533" s="216">
        <v>0</v>
      </c>
      <c r="I1533" s="234"/>
      <c r="J1533" s="234"/>
      <c r="K1533" s="234" t="s">
        <v>40</v>
      </c>
      <c r="L1533" s="216" t="s">
        <v>1</v>
      </c>
      <c r="M1533" s="178">
        <v>1</v>
      </c>
      <c r="N1533" s="235">
        <v>30</v>
      </c>
      <c r="O1533" s="234">
        <v>30</v>
      </c>
      <c r="P1533" s="234"/>
      <c r="Q1533" s="180" t="str">
        <f>IF(PEDIDOS[[#This Row],[Valor do item pago]]=PEDIDOS[[#This Row],[Total Item ]],"PAGO", "")</f>
        <v/>
      </c>
    </row>
    <row r="1534" spans="1:17" s="216" customFormat="1" ht="39.950000000000003" customHeight="1" x14ac:dyDescent="0.25">
      <c r="A1534" s="231"/>
      <c r="B1534" s="216">
        <v>427</v>
      </c>
      <c r="C1534" s="232">
        <v>43322</v>
      </c>
      <c r="D1534" s="233" t="s">
        <v>40</v>
      </c>
      <c r="E1534" s="216" t="s">
        <v>963</v>
      </c>
      <c r="F1534" s="216" t="s">
        <v>310</v>
      </c>
      <c r="G1534" s="216" t="s">
        <v>962</v>
      </c>
      <c r="H1534" s="216" t="s">
        <v>651</v>
      </c>
      <c r="I1534" s="234" t="s">
        <v>653</v>
      </c>
      <c r="J1534" s="234" t="s">
        <v>964</v>
      </c>
      <c r="K1534" s="234"/>
      <c r="L1534" s="216" t="s">
        <v>219</v>
      </c>
      <c r="M1534" s="178">
        <v>1</v>
      </c>
      <c r="N1534" s="235">
        <v>30</v>
      </c>
      <c r="O1534" s="234">
        <v>30</v>
      </c>
      <c r="P1534" s="234"/>
      <c r="Q1534" s="180" t="str">
        <f>IF(PEDIDOS[[#This Row],[Valor do item pago]]=PEDIDOS[[#This Row],[Total Item ]],"PAGO", "")</f>
        <v/>
      </c>
    </row>
    <row r="1535" spans="1:17" s="216" customFormat="1" ht="39.950000000000003" customHeight="1" x14ac:dyDescent="0.25">
      <c r="A1535" s="231"/>
      <c r="B1535" s="216">
        <v>426</v>
      </c>
      <c r="C1535" s="232">
        <v>43322</v>
      </c>
      <c r="D1535" s="233" t="s">
        <v>40</v>
      </c>
      <c r="E1535" s="216" t="s">
        <v>647</v>
      </c>
      <c r="F1535" s="216" t="s">
        <v>303</v>
      </c>
      <c r="G1535" s="216" t="s">
        <v>437</v>
      </c>
      <c r="H1535" s="216" t="s">
        <v>84</v>
      </c>
      <c r="I1535" s="234" t="s">
        <v>439</v>
      </c>
      <c r="J1535" s="234"/>
      <c r="K1535" s="234"/>
      <c r="L1535" s="216" t="s">
        <v>1</v>
      </c>
      <c r="M1535" s="178">
        <v>1</v>
      </c>
      <c r="N1535" s="235">
        <v>30</v>
      </c>
      <c r="O1535" s="234">
        <v>30</v>
      </c>
      <c r="P1535" s="234"/>
      <c r="Q1535" s="180" t="str">
        <f>IF(PEDIDOS[[#This Row],[Valor do item pago]]=PEDIDOS[[#This Row],[Total Item ]],"PAGO", "")</f>
        <v/>
      </c>
    </row>
    <row r="1536" spans="1:17" s="216" customFormat="1" ht="39.950000000000003" customHeight="1" x14ac:dyDescent="0.25">
      <c r="A1536" s="231"/>
      <c r="B1536" s="216">
        <v>425</v>
      </c>
      <c r="C1536" s="232">
        <v>43322</v>
      </c>
      <c r="D1536" s="233" t="s">
        <v>40</v>
      </c>
      <c r="E1536" s="216" t="s">
        <v>13</v>
      </c>
      <c r="F1536" s="216">
        <v>0</v>
      </c>
      <c r="G1536" s="216">
        <v>0</v>
      </c>
      <c r="H1536" s="216">
        <v>0</v>
      </c>
      <c r="I1536" s="234"/>
      <c r="J1536" s="234"/>
      <c r="K1536" s="234" t="s">
        <v>40</v>
      </c>
      <c r="L1536" s="216" t="s">
        <v>219</v>
      </c>
      <c r="M1536" s="178">
        <v>2</v>
      </c>
      <c r="N1536" s="235">
        <v>30</v>
      </c>
      <c r="O1536" s="234">
        <v>60</v>
      </c>
      <c r="P1536" s="234"/>
      <c r="Q1536" s="180" t="str">
        <f>IF(PEDIDOS[[#This Row],[Valor do item pago]]=PEDIDOS[[#This Row],[Total Item ]],"PAGO", "")</f>
        <v/>
      </c>
    </row>
    <row r="1537" spans="1:17" s="216" customFormat="1" ht="39.950000000000003" customHeight="1" x14ac:dyDescent="0.25">
      <c r="A1537" s="231"/>
      <c r="B1537" s="216">
        <v>424</v>
      </c>
      <c r="C1537" s="232">
        <v>43322</v>
      </c>
      <c r="D1537" s="233" t="s">
        <v>40</v>
      </c>
      <c r="E1537" s="216" t="s">
        <v>204</v>
      </c>
      <c r="F1537" s="216" t="s">
        <v>279</v>
      </c>
      <c r="G1537" s="216">
        <v>0</v>
      </c>
      <c r="H1537" s="216">
        <v>0</v>
      </c>
      <c r="I1537" s="234"/>
      <c r="J1537" s="234"/>
      <c r="K1537" s="234" t="s">
        <v>40</v>
      </c>
      <c r="L1537" s="216" t="s">
        <v>3</v>
      </c>
      <c r="M1537" s="178">
        <v>2</v>
      </c>
      <c r="N1537" s="235">
        <v>30</v>
      </c>
      <c r="O1537" s="234">
        <v>60</v>
      </c>
      <c r="P1537" s="234"/>
      <c r="Q1537" s="180" t="str">
        <f>IF(PEDIDOS[[#This Row],[Valor do item pago]]=PEDIDOS[[#This Row],[Total Item ]],"PAGO", "")</f>
        <v/>
      </c>
    </row>
    <row r="1538" spans="1:17" s="216" customFormat="1" ht="39.950000000000003" customHeight="1" x14ac:dyDescent="0.25">
      <c r="A1538" s="231"/>
      <c r="B1538" s="216">
        <v>423</v>
      </c>
      <c r="C1538" s="232">
        <v>43322</v>
      </c>
      <c r="D1538" s="233" t="s">
        <v>40</v>
      </c>
      <c r="E1538" s="216" t="s">
        <v>203</v>
      </c>
      <c r="F1538" s="216" t="s">
        <v>305</v>
      </c>
      <c r="G1538" s="216" t="s">
        <v>41</v>
      </c>
      <c r="H1538" s="216" t="s">
        <v>441</v>
      </c>
      <c r="I1538" s="234" t="s">
        <v>442</v>
      </c>
      <c r="J1538" s="234"/>
      <c r="K1538" s="234" t="s">
        <v>648</v>
      </c>
      <c r="L1538" s="216" t="s">
        <v>1</v>
      </c>
      <c r="M1538" s="178">
        <v>1</v>
      </c>
      <c r="N1538" s="235">
        <v>30</v>
      </c>
      <c r="O1538" s="234">
        <v>30</v>
      </c>
      <c r="P1538" s="234"/>
      <c r="Q1538" s="180" t="str">
        <f>IF(PEDIDOS[[#This Row],[Valor do item pago]]=PEDIDOS[[#This Row],[Total Item ]],"PAGO", "")</f>
        <v/>
      </c>
    </row>
    <row r="1539" spans="1:17" s="216" customFormat="1" ht="39.950000000000003" customHeight="1" x14ac:dyDescent="0.25">
      <c r="A1539" s="231"/>
      <c r="B1539" s="216">
        <v>423</v>
      </c>
      <c r="C1539" s="232">
        <v>43322</v>
      </c>
      <c r="D1539" s="233" t="s">
        <v>40</v>
      </c>
      <c r="E1539" s="216" t="s">
        <v>203</v>
      </c>
      <c r="F1539" s="216" t="s">
        <v>305</v>
      </c>
      <c r="G1539" s="216" t="s">
        <v>41</v>
      </c>
      <c r="H1539" s="216" t="s">
        <v>441</v>
      </c>
      <c r="I1539" s="234" t="s">
        <v>442</v>
      </c>
      <c r="J1539" s="234"/>
      <c r="K1539" s="234" t="s">
        <v>648</v>
      </c>
      <c r="L1539" s="216" t="s">
        <v>0</v>
      </c>
      <c r="M1539" s="178">
        <v>1</v>
      </c>
      <c r="N1539" s="235">
        <v>30</v>
      </c>
      <c r="O1539" s="234">
        <v>30</v>
      </c>
      <c r="P1539" s="234"/>
      <c r="Q1539" s="180" t="str">
        <f>IF(PEDIDOS[[#This Row],[Valor do item pago]]=PEDIDOS[[#This Row],[Total Item ]],"PAGO", "")</f>
        <v/>
      </c>
    </row>
    <row r="1540" spans="1:17" s="216" customFormat="1" ht="39.950000000000003" customHeight="1" x14ac:dyDescent="0.25">
      <c r="A1540" s="231"/>
      <c r="B1540" s="216">
        <v>422</v>
      </c>
      <c r="C1540" s="232">
        <v>43322</v>
      </c>
      <c r="D1540" s="233" t="s">
        <v>49</v>
      </c>
      <c r="E1540" s="216" t="s">
        <v>613</v>
      </c>
      <c r="F1540" s="216" t="s">
        <v>296</v>
      </c>
      <c r="G1540" s="216" t="s">
        <v>76</v>
      </c>
      <c r="H1540" s="216" t="s">
        <v>84</v>
      </c>
      <c r="I1540" s="234" t="s">
        <v>428</v>
      </c>
      <c r="J1540" s="234"/>
      <c r="K1540" s="234"/>
      <c r="L1540" s="216" t="s">
        <v>1</v>
      </c>
      <c r="M1540" s="178">
        <v>1</v>
      </c>
      <c r="N1540" s="235">
        <v>30</v>
      </c>
      <c r="O1540" s="234">
        <v>30</v>
      </c>
      <c r="P1540" s="234">
        <v>30</v>
      </c>
      <c r="Q1540" s="180" t="str">
        <f>IF(PEDIDOS[[#This Row],[Valor do item pago]]=PEDIDOS[[#This Row],[Total Item ]],"PAGO", "")</f>
        <v>PAGO</v>
      </c>
    </row>
    <row r="1541" spans="1:17" s="216" customFormat="1" ht="39.950000000000003" customHeight="1" x14ac:dyDescent="0.25">
      <c r="A1541" s="231"/>
      <c r="B1541" s="216">
        <v>422</v>
      </c>
      <c r="C1541" s="232">
        <v>43322</v>
      </c>
      <c r="D1541" s="233" t="s">
        <v>49</v>
      </c>
      <c r="E1541" s="216" t="s">
        <v>613</v>
      </c>
      <c r="F1541" s="216" t="s">
        <v>296</v>
      </c>
      <c r="G1541" s="216" t="s">
        <v>76</v>
      </c>
      <c r="H1541" s="216" t="s">
        <v>84</v>
      </c>
      <c r="I1541" s="234" t="s">
        <v>428</v>
      </c>
      <c r="J1541" s="234"/>
      <c r="K1541" s="234"/>
      <c r="L1541" s="216" t="s">
        <v>0</v>
      </c>
      <c r="M1541" s="178">
        <v>1</v>
      </c>
      <c r="N1541" s="235">
        <v>30</v>
      </c>
      <c r="O1541" s="234">
        <v>30</v>
      </c>
      <c r="P1541" s="234">
        <v>30</v>
      </c>
      <c r="Q1541" s="180" t="str">
        <f>IF(PEDIDOS[[#This Row],[Valor do item pago]]=PEDIDOS[[#This Row],[Total Item ]],"PAGO", "")</f>
        <v>PAGO</v>
      </c>
    </row>
    <row r="1542" spans="1:17" s="216" customFormat="1" ht="39.950000000000003" customHeight="1" x14ac:dyDescent="0.25">
      <c r="A1542" s="231"/>
      <c r="B1542" s="216">
        <v>421</v>
      </c>
      <c r="C1542" s="232">
        <v>43322</v>
      </c>
      <c r="D1542" s="233" t="s">
        <v>49</v>
      </c>
      <c r="E1542" s="216" t="s">
        <v>615</v>
      </c>
      <c r="F1542" s="216" t="s">
        <v>324</v>
      </c>
      <c r="G1542" s="216" t="s">
        <v>616</v>
      </c>
      <c r="H1542" s="216" t="s">
        <v>523</v>
      </c>
      <c r="I1542" s="234" t="s">
        <v>735</v>
      </c>
      <c r="J1542" s="234"/>
      <c r="K1542" s="234" t="s">
        <v>49</v>
      </c>
      <c r="L1542" s="216" t="s">
        <v>3</v>
      </c>
      <c r="M1542" s="178">
        <v>1</v>
      </c>
      <c r="N1542" s="235">
        <v>30</v>
      </c>
      <c r="O1542" s="234">
        <v>30</v>
      </c>
      <c r="P1542" s="234">
        <v>30</v>
      </c>
      <c r="Q1542" s="180" t="str">
        <f>IF(PEDIDOS[[#This Row],[Valor do item pago]]=PEDIDOS[[#This Row],[Total Item ]],"PAGO", "")</f>
        <v>PAGO</v>
      </c>
    </row>
    <row r="1543" spans="1:17" s="216" customFormat="1" ht="39.950000000000003" customHeight="1" x14ac:dyDescent="0.25">
      <c r="A1543" s="231"/>
      <c r="B1543" s="216">
        <v>421</v>
      </c>
      <c r="C1543" s="232">
        <v>43322</v>
      </c>
      <c r="D1543" s="233" t="s">
        <v>49</v>
      </c>
      <c r="E1543" s="216" t="s">
        <v>615</v>
      </c>
      <c r="F1543" s="216" t="s">
        <v>324</v>
      </c>
      <c r="G1543" s="216" t="s">
        <v>616</v>
      </c>
      <c r="H1543" s="216" t="s">
        <v>523</v>
      </c>
      <c r="I1543" s="234" t="s">
        <v>735</v>
      </c>
      <c r="J1543" s="234"/>
      <c r="K1543" s="234" t="s">
        <v>49</v>
      </c>
      <c r="L1543" s="216" t="s">
        <v>219</v>
      </c>
      <c r="M1543" s="178">
        <v>1</v>
      </c>
      <c r="N1543" s="235">
        <v>30</v>
      </c>
      <c r="O1543" s="234">
        <v>30</v>
      </c>
      <c r="P1543" s="234">
        <v>30</v>
      </c>
      <c r="Q1543" s="180" t="str">
        <f>IF(PEDIDOS[[#This Row],[Valor do item pago]]=PEDIDOS[[#This Row],[Total Item ]],"PAGO", "")</f>
        <v>PAGO</v>
      </c>
    </row>
    <row r="1544" spans="1:17" s="216" customFormat="1" ht="39.950000000000003" customHeight="1" x14ac:dyDescent="0.25">
      <c r="A1544" s="231"/>
      <c r="B1544" s="216">
        <v>421</v>
      </c>
      <c r="C1544" s="232">
        <v>43322</v>
      </c>
      <c r="D1544" s="233" t="s">
        <v>49</v>
      </c>
      <c r="E1544" s="216" t="s">
        <v>615</v>
      </c>
      <c r="F1544" s="216" t="s">
        <v>324</v>
      </c>
      <c r="G1544" s="216" t="s">
        <v>616</v>
      </c>
      <c r="H1544" s="216" t="s">
        <v>523</v>
      </c>
      <c r="I1544" s="234" t="s">
        <v>735</v>
      </c>
      <c r="J1544" s="234"/>
      <c r="K1544" s="234" t="s">
        <v>49</v>
      </c>
      <c r="L1544" s="216" t="s">
        <v>1</v>
      </c>
      <c r="M1544" s="178">
        <v>1</v>
      </c>
      <c r="N1544" s="235">
        <v>30</v>
      </c>
      <c r="O1544" s="234">
        <v>30</v>
      </c>
      <c r="P1544" s="234">
        <v>30</v>
      </c>
      <c r="Q1544" s="180" t="str">
        <f>IF(PEDIDOS[[#This Row],[Valor do item pago]]=PEDIDOS[[#This Row],[Total Item ]],"PAGO", "")</f>
        <v>PAGO</v>
      </c>
    </row>
    <row r="1545" spans="1:17" s="216" customFormat="1" ht="39.950000000000003" customHeight="1" x14ac:dyDescent="0.25">
      <c r="A1545" s="231"/>
      <c r="B1545" s="216">
        <v>420</v>
      </c>
      <c r="C1545" s="232">
        <v>43322</v>
      </c>
      <c r="D1545" s="233" t="s">
        <v>49</v>
      </c>
      <c r="E1545" s="216" t="s">
        <v>614</v>
      </c>
      <c r="F1545" s="216" t="s">
        <v>289</v>
      </c>
      <c r="G1545" s="216" t="s">
        <v>72</v>
      </c>
      <c r="H1545" s="216" t="s">
        <v>393</v>
      </c>
      <c r="I1545" s="234" t="s">
        <v>423</v>
      </c>
      <c r="J1545" s="234"/>
      <c r="K1545" s="234"/>
      <c r="L1545" s="216" t="s">
        <v>219</v>
      </c>
      <c r="M1545" s="178">
        <v>1</v>
      </c>
      <c r="N1545" s="235">
        <v>30</v>
      </c>
      <c r="O1545" s="234">
        <v>30</v>
      </c>
      <c r="P1545" s="234">
        <v>30</v>
      </c>
      <c r="Q1545" s="180" t="str">
        <f>IF(PEDIDOS[[#This Row],[Valor do item pago]]=PEDIDOS[[#This Row],[Total Item ]],"PAGO", "")</f>
        <v>PAGO</v>
      </c>
    </row>
    <row r="1546" spans="1:17" s="216" customFormat="1" ht="39.950000000000003" customHeight="1" x14ac:dyDescent="0.25">
      <c r="A1546" s="231"/>
      <c r="B1546" s="216">
        <v>419</v>
      </c>
      <c r="C1546" s="232">
        <v>43322</v>
      </c>
      <c r="D1546" s="233" t="s">
        <v>49</v>
      </c>
      <c r="E1546" s="216" t="s">
        <v>611</v>
      </c>
      <c r="F1546" s="216" t="s">
        <v>276</v>
      </c>
      <c r="G1546" s="216" t="s">
        <v>66</v>
      </c>
      <c r="H1546" s="216" t="s">
        <v>390</v>
      </c>
      <c r="I1546" s="234" t="s">
        <v>253</v>
      </c>
      <c r="J1546" s="234"/>
      <c r="K1546" s="234"/>
      <c r="L1546" s="216" t="s">
        <v>3</v>
      </c>
      <c r="M1546" s="178">
        <v>1</v>
      </c>
      <c r="N1546" s="235">
        <v>30</v>
      </c>
      <c r="O1546" s="234">
        <v>30</v>
      </c>
      <c r="P1546" s="234"/>
      <c r="Q1546" s="180" t="str">
        <f>IF(PEDIDOS[[#This Row],[Valor do item pago]]=PEDIDOS[[#This Row],[Total Item ]],"PAGO", "")</f>
        <v/>
      </c>
    </row>
    <row r="1547" spans="1:17" s="216" customFormat="1" ht="39.950000000000003" customHeight="1" x14ac:dyDescent="0.25">
      <c r="A1547" s="231"/>
      <c r="B1547" s="216">
        <v>418</v>
      </c>
      <c r="C1547" s="232">
        <v>43322</v>
      </c>
      <c r="D1547" s="233" t="s">
        <v>44</v>
      </c>
      <c r="E1547" s="216" t="s">
        <v>746</v>
      </c>
      <c r="F1547" s="216" t="s">
        <v>774</v>
      </c>
      <c r="G1547" s="216" t="s">
        <v>747</v>
      </c>
      <c r="H1547" s="216" t="s">
        <v>748</v>
      </c>
      <c r="I1547" s="234" t="s">
        <v>749</v>
      </c>
      <c r="J1547" s="234"/>
      <c r="K1547" s="234"/>
      <c r="L1547" s="216" t="s">
        <v>219</v>
      </c>
      <c r="M1547" s="178">
        <v>1</v>
      </c>
      <c r="N1547" s="235">
        <v>30</v>
      </c>
      <c r="O1547" s="234">
        <v>30</v>
      </c>
      <c r="P1547" s="234"/>
      <c r="Q1547" s="180" t="str">
        <f>IF(PEDIDOS[[#This Row],[Valor do item pago]]=PEDIDOS[[#This Row],[Total Item ]],"PAGO", "")</f>
        <v/>
      </c>
    </row>
    <row r="1548" spans="1:17" s="216" customFormat="1" ht="39.950000000000003" customHeight="1" x14ac:dyDescent="0.25">
      <c r="A1548" s="231"/>
      <c r="B1548" s="216">
        <v>418</v>
      </c>
      <c r="C1548" s="232">
        <v>43322</v>
      </c>
      <c r="D1548" s="233" t="s">
        <v>44</v>
      </c>
      <c r="E1548" s="216" t="s">
        <v>746</v>
      </c>
      <c r="F1548" s="216" t="s">
        <v>774</v>
      </c>
      <c r="G1548" s="216" t="s">
        <v>747</v>
      </c>
      <c r="H1548" s="216" t="s">
        <v>748</v>
      </c>
      <c r="I1548" s="234" t="s">
        <v>749</v>
      </c>
      <c r="J1548" s="234"/>
      <c r="K1548" s="234"/>
      <c r="L1548" s="216" t="s">
        <v>0</v>
      </c>
      <c r="M1548" s="178">
        <v>1</v>
      </c>
      <c r="N1548" s="235">
        <v>30</v>
      </c>
      <c r="O1548" s="234">
        <v>30</v>
      </c>
      <c r="P1548" s="234"/>
      <c r="Q1548" s="180" t="str">
        <f>IF(PEDIDOS[[#This Row],[Valor do item pago]]=PEDIDOS[[#This Row],[Total Item ]],"PAGO", "")</f>
        <v/>
      </c>
    </row>
    <row r="1549" spans="1:17" s="216" customFormat="1" ht="39.950000000000003" customHeight="1" x14ac:dyDescent="0.25">
      <c r="A1549" s="231"/>
      <c r="B1549" s="216">
        <v>417</v>
      </c>
      <c r="C1549" s="232">
        <v>43322</v>
      </c>
      <c r="D1549" s="233" t="s">
        <v>44</v>
      </c>
      <c r="E1549" s="216" t="s">
        <v>374</v>
      </c>
      <c r="F1549" s="216" t="s">
        <v>313</v>
      </c>
      <c r="G1549" s="216" t="s">
        <v>107</v>
      </c>
      <c r="H1549" s="216" t="s">
        <v>402</v>
      </c>
      <c r="I1549" s="234" t="s">
        <v>658</v>
      </c>
      <c r="J1549" s="234" t="s">
        <v>961</v>
      </c>
      <c r="K1549" s="234"/>
      <c r="L1549" s="216" t="s">
        <v>1</v>
      </c>
      <c r="M1549" s="178">
        <v>1</v>
      </c>
      <c r="N1549" s="235">
        <v>30</v>
      </c>
      <c r="O1549" s="234">
        <v>30</v>
      </c>
      <c r="P1549" s="234"/>
      <c r="Q1549" s="180" t="str">
        <f>IF(PEDIDOS[[#This Row],[Valor do item pago]]=PEDIDOS[[#This Row],[Total Item ]],"PAGO", "")</f>
        <v/>
      </c>
    </row>
    <row r="1550" spans="1:17" s="216" customFormat="1" ht="39.950000000000003" customHeight="1" x14ac:dyDescent="0.25">
      <c r="A1550" s="231"/>
      <c r="B1550" s="216">
        <v>417</v>
      </c>
      <c r="C1550" s="232">
        <v>43322</v>
      </c>
      <c r="D1550" s="233" t="s">
        <v>44</v>
      </c>
      <c r="E1550" s="216" t="s">
        <v>374</v>
      </c>
      <c r="F1550" s="216" t="s">
        <v>313</v>
      </c>
      <c r="G1550" s="216" t="s">
        <v>107</v>
      </c>
      <c r="H1550" s="216" t="s">
        <v>402</v>
      </c>
      <c r="I1550" s="234" t="s">
        <v>658</v>
      </c>
      <c r="J1550" s="234" t="s">
        <v>961</v>
      </c>
      <c r="K1550" s="234"/>
      <c r="L1550" s="216" t="s">
        <v>0</v>
      </c>
      <c r="M1550" s="178">
        <v>1</v>
      </c>
      <c r="N1550" s="235">
        <v>30</v>
      </c>
      <c r="O1550" s="234">
        <v>30</v>
      </c>
      <c r="P1550" s="234"/>
      <c r="Q1550" s="180" t="str">
        <f>IF(PEDIDOS[[#This Row],[Valor do item pago]]=PEDIDOS[[#This Row],[Total Item ]],"PAGO", "")</f>
        <v/>
      </c>
    </row>
    <row r="1551" spans="1:17" s="216" customFormat="1" ht="39.950000000000003" customHeight="1" x14ac:dyDescent="0.25">
      <c r="A1551" s="231"/>
      <c r="B1551" s="216">
        <v>416</v>
      </c>
      <c r="C1551" s="232">
        <v>43322</v>
      </c>
      <c r="D1551" s="233" t="s">
        <v>44</v>
      </c>
      <c r="E1551" s="216" t="s">
        <v>365</v>
      </c>
      <c r="F1551" s="216" t="s">
        <v>300</v>
      </c>
      <c r="G1551" s="216" t="s">
        <v>432</v>
      </c>
      <c r="H1551" s="216" t="s">
        <v>433</v>
      </c>
      <c r="I1551" s="234" t="s">
        <v>434</v>
      </c>
      <c r="J1551" s="234"/>
      <c r="K1551" s="234" t="s">
        <v>960</v>
      </c>
      <c r="L1551" s="216" t="s">
        <v>1</v>
      </c>
      <c r="M1551" s="178">
        <v>1</v>
      </c>
      <c r="N1551" s="235">
        <v>30</v>
      </c>
      <c r="O1551" s="234">
        <v>30</v>
      </c>
      <c r="P1551" s="234"/>
      <c r="Q1551" s="180" t="str">
        <f>IF(PEDIDOS[[#This Row],[Valor do item pago]]=PEDIDOS[[#This Row],[Total Item ]],"PAGO", "")</f>
        <v/>
      </c>
    </row>
    <row r="1552" spans="1:17" s="216" customFormat="1" ht="39.950000000000003" customHeight="1" x14ac:dyDescent="0.25">
      <c r="A1552" s="231"/>
      <c r="B1552" s="216">
        <v>415</v>
      </c>
      <c r="C1552" s="232">
        <v>43322</v>
      </c>
      <c r="D1552" s="233" t="s">
        <v>44</v>
      </c>
      <c r="E1552" s="216" t="s">
        <v>380</v>
      </c>
      <c r="F1552" s="216">
        <v>0</v>
      </c>
      <c r="G1552" s="216">
        <v>0</v>
      </c>
      <c r="H1552" s="216">
        <v>0</v>
      </c>
      <c r="I1552" s="234"/>
      <c r="J1552" s="234"/>
      <c r="K1552" s="234" t="s">
        <v>44</v>
      </c>
      <c r="L1552" s="216" t="s">
        <v>1</v>
      </c>
      <c r="M1552" s="178">
        <v>1</v>
      </c>
      <c r="N1552" s="235">
        <v>30</v>
      </c>
      <c r="O1552" s="234">
        <v>30</v>
      </c>
      <c r="P1552" s="234"/>
      <c r="Q1552" s="180" t="str">
        <f>IF(PEDIDOS[[#This Row],[Valor do item pago]]=PEDIDOS[[#This Row],[Total Item ]],"PAGO", "")</f>
        <v/>
      </c>
    </row>
    <row r="1553" spans="1:17" s="216" customFormat="1" ht="39.950000000000003" customHeight="1" x14ac:dyDescent="0.25">
      <c r="A1553" s="231"/>
      <c r="B1553" s="216">
        <v>414</v>
      </c>
      <c r="C1553" s="232">
        <v>43322</v>
      </c>
      <c r="D1553" s="233" t="s">
        <v>44</v>
      </c>
      <c r="E1553" s="216" t="s">
        <v>741</v>
      </c>
      <c r="F1553" s="216" t="s">
        <v>742</v>
      </c>
      <c r="G1553" s="216">
        <v>0</v>
      </c>
      <c r="H1553" s="216" t="s">
        <v>40</v>
      </c>
      <c r="I1553" s="234"/>
      <c r="J1553" s="234" t="s">
        <v>959</v>
      </c>
      <c r="K1553" s="234" t="s">
        <v>741</v>
      </c>
      <c r="L1553" s="216" t="s">
        <v>235</v>
      </c>
      <c r="M1553" s="178">
        <v>1</v>
      </c>
      <c r="N1553" s="235">
        <v>30</v>
      </c>
      <c r="O1553" s="234">
        <v>30</v>
      </c>
      <c r="P1553" s="234"/>
      <c r="Q1553" s="180" t="str">
        <f>IF(PEDIDOS[[#This Row],[Valor do item pago]]=PEDIDOS[[#This Row],[Total Item ]],"PAGO", "")</f>
        <v/>
      </c>
    </row>
    <row r="1554" spans="1:17" s="216" customFormat="1" ht="39.950000000000003" customHeight="1" x14ac:dyDescent="0.25">
      <c r="A1554" s="231"/>
      <c r="B1554" s="216">
        <v>413</v>
      </c>
      <c r="C1554" s="232">
        <v>43322</v>
      </c>
      <c r="D1554" s="233" t="s">
        <v>44</v>
      </c>
      <c r="E1554" s="216" t="s">
        <v>25</v>
      </c>
      <c r="F1554" s="216" t="s">
        <v>291</v>
      </c>
      <c r="G1554" s="216" t="s">
        <v>330</v>
      </c>
      <c r="H1554" s="216" t="s">
        <v>406</v>
      </c>
      <c r="I1554" s="234" t="s">
        <v>329</v>
      </c>
      <c r="J1554" s="234" t="s">
        <v>958</v>
      </c>
      <c r="K1554" s="234"/>
      <c r="L1554" s="216" t="s">
        <v>219</v>
      </c>
      <c r="M1554" s="178">
        <v>1</v>
      </c>
      <c r="N1554" s="235">
        <v>30</v>
      </c>
      <c r="O1554" s="234">
        <v>30</v>
      </c>
      <c r="P1554" s="234"/>
      <c r="Q1554" s="180" t="str">
        <f>IF(PEDIDOS[[#This Row],[Valor do item pago]]=PEDIDOS[[#This Row],[Total Item ]],"PAGO", "")</f>
        <v/>
      </c>
    </row>
    <row r="1555" spans="1:17" s="216" customFormat="1" ht="39.950000000000003" customHeight="1" x14ac:dyDescent="0.25">
      <c r="A1555" s="231"/>
      <c r="B1555" s="216">
        <v>412</v>
      </c>
      <c r="C1555" s="232">
        <v>43322</v>
      </c>
      <c r="D1555" s="233" t="s">
        <v>44</v>
      </c>
      <c r="E1555" s="216" t="s">
        <v>25</v>
      </c>
      <c r="F1555" s="216" t="s">
        <v>291</v>
      </c>
      <c r="G1555" s="216" t="s">
        <v>330</v>
      </c>
      <c r="H1555" s="216" t="s">
        <v>406</v>
      </c>
      <c r="I1555" s="234" t="s">
        <v>329</v>
      </c>
      <c r="J1555" s="234" t="s">
        <v>741</v>
      </c>
      <c r="K1555" s="234"/>
      <c r="L1555" s="216" t="s">
        <v>219</v>
      </c>
      <c r="M1555" s="178">
        <v>1</v>
      </c>
      <c r="N1555" s="235">
        <v>30</v>
      </c>
      <c r="O1555" s="234">
        <v>30</v>
      </c>
      <c r="P1555" s="234"/>
      <c r="Q1555" s="180" t="str">
        <f>IF(PEDIDOS[[#This Row],[Valor do item pago]]=PEDIDOS[[#This Row],[Total Item ]],"PAGO", "")</f>
        <v/>
      </c>
    </row>
    <row r="1556" spans="1:17" s="216" customFormat="1" ht="39.950000000000003" customHeight="1" x14ac:dyDescent="0.25">
      <c r="A1556" s="231"/>
      <c r="B1556" s="216">
        <v>411</v>
      </c>
      <c r="C1556" s="232">
        <v>43322</v>
      </c>
      <c r="D1556" s="233" t="s">
        <v>231</v>
      </c>
      <c r="E1556" s="216" t="s">
        <v>957</v>
      </c>
      <c r="F1556" s="216">
        <v>0</v>
      </c>
      <c r="G1556" s="216">
        <v>0</v>
      </c>
      <c r="H1556" s="216" t="s">
        <v>40</v>
      </c>
      <c r="I1556" s="234"/>
      <c r="J1556" s="234"/>
      <c r="K1556" s="234" t="s">
        <v>40</v>
      </c>
      <c r="L1556" s="216" t="s">
        <v>219</v>
      </c>
      <c r="M1556" s="178">
        <v>1</v>
      </c>
      <c r="N1556" s="235">
        <v>30</v>
      </c>
      <c r="O1556" s="234">
        <v>30</v>
      </c>
      <c r="P1556" s="234"/>
      <c r="Q1556" s="180" t="str">
        <f>IF(PEDIDOS[[#This Row],[Valor do item pago]]=PEDIDOS[[#This Row],[Total Item ]],"PAGO", "")</f>
        <v/>
      </c>
    </row>
    <row r="1557" spans="1:17" s="216" customFormat="1" ht="39.950000000000003" customHeight="1" x14ac:dyDescent="0.25">
      <c r="A1557" s="231"/>
      <c r="B1557" s="216">
        <v>410</v>
      </c>
      <c r="C1557" s="232">
        <v>43322</v>
      </c>
      <c r="D1557" s="233" t="s">
        <v>231</v>
      </c>
      <c r="E1557" s="216" t="s">
        <v>381</v>
      </c>
      <c r="F1557" s="216">
        <v>0</v>
      </c>
      <c r="G1557" s="216">
        <v>0</v>
      </c>
      <c r="H1557" s="216">
        <v>0</v>
      </c>
      <c r="I1557" s="234"/>
      <c r="J1557" s="234"/>
      <c r="K1557" s="234" t="s">
        <v>231</v>
      </c>
      <c r="L1557" s="216" t="s">
        <v>1</v>
      </c>
      <c r="M1557" s="178">
        <v>1</v>
      </c>
      <c r="N1557" s="235">
        <v>30</v>
      </c>
      <c r="O1557" s="234">
        <v>30</v>
      </c>
      <c r="P1557" s="234">
        <v>30</v>
      </c>
      <c r="Q1557" s="180" t="str">
        <f>IF(PEDIDOS[[#This Row],[Valor do item pago]]=PEDIDOS[[#This Row],[Total Item ]],"PAGO", "")</f>
        <v>PAGO</v>
      </c>
    </row>
    <row r="1558" spans="1:17" s="216" customFormat="1" ht="39.950000000000003" customHeight="1" x14ac:dyDescent="0.25">
      <c r="A1558" s="231"/>
      <c r="B1558" s="216">
        <v>409</v>
      </c>
      <c r="C1558" s="232">
        <v>43322</v>
      </c>
      <c r="D1558" s="233" t="s">
        <v>231</v>
      </c>
      <c r="E1558" s="216" t="s">
        <v>345</v>
      </c>
      <c r="F1558" s="216" t="s">
        <v>285</v>
      </c>
      <c r="G1558" s="216">
        <v>0</v>
      </c>
      <c r="H1558" s="216">
        <v>0</v>
      </c>
      <c r="I1558" s="234"/>
      <c r="J1558" s="234"/>
      <c r="K1558" s="234" t="s">
        <v>231</v>
      </c>
      <c r="L1558" s="216" t="s">
        <v>219</v>
      </c>
      <c r="M1558" s="178">
        <v>1</v>
      </c>
      <c r="N1558" s="235">
        <v>30</v>
      </c>
      <c r="O1558" s="234">
        <v>30</v>
      </c>
      <c r="P1558" s="234">
        <v>30</v>
      </c>
      <c r="Q1558" s="180" t="str">
        <f>IF(PEDIDOS[[#This Row],[Valor do item pago]]=PEDIDOS[[#This Row],[Total Item ]],"PAGO", "")</f>
        <v>PAGO</v>
      </c>
    </row>
    <row r="1559" spans="1:17" s="216" customFormat="1" ht="39.950000000000003" customHeight="1" x14ac:dyDescent="0.25">
      <c r="A1559" s="231"/>
      <c r="B1559" s="216">
        <v>409</v>
      </c>
      <c r="C1559" s="232">
        <v>43322</v>
      </c>
      <c r="D1559" s="233" t="s">
        <v>231</v>
      </c>
      <c r="E1559" s="216" t="s">
        <v>345</v>
      </c>
      <c r="F1559" s="216" t="s">
        <v>285</v>
      </c>
      <c r="G1559" s="216">
        <v>0</v>
      </c>
      <c r="H1559" s="216">
        <v>0</v>
      </c>
      <c r="I1559" s="234"/>
      <c r="J1559" s="234"/>
      <c r="K1559" s="234" t="s">
        <v>231</v>
      </c>
      <c r="L1559" s="216" t="s">
        <v>0</v>
      </c>
      <c r="M1559" s="178">
        <v>1</v>
      </c>
      <c r="N1559" s="235">
        <v>30</v>
      </c>
      <c r="O1559" s="234">
        <v>30</v>
      </c>
      <c r="P1559" s="234">
        <v>30</v>
      </c>
      <c r="Q1559" s="180" t="str">
        <f>IF(PEDIDOS[[#This Row],[Valor do item pago]]=PEDIDOS[[#This Row],[Total Item ]],"PAGO", "")</f>
        <v>PAGO</v>
      </c>
    </row>
    <row r="1560" spans="1:17" s="216" customFormat="1" ht="39.950000000000003" customHeight="1" x14ac:dyDescent="0.25">
      <c r="A1560" s="231"/>
      <c r="B1560" s="216">
        <v>408</v>
      </c>
      <c r="C1560" s="232">
        <v>43322</v>
      </c>
      <c r="D1560" s="233" t="s">
        <v>231</v>
      </c>
      <c r="E1560" s="216" t="s">
        <v>382</v>
      </c>
      <c r="F1560" s="216">
        <v>0</v>
      </c>
      <c r="G1560" s="216">
        <v>0</v>
      </c>
      <c r="H1560" s="216">
        <v>0</v>
      </c>
      <c r="I1560" s="234"/>
      <c r="J1560" s="234"/>
      <c r="K1560" s="234" t="s">
        <v>956</v>
      </c>
      <c r="L1560" s="216" t="s">
        <v>219</v>
      </c>
      <c r="M1560" s="178">
        <v>1</v>
      </c>
      <c r="N1560" s="235">
        <v>30</v>
      </c>
      <c r="O1560" s="234">
        <v>30</v>
      </c>
      <c r="P1560" s="234"/>
      <c r="Q1560" s="180" t="str">
        <f>IF(PEDIDOS[[#This Row],[Valor do item pago]]=PEDIDOS[[#This Row],[Total Item ]],"PAGO", "")</f>
        <v/>
      </c>
    </row>
    <row r="1561" spans="1:17" s="216" customFormat="1" ht="39.950000000000003" customHeight="1" x14ac:dyDescent="0.25">
      <c r="A1561" s="231"/>
      <c r="B1561" s="216">
        <v>407</v>
      </c>
      <c r="C1561" s="232">
        <v>43322</v>
      </c>
      <c r="D1561" s="233" t="s">
        <v>231</v>
      </c>
      <c r="E1561" s="216" t="s">
        <v>370</v>
      </c>
      <c r="F1561" s="216">
        <v>0</v>
      </c>
      <c r="G1561" s="216">
        <v>0</v>
      </c>
      <c r="H1561" s="216" t="s">
        <v>40</v>
      </c>
      <c r="I1561" s="234"/>
      <c r="J1561" s="234"/>
      <c r="K1561" s="234" t="s">
        <v>40</v>
      </c>
      <c r="L1561" s="216" t="s">
        <v>219</v>
      </c>
      <c r="M1561" s="178">
        <v>2</v>
      </c>
      <c r="N1561" s="235">
        <v>30</v>
      </c>
      <c r="O1561" s="234">
        <v>60</v>
      </c>
      <c r="P1561" s="234"/>
      <c r="Q1561" s="180" t="str">
        <f>IF(PEDIDOS[[#This Row],[Valor do item pago]]=PEDIDOS[[#This Row],[Total Item ]],"PAGO", "")</f>
        <v/>
      </c>
    </row>
    <row r="1562" spans="1:17" s="216" customFormat="1" ht="39.950000000000003" customHeight="1" x14ac:dyDescent="0.25">
      <c r="A1562" s="231"/>
      <c r="B1562" s="216">
        <v>406</v>
      </c>
      <c r="C1562" s="232">
        <v>43322</v>
      </c>
      <c r="D1562" s="233" t="s">
        <v>231</v>
      </c>
      <c r="E1562" s="216" t="s">
        <v>362</v>
      </c>
      <c r="F1562" s="216">
        <v>0</v>
      </c>
      <c r="G1562" s="216" t="s">
        <v>186</v>
      </c>
      <c r="H1562" s="216" t="s">
        <v>398</v>
      </c>
      <c r="I1562" s="234" t="s">
        <v>431</v>
      </c>
      <c r="J1562" s="234"/>
      <c r="K1562" s="234" t="s">
        <v>955</v>
      </c>
      <c r="L1562" s="216" t="s">
        <v>219</v>
      </c>
      <c r="M1562" s="178">
        <v>1</v>
      </c>
      <c r="N1562" s="235">
        <v>30</v>
      </c>
      <c r="O1562" s="234">
        <v>30</v>
      </c>
      <c r="P1562" s="234"/>
      <c r="Q1562" s="180" t="str">
        <f>IF(PEDIDOS[[#This Row],[Valor do item pago]]=PEDIDOS[[#This Row],[Total Item ]],"PAGO", "")</f>
        <v/>
      </c>
    </row>
    <row r="1563" spans="1:17" s="216" customFormat="1" ht="39.950000000000003" customHeight="1" x14ac:dyDescent="0.25">
      <c r="A1563" s="231"/>
      <c r="B1563" s="216">
        <v>406</v>
      </c>
      <c r="C1563" s="232">
        <v>43322</v>
      </c>
      <c r="D1563" s="233" t="s">
        <v>231</v>
      </c>
      <c r="E1563" s="216" t="s">
        <v>362</v>
      </c>
      <c r="F1563" s="216">
        <v>0</v>
      </c>
      <c r="G1563" s="216" t="s">
        <v>186</v>
      </c>
      <c r="H1563" s="216" t="s">
        <v>398</v>
      </c>
      <c r="I1563" s="234" t="s">
        <v>431</v>
      </c>
      <c r="J1563" s="234"/>
      <c r="K1563" s="234" t="s">
        <v>955</v>
      </c>
      <c r="L1563" s="216" t="s">
        <v>0</v>
      </c>
      <c r="M1563" s="178">
        <v>1</v>
      </c>
      <c r="N1563" s="235">
        <v>30</v>
      </c>
      <c r="O1563" s="234">
        <v>30</v>
      </c>
      <c r="P1563" s="234"/>
      <c r="Q1563" s="180" t="str">
        <f>IF(PEDIDOS[[#This Row],[Valor do item pago]]=PEDIDOS[[#This Row],[Total Item ]],"PAGO", "")</f>
        <v/>
      </c>
    </row>
    <row r="1564" spans="1:17" s="216" customFormat="1" ht="39.950000000000003" customHeight="1" x14ac:dyDescent="0.25">
      <c r="A1564" s="231"/>
      <c r="B1564" s="216">
        <v>405</v>
      </c>
      <c r="C1564" s="232">
        <v>43322</v>
      </c>
      <c r="D1564" s="233" t="s">
        <v>231</v>
      </c>
      <c r="E1564" s="216" t="s">
        <v>375</v>
      </c>
      <c r="F1564" s="216">
        <v>0</v>
      </c>
      <c r="G1564" s="216">
        <v>0</v>
      </c>
      <c r="H1564" s="216" t="s">
        <v>40</v>
      </c>
      <c r="I1564" s="234"/>
      <c r="J1564" s="234"/>
      <c r="K1564" s="234" t="s">
        <v>40</v>
      </c>
      <c r="L1564" s="216" t="s">
        <v>3</v>
      </c>
      <c r="M1564" s="178">
        <v>2</v>
      </c>
      <c r="N1564" s="235">
        <v>30</v>
      </c>
      <c r="O1564" s="234">
        <v>60</v>
      </c>
      <c r="P1564" s="234"/>
      <c r="Q1564" s="180" t="str">
        <f>IF(PEDIDOS[[#This Row],[Valor do item pago]]=PEDIDOS[[#This Row],[Total Item ]],"PAGO", "")</f>
        <v/>
      </c>
    </row>
    <row r="1565" spans="1:17" s="216" customFormat="1" ht="39.950000000000003" customHeight="1" x14ac:dyDescent="0.25">
      <c r="A1565" s="231"/>
      <c r="B1565" s="216">
        <v>405</v>
      </c>
      <c r="C1565" s="232">
        <v>43322</v>
      </c>
      <c r="D1565" s="233" t="s">
        <v>231</v>
      </c>
      <c r="E1565" s="216" t="s">
        <v>375</v>
      </c>
      <c r="F1565" s="216">
        <v>0</v>
      </c>
      <c r="G1565" s="216">
        <v>0</v>
      </c>
      <c r="H1565" s="216" t="s">
        <v>40</v>
      </c>
      <c r="I1565" s="234"/>
      <c r="J1565" s="234"/>
      <c r="K1565" s="234" t="s">
        <v>40</v>
      </c>
      <c r="L1565" s="216" t="s">
        <v>219</v>
      </c>
      <c r="M1565" s="178">
        <v>1</v>
      </c>
      <c r="N1565" s="235">
        <v>30</v>
      </c>
      <c r="O1565" s="234">
        <v>30</v>
      </c>
      <c r="P1565" s="234"/>
      <c r="Q1565" s="180" t="str">
        <f>IF(PEDIDOS[[#This Row],[Valor do item pago]]=PEDIDOS[[#This Row],[Total Item ]],"PAGO", "")</f>
        <v/>
      </c>
    </row>
    <row r="1566" spans="1:17" s="216" customFormat="1" ht="39.950000000000003" customHeight="1" x14ac:dyDescent="0.25">
      <c r="A1566" s="231"/>
      <c r="B1566" s="216">
        <v>404</v>
      </c>
      <c r="C1566" s="232">
        <v>43322</v>
      </c>
      <c r="D1566" s="233" t="s">
        <v>231</v>
      </c>
      <c r="E1566" s="216" t="s">
        <v>704</v>
      </c>
      <c r="F1566" s="216" t="s">
        <v>805</v>
      </c>
      <c r="G1566" s="216">
        <v>0</v>
      </c>
      <c r="H1566" s="216" t="s">
        <v>40</v>
      </c>
      <c r="I1566" s="234"/>
      <c r="J1566" s="234"/>
      <c r="K1566" s="234" t="s">
        <v>40</v>
      </c>
      <c r="L1566" s="216" t="s">
        <v>1</v>
      </c>
      <c r="M1566" s="178">
        <v>1</v>
      </c>
      <c r="N1566" s="235">
        <v>30</v>
      </c>
      <c r="O1566" s="234">
        <v>30</v>
      </c>
      <c r="P1566" s="234"/>
      <c r="Q1566" s="180" t="str">
        <f>IF(PEDIDOS[[#This Row],[Valor do item pago]]=PEDIDOS[[#This Row],[Total Item ]],"PAGO", "")</f>
        <v/>
      </c>
    </row>
    <row r="1567" spans="1:17" s="216" customFormat="1" ht="39.950000000000003" customHeight="1" x14ac:dyDescent="0.25">
      <c r="A1567" s="231"/>
      <c r="B1567" s="216">
        <v>403</v>
      </c>
      <c r="C1567" s="232">
        <v>43322</v>
      </c>
      <c r="D1567" s="233" t="s">
        <v>231</v>
      </c>
      <c r="E1567" s="216" t="s">
        <v>90</v>
      </c>
      <c r="F1567" s="216" t="s">
        <v>806</v>
      </c>
      <c r="G1567" s="216">
        <v>0</v>
      </c>
      <c r="H1567" s="216" t="s">
        <v>40</v>
      </c>
      <c r="I1567" s="234"/>
      <c r="J1567" s="234"/>
      <c r="K1567" s="234" t="s">
        <v>90</v>
      </c>
      <c r="L1567" s="216" t="s">
        <v>219</v>
      </c>
      <c r="M1567" s="178">
        <v>2</v>
      </c>
      <c r="N1567" s="235">
        <v>30</v>
      </c>
      <c r="O1567" s="234">
        <v>60</v>
      </c>
      <c r="P1567" s="234"/>
      <c r="Q1567" s="180" t="str">
        <f>IF(PEDIDOS[[#This Row],[Valor do item pago]]=PEDIDOS[[#This Row],[Total Item ]],"PAGO", "")</f>
        <v/>
      </c>
    </row>
    <row r="1568" spans="1:17" s="216" customFormat="1" ht="39.950000000000003" customHeight="1" x14ac:dyDescent="0.25">
      <c r="A1568" s="231"/>
      <c r="B1568" s="216">
        <v>402</v>
      </c>
      <c r="C1568" s="232">
        <v>43322</v>
      </c>
      <c r="D1568" s="233" t="s">
        <v>231</v>
      </c>
      <c r="E1568" s="216" t="s">
        <v>597</v>
      </c>
      <c r="F1568" s="216" t="s">
        <v>703</v>
      </c>
      <c r="G1568" s="216" t="s">
        <v>596</v>
      </c>
      <c r="H1568" s="216" t="s">
        <v>84</v>
      </c>
      <c r="I1568" s="234" t="s">
        <v>679</v>
      </c>
      <c r="J1568" s="234"/>
      <c r="K1568" s="234"/>
      <c r="L1568" s="216" t="s">
        <v>219</v>
      </c>
      <c r="M1568" s="178">
        <v>1</v>
      </c>
      <c r="N1568" s="235">
        <v>30</v>
      </c>
      <c r="O1568" s="234">
        <v>30</v>
      </c>
      <c r="P1568" s="234">
        <v>30</v>
      </c>
      <c r="Q1568" s="180" t="str">
        <f>IF(PEDIDOS[[#This Row],[Valor do item pago]]=PEDIDOS[[#This Row],[Total Item ]],"PAGO", "")</f>
        <v>PAGO</v>
      </c>
    </row>
    <row r="1569" spans="1:17" s="216" customFormat="1" ht="39.950000000000003" customHeight="1" x14ac:dyDescent="0.25">
      <c r="A1569" s="231"/>
      <c r="B1569" s="216">
        <v>401</v>
      </c>
      <c r="C1569" s="232">
        <v>43322</v>
      </c>
      <c r="D1569" s="233" t="s">
        <v>231</v>
      </c>
      <c r="E1569" s="216" t="s">
        <v>356</v>
      </c>
      <c r="F1569" s="216" t="s">
        <v>700</v>
      </c>
      <c r="G1569" s="216" t="s">
        <v>699</v>
      </c>
      <c r="H1569" s="216" t="s">
        <v>701</v>
      </c>
      <c r="I1569" s="234" t="s">
        <v>702</v>
      </c>
      <c r="J1569" s="234" t="s">
        <v>954</v>
      </c>
      <c r="K1569" s="234"/>
      <c r="L1569" s="216" t="s">
        <v>219</v>
      </c>
      <c r="M1569" s="178">
        <v>1</v>
      </c>
      <c r="N1569" s="235">
        <v>30</v>
      </c>
      <c r="O1569" s="234">
        <v>30</v>
      </c>
      <c r="P1569" s="234"/>
      <c r="Q1569" s="180" t="str">
        <f>IF(PEDIDOS[[#This Row],[Valor do item pago]]=PEDIDOS[[#This Row],[Total Item ]],"PAGO", "")</f>
        <v/>
      </c>
    </row>
    <row r="1570" spans="1:17" s="216" customFormat="1" ht="39.950000000000003" customHeight="1" x14ac:dyDescent="0.25">
      <c r="A1570" s="231"/>
      <c r="B1570" s="216">
        <v>400</v>
      </c>
      <c r="C1570" s="232">
        <v>43322</v>
      </c>
      <c r="D1570" s="233" t="s">
        <v>231</v>
      </c>
      <c r="E1570" s="216" t="s">
        <v>346</v>
      </c>
      <c r="F1570" s="216" t="s">
        <v>286</v>
      </c>
      <c r="G1570" s="216" t="s">
        <v>595</v>
      </c>
      <c r="H1570" s="216" t="s">
        <v>512</v>
      </c>
      <c r="I1570" s="234" t="s">
        <v>655</v>
      </c>
      <c r="J1570" s="234"/>
      <c r="K1570" s="234"/>
      <c r="L1570" s="216" t="s">
        <v>219</v>
      </c>
      <c r="M1570" s="178">
        <v>1</v>
      </c>
      <c r="N1570" s="235">
        <v>30</v>
      </c>
      <c r="O1570" s="234">
        <v>30</v>
      </c>
      <c r="P1570" s="234"/>
      <c r="Q1570" s="180" t="str">
        <f>IF(PEDIDOS[[#This Row],[Valor do item pago]]=PEDIDOS[[#This Row],[Total Item ]],"PAGO", "")</f>
        <v/>
      </c>
    </row>
    <row r="1571" spans="1:17" s="216" customFormat="1" ht="39.950000000000003" customHeight="1" x14ac:dyDescent="0.25">
      <c r="A1571" s="231"/>
      <c r="B1571" s="216">
        <v>399</v>
      </c>
      <c r="C1571" s="232">
        <v>43322</v>
      </c>
      <c r="D1571" s="233" t="s">
        <v>823</v>
      </c>
      <c r="E1571" s="216" t="s">
        <v>626</v>
      </c>
      <c r="F1571" s="216" t="s">
        <v>627</v>
      </c>
      <c r="G1571" s="216" t="s">
        <v>628</v>
      </c>
      <c r="H1571" s="216" t="s">
        <v>629</v>
      </c>
      <c r="I1571" s="234" t="s">
        <v>683</v>
      </c>
      <c r="J1571" s="234"/>
      <c r="K1571" s="234"/>
      <c r="L1571" s="216" t="s">
        <v>219</v>
      </c>
      <c r="M1571" s="178">
        <v>1</v>
      </c>
      <c r="N1571" s="235">
        <v>30</v>
      </c>
      <c r="O1571" s="234">
        <v>30</v>
      </c>
      <c r="P1571" s="234"/>
      <c r="Q1571" s="180" t="str">
        <f>IF(PEDIDOS[[#This Row],[Valor do item pago]]=PEDIDOS[[#This Row],[Total Item ]],"PAGO", "")</f>
        <v/>
      </c>
    </row>
    <row r="1572" spans="1:17" s="216" customFormat="1" ht="39.950000000000003" customHeight="1" x14ac:dyDescent="0.25">
      <c r="A1572" s="231"/>
      <c r="B1572" s="216">
        <v>399</v>
      </c>
      <c r="C1572" s="232">
        <v>43322</v>
      </c>
      <c r="D1572" s="233" t="s">
        <v>823</v>
      </c>
      <c r="E1572" s="216" t="s">
        <v>626</v>
      </c>
      <c r="F1572" s="216" t="s">
        <v>627</v>
      </c>
      <c r="G1572" s="216" t="s">
        <v>628</v>
      </c>
      <c r="H1572" s="216" t="s">
        <v>629</v>
      </c>
      <c r="I1572" s="234" t="s">
        <v>683</v>
      </c>
      <c r="J1572" s="234"/>
      <c r="K1572" s="234"/>
      <c r="L1572" s="216" t="s">
        <v>0</v>
      </c>
      <c r="M1572" s="178">
        <v>1</v>
      </c>
      <c r="N1572" s="235">
        <v>30</v>
      </c>
      <c r="O1572" s="234">
        <v>30</v>
      </c>
      <c r="P1572" s="234"/>
      <c r="Q1572" s="180" t="str">
        <f>IF(PEDIDOS[[#This Row],[Valor do item pago]]=PEDIDOS[[#This Row],[Total Item ]],"PAGO", "")</f>
        <v/>
      </c>
    </row>
    <row r="1573" spans="1:17" s="216" customFormat="1" ht="39.950000000000003" customHeight="1" x14ac:dyDescent="0.25">
      <c r="A1573" s="231"/>
      <c r="B1573" s="216">
        <v>398</v>
      </c>
      <c r="C1573" s="232">
        <v>43322</v>
      </c>
      <c r="D1573" s="233" t="s">
        <v>823</v>
      </c>
      <c r="E1573" s="216" t="s">
        <v>622</v>
      </c>
      <c r="F1573" s="216" t="s">
        <v>623</v>
      </c>
      <c r="G1573" s="216" t="s">
        <v>625</v>
      </c>
      <c r="H1573" s="216" t="s">
        <v>520</v>
      </c>
      <c r="I1573" s="234" t="s">
        <v>682</v>
      </c>
      <c r="J1573" s="234"/>
      <c r="K1573" s="234"/>
      <c r="L1573" s="216" t="s">
        <v>219</v>
      </c>
      <c r="M1573" s="178">
        <v>1</v>
      </c>
      <c r="N1573" s="235">
        <v>30</v>
      </c>
      <c r="O1573" s="234">
        <v>30</v>
      </c>
      <c r="P1573" s="234"/>
      <c r="Q1573" s="180" t="str">
        <f>IF(PEDIDOS[[#This Row],[Valor do item pago]]=PEDIDOS[[#This Row],[Total Item ]],"PAGO", "")</f>
        <v/>
      </c>
    </row>
    <row r="1574" spans="1:17" s="216" customFormat="1" ht="39.950000000000003" customHeight="1" x14ac:dyDescent="0.25">
      <c r="A1574" s="231"/>
      <c r="B1574" s="216">
        <v>397</v>
      </c>
      <c r="C1574" s="232">
        <v>43322</v>
      </c>
      <c r="D1574" s="233" t="s">
        <v>823</v>
      </c>
      <c r="E1574" s="216" t="s">
        <v>578</v>
      </c>
      <c r="F1574" s="216" t="s">
        <v>573</v>
      </c>
      <c r="G1574" s="216" t="s">
        <v>621</v>
      </c>
      <c r="H1574" s="216" t="s">
        <v>582</v>
      </c>
      <c r="I1574" s="234" t="s">
        <v>674</v>
      </c>
      <c r="J1574" s="234"/>
      <c r="K1574" s="234"/>
      <c r="L1574" s="216" t="s">
        <v>219</v>
      </c>
      <c r="M1574" s="178">
        <v>1</v>
      </c>
      <c r="N1574" s="235">
        <v>30</v>
      </c>
      <c r="O1574" s="234">
        <v>30</v>
      </c>
      <c r="P1574" s="234"/>
      <c r="Q1574" s="180" t="str">
        <f>IF(PEDIDOS[[#This Row],[Valor do item pago]]=PEDIDOS[[#This Row],[Total Item ]],"PAGO", "")</f>
        <v/>
      </c>
    </row>
    <row r="1575" spans="1:17" s="216" customFormat="1" ht="39.950000000000003" customHeight="1" x14ac:dyDescent="0.25">
      <c r="A1575" s="231"/>
      <c r="B1575" s="216">
        <v>396</v>
      </c>
      <c r="C1575" s="232">
        <v>43322</v>
      </c>
      <c r="D1575" s="233" t="s">
        <v>823</v>
      </c>
      <c r="E1575" s="216" t="s">
        <v>618</v>
      </c>
      <c r="F1575" s="216" t="s">
        <v>619</v>
      </c>
      <c r="G1575" s="216" t="s">
        <v>620</v>
      </c>
      <c r="H1575" s="216" t="s">
        <v>84</v>
      </c>
      <c r="I1575" s="234" t="s">
        <v>453</v>
      </c>
      <c r="J1575" s="234"/>
      <c r="K1575" s="234" t="s">
        <v>823</v>
      </c>
      <c r="L1575" s="216" t="s">
        <v>219</v>
      </c>
      <c r="M1575" s="178">
        <v>1</v>
      </c>
      <c r="N1575" s="235">
        <v>30</v>
      </c>
      <c r="O1575" s="234">
        <v>30</v>
      </c>
      <c r="P1575" s="234">
        <v>30</v>
      </c>
      <c r="Q1575" s="180" t="str">
        <f>IF(PEDIDOS[[#This Row],[Valor do item pago]]=PEDIDOS[[#This Row],[Total Item ]],"PAGO", "")</f>
        <v>PAGO</v>
      </c>
    </row>
    <row r="1576" spans="1:17" s="216" customFormat="1" ht="39.950000000000003" customHeight="1" x14ac:dyDescent="0.25">
      <c r="A1576" s="231"/>
      <c r="B1576" s="216">
        <v>395</v>
      </c>
      <c r="C1576" s="232">
        <v>43322</v>
      </c>
      <c r="D1576" s="233" t="s">
        <v>823</v>
      </c>
      <c r="E1576" s="216" t="s">
        <v>576</v>
      </c>
      <c r="F1576" s="216" t="s">
        <v>571</v>
      </c>
      <c r="G1576" s="216" t="s">
        <v>567</v>
      </c>
      <c r="H1576" s="216" t="s">
        <v>569</v>
      </c>
      <c r="I1576" s="234" t="s">
        <v>672</v>
      </c>
      <c r="J1576" s="234"/>
      <c r="K1576" s="234"/>
      <c r="L1576" s="216" t="s">
        <v>219</v>
      </c>
      <c r="M1576" s="178">
        <v>1</v>
      </c>
      <c r="N1576" s="235">
        <v>30</v>
      </c>
      <c r="O1576" s="234">
        <v>30</v>
      </c>
      <c r="P1576" s="234"/>
      <c r="Q1576" s="180" t="str">
        <f>IF(PEDIDOS[[#This Row],[Valor do item pago]]=PEDIDOS[[#This Row],[Total Item ]],"PAGO", "")</f>
        <v/>
      </c>
    </row>
    <row r="1577" spans="1:17" s="216" customFormat="1" ht="39.950000000000003" customHeight="1" x14ac:dyDescent="0.25">
      <c r="A1577" s="231"/>
      <c r="B1577" s="216">
        <v>395</v>
      </c>
      <c r="C1577" s="232">
        <v>43322</v>
      </c>
      <c r="D1577" s="233" t="s">
        <v>823</v>
      </c>
      <c r="E1577" s="216" t="s">
        <v>576</v>
      </c>
      <c r="F1577" s="216" t="s">
        <v>571</v>
      </c>
      <c r="G1577" s="216" t="s">
        <v>567</v>
      </c>
      <c r="H1577" s="216" t="s">
        <v>569</v>
      </c>
      <c r="I1577" s="234" t="s">
        <v>672</v>
      </c>
      <c r="J1577" s="234"/>
      <c r="K1577" s="234"/>
      <c r="L1577" s="216" t="s">
        <v>1</v>
      </c>
      <c r="M1577" s="178">
        <v>1</v>
      </c>
      <c r="N1577" s="235">
        <v>30</v>
      </c>
      <c r="O1577" s="234">
        <v>30</v>
      </c>
      <c r="P1577" s="234"/>
      <c r="Q1577" s="180" t="str">
        <f>IF(PEDIDOS[[#This Row],[Valor do item pago]]=PEDIDOS[[#This Row],[Total Item ]],"PAGO", "")</f>
        <v/>
      </c>
    </row>
    <row r="1578" spans="1:17" s="216" customFormat="1" ht="39.950000000000003" customHeight="1" x14ac:dyDescent="0.25">
      <c r="A1578" s="231"/>
      <c r="B1578" s="216">
        <v>394</v>
      </c>
      <c r="C1578" s="232">
        <v>43322</v>
      </c>
      <c r="D1578" s="233" t="s">
        <v>823</v>
      </c>
      <c r="E1578" s="216" t="s">
        <v>35</v>
      </c>
      <c r="F1578" s="216">
        <v>0</v>
      </c>
      <c r="G1578" s="216" t="s">
        <v>818</v>
      </c>
      <c r="H1578" s="216">
        <v>0</v>
      </c>
      <c r="I1578" s="234"/>
      <c r="J1578" s="234"/>
      <c r="K1578" s="234" t="s">
        <v>823</v>
      </c>
      <c r="L1578" s="216" t="s">
        <v>219</v>
      </c>
      <c r="M1578" s="178">
        <v>2</v>
      </c>
      <c r="N1578" s="235">
        <v>30</v>
      </c>
      <c r="O1578" s="234">
        <v>60</v>
      </c>
      <c r="P1578" s="234"/>
      <c r="Q1578" s="180" t="str">
        <f>IF(PEDIDOS[[#This Row],[Valor do item pago]]=PEDIDOS[[#This Row],[Total Item ]],"PAGO", "")</f>
        <v/>
      </c>
    </row>
    <row r="1579" spans="1:17" s="216" customFormat="1" ht="39.950000000000003" customHeight="1" x14ac:dyDescent="0.25">
      <c r="A1579" s="231"/>
      <c r="B1579" s="216">
        <v>393</v>
      </c>
      <c r="C1579" s="232">
        <v>43322</v>
      </c>
      <c r="D1579" s="233" t="s">
        <v>47</v>
      </c>
      <c r="E1579" s="216" t="s">
        <v>37</v>
      </c>
      <c r="F1579" s="216" t="s">
        <v>321</v>
      </c>
      <c r="G1579" s="216" t="s">
        <v>15</v>
      </c>
      <c r="H1579" s="216" t="s">
        <v>459</v>
      </c>
      <c r="I1579" s="234" t="s">
        <v>458</v>
      </c>
      <c r="J1579" s="234"/>
      <c r="K1579" s="234"/>
      <c r="L1579" s="216" t="s">
        <v>3</v>
      </c>
      <c r="M1579" s="178">
        <v>1</v>
      </c>
      <c r="N1579" s="235">
        <v>30</v>
      </c>
      <c r="O1579" s="234">
        <v>30</v>
      </c>
      <c r="P1579" s="234"/>
      <c r="Q1579" s="180" t="str">
        <f>IF(PEDIDOS[[#This Row],[Valor do item pago]]=PEDIDOS[[#This Row],[Total Item ]],"PAGO", "")</f>
        <v/>
      </c>
    </row>
    <row r="1580" spans="1:17" s="216" customFormat="1" ht="39.950000000000003" customHeight="1" x14ac:dyDescent="0.25">
      <c r="A1580" s="231"/>
      <c r="B1580" s="216">
        <v>392</v>
      </c>
      <c r="C1580" s="232">
        <v>43322</v>
      </c>
      <c r="D1580" s="233" t="s">
        <v>230</v>
      </c>
      <c r="E1580" s="216" t="s">
        <v>20</v>
      </c>
      <c r="F1580" s="216" t="s">
        <v>953</v>
      </c>
      <c r="G1580" s="216" t="s">
        <v>59</v>
      </c>
      <c r="H1580" s="216" t="s">
        <v>462</v>
      </c>
      <c r="I1580" s="234" t="s">
        <v>416</v>
      </c>
      <c r="J1580" s="234"/>
      <c r="K1580" s="234"/>
      <c r="L1580" s="216" t="s">
        <v>1</v>
      </c>
      <c r="M1580" s="178">
        <v>2</v>
      </c>
      <c r="N1580" s="235">
        <v>30</v>
      </c>
      <c r="O1580" s="234">
        <v>60</v>
      </c>
      <c r="P1580" s="234"/>
      <c r="Q1580" s="180" t="str">
        <f>IF(PEDIDOS[[#This Row],[Valor do item pago]]=PEDIDOS[[#This Row],[Total Item ]],"PAGO", "")</f>
        <v/>
      </c>
    </row>
    <row r="1581" spans="1:17" s="216" customFormat="1" ht="39.950000000000003" customHeight="1" x14ac:dyDescent="0.25">
      <c r="A1581" s="231"/>
      <c r="B1581" s="216">
        <v>391</v>
      </c>
      <c r="C1581" s="232">
        <v>43322</v>
      </c>
      <c r="D1581" s="233" t="s">
        <v>24</v>
      </c>
      <c r="E1581" s="216" t="s">
        <v>25</v>
      </c>
      <c r="F1581" s="216" t="s">
        <v>291</v>
      </c>
      <c r="G1581" s="216" t="s">
        <v>330</v>
      </c>
      <c r="H1581" s="216" t="s">
        <v>406</v>
      </c>
      <c r="I1581" s="234" t="s">
        <v>329</v>
      </c>
      <c r="J1581" s="234" t="s">
        <v>24</v>
      </c>
      <c r="K1581" s="234"/>
      <c r="L1581" s="216" t="s">
        <v>219</v>
      </c>
      <c r="M1581" s="178">
        <v>1</v>
      </c>
      <c r="N1581" s="235">
        <v>30</v>
      </c>
      <c r="O1581" s="234">
        <v>30</v>
      </c>
      <c r="P1581" s="234"/>
      <c r="Q1581" s="180" t="str">
        <f>IF(PEDIDOS[[#This Row],[Valor do item pago]]=PEDIDOS[[#This Row],[Total Item ]],"PAGO", "")</f>
        <v/>
      </c>
    </row>
    <row r="1582" spans="1:17" s="216" customFormat="1" ht="39.950000000000003" customHeight="1" x14ac:dyDescent="0.25">
      <c r="A1582" s="231"/>
      <c r="B1582" s="216">
        <v>390</v>
      </c>
      <c r="C1582" s="232">
        <v>43322</v>
      </c>
      <c r="D1582" s="233" t="s">
        <v>24</v>
      </c>
      <c r="E1582" s="216" t="s">
        <v>23</v>
      </c>
      <c r="F1582" s="216">
        <v>0</v>
      </c>
      <c r="G1582" s="216">
        <v>0</v>
      </c>
      <c r="H1582" s="216">
        <v>0</v>
      </c>
      <c r="I1582" s="234"/>
      <c r="J1582" s="234"/>
      <c r="K1582" s="234"/>
      <c r="L1582" s="216" t="s">
        <v>219</v>
      </c>
      <c r="M1582" s="178">
        <v>2</v>
      </c>
      <c r="N1582" s="235">
        <v>30</v>
      </c>
      <c r="O1582" s="234">
        <v>60</v>
      </c>
      <c r="P1582" s="234"/>
      <c r="Q1582" s="180" t="str">
        <f>IF(PEDIDOS[[#This Row],[Valor do item pago]]=PEDIDOS[[#This Row],[Total Item ]],"PAGO", "")</f>
        <v/>
      </c>
    </row>
    <row r="1583" spans="1:17" s="216" customFormat="1" ht="39.950000000000003" customHeight="1" x14ac:dyDescent="0.25">
      <c r="A1583" s="231"/>
      <c r="B1583" s="216">
        <v>389</v>
      </c>
      <c r="C1583" s="232">
        <v>43322</v>
      </c>
      <c r="D1583" s="233" t="s">
        <v>34</v>
      </c>
      <c r="E1583" s="216" t="s">
        <v>594</v>
      </c>
      <c r="F1583" s="216" t="s">
        <v>272</v>
      </c>
      <c r="G1583" s="216" t="s">
        <v>414</v>
      </c>
      <c r="H1583" s="216" t="s">
        <v>112</v>
      </c>
      <c r="I1583" s="234" t="s">
        <v>413</v>
      </c>
      <c r="J1583" s="234"/>
      <c r="K1583" s="234" t="s">
        <v>40</v>
      </c>
      <c r="L1583" s="216" t="s">
        <v>3</v>
      </c>
      <c r="M1583" s="178">
        <v>2</v>
      </c>
      <c r="N1583" s="235">
        <v>30</v>
      </c>
      <c r="O1583" s="234">
        <v>60</v>
      </c>
      <c r="P1583" s="234"/>
      <c r="Q1583" s="180" t="str">
        <f>IF(PEDIDOS[[#This Row],[Valor do item pago]]=PEDIDOS[[#This Row],[Total Item ]],"PAGO", "")</f>
        <v/>
      </c>
    </row>
    <row r="1584" spans="1:17" s="216" customFormat="1" ht="39.950000000000003" customHeight="1" x14ac:dyDescent="0.25">
      <c r="A1584" s="231"/>
      <c r="B1584" s="216">
        <v>388</v>
      </c>
      <c r="C1584" s="232">
        <v>43322</v>
      </c>
      <c r="D1584" s="233" t="s">
        <v>34</v>
      </c>
      <c r="E1584" s="216" t="s">
        <v>591</v>
      </c>
      <c r="F1584" s="216" t="s">
        <v>590</v>
      </c>
      <c r="G1584" s="216" t="s">
        <v>592</v>
      </c>
      <c r="H1584" s="216" t="s">
        <v>593</v>
      </c>
      <c r="I1584" s="234" t="s">
        <v>678</v>
      </c>
      <c r="J1584" s="234"/>
      <c r="K1584" s="234"/>
      <c r="L1584" s="216" t="s">
        <v>3</v>
      </c>
      <c r="M1584" s="178">
        <v>1</v>
      </c>
      <c r="N1584" s="235">
        <v>30</v>
      </c>
      <c r="O1584" s="234">
        <v>30</v>
      </c>
      <c r="P1584" s="234"/>
      <c r="Q1584" s="180" t="str">
        <f>IF(PEDIDOS[[#This Row],[Valor do item pago]]=PEDIDOS[[#This Row],[Total Item ]],"PAGO", "")</f>
        <v/>
      </c>
    </row>
    <row r="1585" spans="1:17" s="216" customFormat="1" ht="39.950000000000003" customHeight="1" x14ac:dyDescent="0.25">
      <c r="A1585" s="231"/>
      <c r="B1585" s="216">
        <v>387</v>
      </c>
      <c r="C1585" s="232">
        <v>43322</v>
      </c>
      <c r="D1585" s="233" t="s">
        <v>34</v>
      </c>
      <c r="E1585" s="216" t="s">
        <v>25</v>
      </c>
      <c r="F1585" s="216" t="s">
        <v>291</v>
      </c>
      <c r="G1585" s="216" t="s">
        <v>330</v>
      </c>
      <c r="H1585" s="216" t="s">
        <v>406</v>
      </c>
      <c r="I1585" s="234" t="s">
        <v>329</v>
      </c>
      <c r="J1585" s="234" t="s">
        <v>952</v>
      </c>
      <c r="K1585" s="234"/>
      <c r="L1585" s="216" t="s">
        <v>219</v>
      </c>
      <c r="M1585" s="178">
        <v>1</v>
      </c>
      <c r="N1585" s="235">
        <v>30</v>
      </c>
      <c r="O1585" s="234">
        <v>30</v>
      </c>
      <c r="P1585" s="234"/>
      <c r="Q1585" s="180" t="str">
        <f>IF(PEDIDOS[[#This Row],[Valor do item pago]]=PEDIDOS[[#This Row],[Total Item ]],"PAGO", "")</f>
        <v/>
      </c>
    </row>
    <row r="1586" spans="1:17" s="216" customFormat="1" ht="39.950000000000003" customHeight="1" x14ac:dyDescent="0.25">
      <c r="A1586" s="231"/>
      <c r="B1586" s="216">
        <v>386</v>
      </c>
      <c r="C1586" s="232">
        <v>43322</v>
      </c>
      <c r="D1586" s="233" t="s">
        <v>804</v>
      </c>
      <c r="E1586" s="216" t="s">
        <v>804</v>
      </c>
      <c r="F1586" s="216" t="s">
        <v>803</v>
      </c>
      <c r="G1586" s="216">
        <v>0</v>
      </c>
      <c r="H1586" s="216">
        <v>0</v>
      </c>
      <c r="I1586" s="234"/>
      <c r="J1586" s="234"/>
      <c r="K1586" s="234" t="s">
        <v>40</v>
      </c>
      <c r="L1586" s="216" t="s">
        <v>3</v>
      </c>
      <c r="M1586" s="178">
        <v>2</v>
      </c>
      <c r="N1586" s="235">
        <v>30</v>
      </c>
      <c r="O1586" s="234">
        <v>60</v>
      </c>
      <c r="P1586" s="234"/>
      <c r="Q1586" s="180" t="str">
        <f>IF(PEDIDOS[[#This Row],[Valor do item pago]]=PEDIDOS[[#This Row],[Total Item ]],"PAGO", "")</f>
        <v/>
      </c>
    </row>
    <row r="1587" spans="1:17" s="216" customFormat="1" ht="39.950000000000003" customHeight="1" x14ac:dyDescent="0.25">
      <c r="A1587" s="231"/>
      <c r="B1587" s="216">
        <v>386</v>
      </c>
      <c r="C1587" s="232">
        <v>43322</v>
      </c>
      <c r="D1587" s="233" t="s">
        <v>804</v>
      </c>
      <c r="E1587" s="216" t="s">
        <v>804</v>
      </c>
      <c r="F1587" s="216" t="s">
        <v>803</v>
      </c>
      <c r="G1587" s="216">
        <v>0</v>
      </c>
      <c r="H1587" s="216">
        <v>0</v>
      </c>
      <c r="I1587" s="234"/>
      <c r="J1587" s="234"/>
      <c r="K1587" s="234" t="s">
        <v>40</v>
      </c>
      <c r="L1587" s="216" t="s">
        <v>219</v>
      </c>
      <c r="M1587" s="178">
        <v>1</v>
      </c>
      <c r="N1587" s="235">
        <v>30</v>
      </c>
      <c r="O1587" s="234">
        <v>30</v>
      </c>
      <c r="P1587" s="234"/>
      <c r="Q1587" s="180" t="str">
        <f>IF(PEDIDOS[[#This Row],[Valor do item pago]]=PEDIDOS[[#This Row],[Total Item ]],"PAGO", "")</f>
        <v/>
      </c>
    </row>
    <row r="1588" spans="1:17" s="216" customFormat="1" ht="39.950000000000003" customHeight="1" x14ac:dyDescent="0.25">
      <c r="A1588" s="231"/>
      <c r="B1588" s="216">
        <v>385</v>
      </c>
      <c r="C1588" s="232">
        <v>43322</v>
      </c>
      <c r="D1588" s="233" t="s">
        <v>229</v>
      </c>
      <c r="E1588" s="216" t="s">
        <v>50</v>
      </c>
      <c r="F1588" s="216">
        <v>0</v>
      </c>
      <c r="G1588" s="216">
        <v>0</v>
      </c>
      <c r="H1588" s="216">
        <v>0</v>
      </c>
      <c r="I1588" s="234"/>
      <c r="J1588" s="234"/>
      <c r="K1588" s="234" t="s">
        <v>40</v>
      </c>
      <c r="L1588" s="216" t="s">
        <v>3</v>
      </c>
      <c r="M1588" s="178">
        <v>3</v>
      </c>
      <c r="N1588" s="235">
        <v>30</v>
      </c>
      <c r="O1588" s="234">
        <v>90</v>
      </c>
      <c r="P1588" s="234"/>
      <c r="Q1588" s="180" t="str">
        <f>IF(PEDIDOS[[#This Row],[Valor do item pago]]=PEDIDOS[[#This Row],[Total Item ]],"PAGO", "")</f>
        <v/>
      </c>
    </row>
    <row r="1589" spans="1:17" s="216" customFormat="1" ht="39.950000000000003" customHeight="1" x14ac:dyDescent="0.25">
      <c r="A1589" s="231"/>
      <c r="B1589" s="216">
        <v>385</v>
      </c>
      <c r="C1589" s="232">
        <v>43322</v>
      </c>
      <c r="D1589" s="233" t="s">
        <v>229</v>
      </c>
      <c r="E1589" s="216" t="s">
        <v>50</v>
      </c>
      <c r="F1589" s="216">
        <v>0</v>
      </c>
      <c r="G1589" s="216">
        <v>0</v>
      </c>
      <c r="H1589" s="216">
        <v>0</v>
      </c>
      <c r="I1589" s="234"/>
      <c r="J1589" s="234"/>
      <c r="K1589" s="234" t="s">
        <v>40</v>
      </c>
      <c r="L1589" s="216" t="s">
        <v>219</v>
      </c>
      <c r="M1589" s="178">
        <v>3</v>
      </c>
      <c r="N1589" s="235">
        <v>30</v>
      </c>
      <c r="O1589" s="234">
        <v>90</v>
      </c>
      <c r="P1589" s="234"/>
      <c r="Q1589" s="180" t="str">
        <f>IF(PEDIDOS[[#This Row],[Valor do item pago]]=PEDIDOS[[#This Row],[Total Item ]],"PAGO", "")</f>
        <v/>
      </c>
    </row>
    <row r="1590" spans="1:17" s="216" customFormat="1" ht="39.950000000000003" customHeight="1" x14ac:dyDescent="0.25">
      <c r="A1590" s="231"/>
      <c r="B1590" s="216">
        <v>385</v>
      </c>
      <c r="C1590" s="232">
        <v>43322</v>
      </c>
      <c r="D1590" s="233" t="s">
        <v>229</v>
      </c>
      <c r="E1590" s="216" t="s">
        <v>50</v>
      </c>
      <c r="F1590" s="216">
        <v>0</v>
      </c>
      <c r="G1590" s="216">
        <v>0</v>
      </c>
      <c r="H1590" s="216">
        <v>0</v>
      </c>
      <c r="I1590" s="234"/>
      <c r="J1590" s="234"/>
      <c r="K1590" s="234" t="s">
        <v>40</v>
      </c>
      <c r="L1590" s="216" t="s">
        <v>1</v>
      </c>
      <c r="M1590" s="178">
        <v>7</v>
      </c>
      <c r="N1590" s="235">
        <v>30</v>
      </c>
      <c r="O1590" s="234">
        <v>210</v>
      </c>
      <c r="P1590" s="234"/>
      <c r="Q1590" s="180" t="str">
        <f>IF(PEDIDOS[[#This Row],[Valor do item pago]]=PEDIDOS[[#This Row],[Total Item ]],"PAGO", "")</f>
        <v/>
      </c>
    </row>
    <row r="1591" spans="1:17" s="216" customFormat="1" ht="39.950000000000003" customHeight="1" x14ac:dyDescent="0.25">
      <c r="A1591" s="231"/>
      <c r="B1591" s="216">
        <v>384</v>
      </c>
      <c r="C1591" s="232">
        <v>43322</v>
      </c>
      <c r="D1591" s="233" t="s">
        <v>584</v>
      </c>
      <c r="E1591" s="216" t="s">
        <v>584</v>
      </c>
      <c r="F1591" s="216" t="s">
        <v>585</v>
      </c>
      <c r="G1591" s="216">
        <v>0</v>
      </c>
      <c r="H1591" s="216">
        <v>0</v>
      </c>
      <c r="I1591" s="234"/>
      <c r="J1591" s="234"/>
      <c r="K1591" s="234" t="s">
        <v>40</v>
      </c>
      <c r="L1591" s="216" t="s">
        <v>219</v>
      </c>
      <c r="M1591" s="178">
        <v>4</v>
      </c>
      <c r="N1591" s="235">
        <v>30</v>
      </c>
      <c r="O1591" s="234">
        <v>120</v>
      </c>
      <c r="P1591" s="234"/>
      <c r="Q1591" s="180" t="str">
        <f>IF(PEDIDOS[[#This Row],[Valor do item pago]]=PEDIDOS[[#This Row],[Total Item ]],"PAGO", "")</f>
        <v/>
      </c>
    </row>
    <row r="1592" spans="1:17" s="216" customFormat="1" ht="39.950000000000003" customHeight="1" x14ac:dyDescent="0.25">
      <c r="A1592" s="231"/>
      <c r="B1592" s="216">
        <v>384</v>
      </c>
      <c r="C1592" s="232">
        <v>43322</v>
      </c>
      <c r="D1592" s="233" t="s">
        <v>584</v>
      </c>
      <c r="E1592" s="216" t="s">
        <v>584</v>
      </c>
      <c r="F1592" s="216" t="s">
        <v>585</v>
      </c>
      <c r="G1592" s="216">
        <v>0</v>
      </c>
      <c r="H1592" s="216">
        <v>0</v>
      </c>
      <c r="I1592" s="234"/>
      <c r="J1592" s="234"/>
      <c r="K1592" s="234" t="s">
        <v>40</v>
      </c>
      <c r="L1592" s="216" t="s">
        <v>1</v>
      </c>
      <c r="M1592" s="178">
        <v>1</v>
      </c>
      <c r="N1592" s="235">
        <v>30</v>
      </c>
      <c r="O1592" s="234">
        <v>30</v>
      </c>
      <c r="P1592" s="234"/>
      <c r="Q1592" s="180" t="str">
        <f>IF(PEDIDOS[[#This Row],[Valor do item pago]]=PEDIDOS[[#This Row],[Total Item ]],"PAGO", "")</f>
        <v/>
      </c>
    </row>
    <row r="1593" spans="1:17" s="216" customFormat="1" ht="39.950000000000003" customHeight="1" x14ac:dyDescent="0.25">
      <c r="A1593" s="231"/>
      <c r="B1593" s="216">
        <v>383</v>
      </c>
      <c r="C1593" s="232">
        <v>43322</v>
      </c>
      <c r="D1593" s="233" t="s">
        <v>45</v>
      </c>
      <c r="E1593" s="216" t="s">
        <v>948</v>
      </c>
      <c r="F1593" s="216" t="s">
        <v>951</v>
      </c>
      <c r="G1593" s="216" t="s">
        <v>949</v>
      </c>
      <c r="H1593" s="216" t="s">
        <v>520</v>
      </c>
      <c r="I1593" s="234" t="s">
        <v>950</v>
      </c>
      <c r="J1593" s="234"/>
      <c r="K1593" s="234"/>
      <c r="L1593" s="216" t="s">
        <v>1</v>
      </c>
      <c r="M1593" s="178">
        <v>1</v>
      </c>
      <c r="N1593" s="235">
        <v>30</v>
      </c>
      <c r="O1593" s="234">
        <v>30</v>
      </c>
      <c r="P1593" s="234"/>
      <c r="Q1593" s="180" t="str">
        <f>IF(PEDIDOS[[#This Row],[Valor do item pago]]=PEDIDOS[[#This Row],[Total Item ]],"PAGO", "")</f>
        <v/>
      </c>
    </row>
    <row r="1594" spans="1:17" s="216" customFormat="1" ht="39.950000000000003" customHeight="1" x14ac:dyDescent="0.25">
      <c r="A1594" s="231"/>
      <c r="B1594" s="216">
        <v>382</v>
      </c>
      <c r="C1594" s="232">
        <v>43322</v>
      </c>
      <c r="D1594" s="233" t="s">
        <v>45</v>
      </c>
      <c r="E1594" s="216" t="s">
        <v>922</v>
      </c>
      <c r="F1594" s="216" t="s">
        <v>930</v>
      </c>
      <c r="G1594" s="216">
        <v>0</v>
      </c>
      <c r="H1594" s="216" t="s">
        <v>40</v>
      </c>
      <c r="I1594" s="234"/>
      <c r="J1594" s="234"/>
      <c r="K1594" s="234" t="s">
        <v>40</v>
      </c>
      <c r="L1594" s="216" t="s">
        <v>1</v>
      </c>
      <c r="M1594" s="178">
        <v>1</v>
      </c>
      <c r="N1594" s="235">
        <v>30</v>
      </c>
      <c r="O1594" s="234">
        <v>30</v>
      </c>
      <c r="P1594" s="234"/>
      <c r="Q1594" s="180" t="str">
        <f>IF(PEDIDOS[[#This Row],[Valor do item pago]]=PEDIDOS[[#This Row],[Total Item ]],"PAGO", "")</f>
        <v/>
      </c>
    </row>
    <row r="1595" spans="1:17" s="216" customFormat="1" ht="39.950000000000003" customHeight="1" x14ac:dyDescent="0.25">
      <c r="A1595" s="231"/>
      <c r="B1595" s="216">
        <v>381</v>
      </c>
      <c r="C1595" s="232">
        <v>43287</v>
      </c>
      <c r="D1595" s="233" t="s">
        <v>231</v>
      </c>
      <c r="E1595" s="216" t="s">
        <v>947</v>
      </c>
      <c r="F1595" s="216">
        <v>0</v>
      </c>
      <c r="G1595" s="216">
        <v>0</v>
      </c>
      <c r="H1595" s="216" t="s">
        <v>40</v>
      </c>
      <c r="I1595" s="234"/>
      <c r="J1595" s="234"/>
      <c r="K1595" s="234" t="s">
        <v>40</v>
      </c>
      <c r="L1595" s="216" t="s">
        <v>1</v>
      </c>
      <c r="M1595" s="178">
        <v>1</v>
      </c>
      <c r="N1595" s="235">
        <v>30</v>
      </c>
      <c r="O1595" s="234">
        <v>30</v>
      </c>
      <c r="P1595" s="234"/>
      <c r="Q1595" s="180" t="str">
        <f>IF(PEDIDOS[[#This Row],[Valor do item pago]]=PEDIDOS[[#This Row],[Total Item ]],"PAGO", "")</f>
        <v/>
      </c>
    </row>
    <row r="1596" spans="1:17" s="216" customFormat="1" ht="39.950000000000003" customHeight="1" x14ac:dyDescent="0.25">
      <c r="A1596" s="231"/>
      <c r="B1596" s="216">
        <v>381</v>
      </c>
      <c r="C1596" s="232">
        <v>43287</v>
      </c>
      <c r="D1596" s="233" t="s">
        <v>231</v>
      </c>
      <c r="E1596" s="216" t="s">
        <v>947</v>
      </c>
      <c r="F1596" s="216">
        <v>0</v>
      </c>
      <c r="G1596" s="216">
        <v>0</v>
      </c>
      <c r="H1596" s="216" t="s">
        <v>40</v>
      </c>
      <c r="I1596" s="234"/>
      <c r="J1596" s="234"/>
      <c r="K1596" s="234" t="s">
        <v>40</v>
      </c>
      <c r="L1596" s="216" t="s">
        <v>0</v>
      </c>
      <c r="M1596" s="178">
        <v>1</v>
      </c>
      <c r="N1596" s="235">
        <v>30</v>
      </c>
      <c r="O1596" s="234">
        <v>30</v>
      </c>
      <c r="P1596" s="234"/>
      <c r="Q1596" s="180" t="str">
        <f>IF(PEDIDOS[[#This Row],[Valor do item pago]]=PEDIDOS[[#This Row],[Total Item ]],"PAGO", "")</f>
        <v/>
      </c>
    </row>
    <row r="1597" spans="1:17" s="216" customFormat="1" ht="39.950000000000003" customHeight="1" x14ac:dyDescent="0.25">
      <c r="A1597" s="231"/>
      <c r="B1597" s="216">
        <v>380</v>
      </c>
      <c r="C1597" s="232">
        <v>43287</v>
      </c>
      <c r="D1597" s="233" t="s">
        <v>60</v>
      </c>
      <c r="E1597" s="216" t="s">
        <v>759</v>
      </c>
      <c r="F1597" s="216" t="s">
        <v>946</v>
      </c>
      <c r="G1597" s="216" t="s">
        <v>791</v>
      </c>
      <c r="H1597" s="216" t="s">
        <v>780</v>
      </c>
      <c r="I1597" s="234" t="s">
        <v>790</v>
      </c>
      <c r="J1597" s="234"/>
      <c r="K1597" s="234"/>
      <c r="L1597" s="216" t="s">
        <v>219</v>
      </c>
      <c r="M1597" s="178">
        <v>1</v>
      </c>
      <c r="N1597" s="235">
        <v>30</v>
      </c>
      <c r="O1597" s="234">
        <v>30</v>
      </c>
      <c r="P1597" s="234">
        <v>30</v>
      </c>
      <c r="Q1597" s="180" t="str">
        <f>IF(PEDIDOS[[#This Row],[Valor do item pago]]=PEDIDOS[[#This Row],[Total Item ]],"PAGO", "")</f>
        <v>PAGO</v>
      </c>
    </row>
    <row r="1598" spans="1:17" s="216" customFormat="1" ht="39.950000000000003" customHeight="1" x14ac:dyDescent="0.25">
      <c r="A1598" s="231"/>
      <c r="B1598" s="216">
        <v>379</v>
      </c>
      <c r="C1598" s="232">
        <v>43287</v>
      </c>
      <c r="D1598" s="233" t="s">
        <v>60</v>
      </c>
      <c r="E1598" s="216" t="s">
        <v>757</v>
      </c>
      <c r="F1598" s="216" t="s">
        <v>945</v>
      </c>
      <c r="G1598" s="216" t="s">
        <v>937</v>
      </c>
      <c r="H1598" s="216" t="s">
        <v>84</v>
      </c>
      <c r="I1598" s="234" t="s">
        <v>439</v>
      </c>
      <c r="J1598" s="234"/>
      <c r="K1598" s="234"/>
      <c r="L1598" s="216" t="s">
        <v>1</v>
      </c>
      <c r="M1598" s="178">
        <v>1</v>
      </c>
      <c r="N1598" s="235">
        <v>30</v>
      </c>
      <c r="O1598" s="234">
        <v>30</v>
      </c>
      <c r="P1598" s="234">
        <v>30</v>
      </c>
      <c r="Q1598" s="180" t="str">
        <f>IF(PEDIDOS[[#This Row],[Valor do item pago]]=PEDIDOS[[#This Row],[Total Item ]],"PAGO", "")</f>
        <v>PAGO</v>
      </c>
    </row>
    <row r="1599" spans="1:17" s="216" customFormat="1" ht="39.950000000000003" customHeight="1" x14ac:dyDescent="0.25">
      <c r="A1599" s="231"/>
      <c r="B1599" s="216">
        <v>378</v>
      </c>
      <c r="C1599" s="232">
        <v>43287</v>
      </c>
      <c r="D1599" s="233" t="s">
        <v>60</v>
      </c>
      <c r="E1599" s="216" t="s">
        <v>941</v>
      </c>
      <c r="F1599" s="216" t="s">
        <v>942</v>
      </c>
      <c r="G1599" s="216" t="s">
        <v>943</v>
      </c>
      <c r="H1599" s="216" t="s">
        <v>84</v>
      </c>
      <c r="I1599" s="234" t="s">
        <v>944</v>
      </c>
      <c r="J1599" s="234"/>
      <c r="K1599" s="234"/>
      <c r="L1599" s="216" t="s">
        <v>219</v>
      </c>
      <c r="M1599" s="178">
        <v>1</v>
      </c>
      <c r="N1599" s="235">
        <v>30</v>
      </c>
      <c r="O1599" s="234">
        <v>30</v>
      </c>
      <c r="P1599" s="234"/>
      <c r="Q1599" s="180" t="str">
        <f>IF(PEDIDOS[[#This Row],[Valor do item pago]]=PEDIDOS[[#This Row],[Total Item ]],"PAGO", "")</f>
        <v/>
      </c>
    </row>
    <row r="1600" spans="1:17" s="216" customFormat="1" ht="39.950000000000003" customHeight="1" x14ac:dyDescent="0.25">
      <c r="A1600" s="231"/>
      <c r="B1600" s="216">
        <v>378</v>
      </c>
      <c r="C1600" s="232">
        <v>43287</v>
      </c>
      <c r="D1600" s="233" t="s">
        <v>60</v>
      </c>
      <c r="E1600" s="216" t="s">
        <v>941</v>
      </c>
      <c r="F1600" s="216" t="s">
        <v>942</v>
      </c>
      <c r="G1600" s="216" t="s">
        <v>943</v>
      </c>
      <c r="H1600" s="216" t="s">
        <v>84</v>
      </c>
      <c r="I1600" s="234" t="s">
        <v>944</v>
      </c>
      <c r="J1600" s="234"/>
      <c r="K1600" s="234"/>
      <c r="L1600" s="216" t="s">
        <v>0</v>
      </c>
      <c r="M1600" s="178">
        <v>1</v>
      </c>
      <c r="N1600" s="235">
        <v>30</v>
      </c>
      <c r="O1600" s="234">
        <v>30</v>
      </c>
      <c r="P1600" s="234"/>
      <c r="Q1600" s="180" t="str">
        <f>IF(PEDIDOS[[#This Row],[Valor do item pago]]=PEDIDOS[[#This Row],[Total Item ]],"PAGO", "")</f>
        <v/>
      </c>
    </row>
    <row r="1601" spans="1:17" s="216" customFormat="1" ht="39.950000000000003" customHeight="1" x14ac:dyDescent="0.25">
      <c r="A1601" s="231"/>
      <c r="B1601" s="216">
        <v>377</v>
      </c>
      <c r="C1601" s="232">
        <v>43287</v>
      </c>
      <c r="D1601" s="233" t="s">
        <v>230</v>
      </c>
      <c r="E1601" s="216" t="s">
        <v>20</v>
      </c>
      <c r="F1601" s="216">
        <v>0</v>
      </c>
      <c r="G1601" s="216" t="s">
        <v>59</v>
      </c>
      <c r="H1601" s="216" t="s">
        <v>462</v>
      </c>
      <c r="I1601" s="234" t="s">
        <v>416</v>
      </c>
      <c r="J1601" s="234"/>
      <c r="K1601" s="234"/>
      <c r="L1601" s="216" t="s">
        <v>1</v>
      </c>
      <c r="M1601" s="178">
        <v>1</v>
      </c>
      <c r="N1601" s="235">
        <v>30</v>
      </c>
      <c r="O1601" s="234">
        <v>30</v>
      </c>
      <c r="P1601" s="234"/>
      <c r="Q1601" s="180" t="str">
        <f>IF(PEDIDOS[[#This Row],[Valor do item pago]]=PEDIDOS[[#This Row],[Total Item ]],"PAGO", "")</f>
        <v/>
      </c>
    </row>
    <row r="1602" spans="1:17" s="216" customFormat="1" ht="39.950000000000003" customHeight="1" x14ac:dyDescent="0.25">
      <c r="A1602" s="231"/>
      <c r="B1602" s="216">
        <v>376</v>
      </c>
      <c r="C1602" s="232">
        <v>43287</v>
      </c>
      <c r="D1602" s="233" t="s">
        <v>60</v>
      </c>
      <c r="E1602" s="216" t="s">
        <v>762</v>
      </c>
      <c r="F1602" s="216">
        <v>0</v>
      </c>
      <c r="G1602" s="216" t="s">
        <v>763</v>
      </c>
      <c r="H1602" s="216">
        <v>0</v>
      </c>
      <c r="I1602" s="234"/>
      <c r="J1602" s="234"/>
      <c r="K1602" s="234" t="s">
        <v>60</v>
      </c>
      <c r="L1602" s="216" t="s">
        <v>3</v>
      </c>
      <c r="M1602" s="178">
        <v>1</v>
      </c>
      <c r="N1602" s="235">
        <v>30</v>
      </c>
      <c r="O1602" s="234">
        <v>30</v>
      </c>
      <c r="P1602" s="234"/>
      <c r="Q1602" s="180" t="str">
        <f>IF(PEDIDOS[[#This Row],[Valor do item pago]]=PEDIDOS[[#This Row],[Total Item ]],"PAGO", "")</f>
        <v/>
      </c>
    </row>
    <row r="1603" spans="1:17" s="216" customFormat="1" ht="39.950000000000003" customHeight="1" x14ac:dyDescent="0.25">
      <c r="A1603" s="231"/>
      <c r="B1603" s="216">
        <v>376</v>
      </c>
      <c r="C1603" s="232">
        <v>43287</v>
      </c>
      <c r="D1603" s="233" t="s">
        <v>60</v>
      </c>
      <c r="E1603" s="216" t="s">
        <v>762</v>
      </c>
      <c r="F1603" s="216">
        <v>0</v>
      </c>
      <c r="G1603" s="216" t="s">
        <v>763</v>
      </c>
      <c r="H1603" s="216">
        <v>0</v>
      </c>
      <c r="I1603" s="234"/>
      <c r="J1603" s="234"/>
      <c r="K1603" s="234" t="s">
        <v>60</v>
      </c>
      <c r="L1603" s="216" t="s">
        <v>219</v>
      </c>
      <c r="M1603" s="178">
        <v>1</v>
      </c>
      <c r="N1603" s="235">
        <v>30</v>
      </c>
      <c r="O1603" s="234">
        <v>30</v>
      </c>
      <c r="P1603" s="234"/>
      <c r="Q1603" s="180" t="str">
        <f>IF(PEDIDOS[[#This Row],[Valor do item pago]]=PEDIDOS[[#This Row],[Total Item ]],"PAGO", "")</f>
        <v/>
      </c>
    </row>
    <row r="1604" spans="1:17" s="216" customFormat="1" ht="39.950000000000003" customHeight="1" x14ac:dyDescent="0.25">
      <c r="A1604" s="231"/>
      <c r="B1604" s="216">
        <v>376</v>
      </c>
      <c r="C1604" s="232">
        <v>43287</v>
      </c>
      <c r="D1604" s="233" t="s">
        <v>60</v>
      </c>
      <c r="E1604" s="216" t="s">
        <v>762</v>
      </c>
      <c r="F1604" s="216">
        <v>0</v>
      </c>
      <c r="G1604" s="216" t="s">
        <v>763</v>
      </c>
      <c r="H1604" s="216">
        <v>0</v>
      </c>
      <c r="I1604" s="234"/>
      <c r="J1604" s="234"/>
      <c r="K1604" s="234" t="s">
        <v>60</v>
      </c>
      <c r="L1604" s="216" t="s">
        <v>1</v>
      </c>
      <c r="M1604" s="178">
        <v>1</v>
      </c>
      <c r="N1604" s="235">
        <v>30</v>
      </c>
      <c r="O1604" s="234">
        <v>30</v>
      </c>
      <c r="P1604" s="234"/>
      <c r="Q1604" s="180" t="str">
        <f>IF(PEDIDOS[[#This Row],[Valor do item pago]]=PEDIDOS[[#This Row],[Total Item ]],"PAGO", "")</f>
        <v/>
      </c>
    </row>
    <row r="1605" spans="1:17" s="216" customFormat="1" ht="39.950000000000003" customHeight="1" x14ac:dyDescent="0.25">
      <c r="A1605" s="231"/>
      <c r="B1605" s="216">
        <v>375</v>
      </c>
      <c r="C1605" s="232">
        <v>43287</v>
      </c>
      <c r="D1605" s="233" t="s">
        <v>60</v>
      </c>
      <c r="E1605" s="216" t="s">
        <v>938</v>
      </c>
      <c r="F1605" s="216" t="s">
        <v>939</v>
      </c>
      <c r="G1605" s="216" t="s">
        <v>940</v>
      </c>
      <c r="H1605" s="216" t="s">
        <v>544</v>
      </c>
      <c r="I1605" s="234" t="s">
        <v>936</v>
      </c>
      <c r="J1605" s="234"/>
      <c r="K1605" s="234"/>
      <c r="L1605" s="216" t="s">
        <v>1</v>
      </c>
      <c r="M1605" s="178">
        <v>1</v>
      </c>
      <c r="N1605" s="235">
        <v>30</v>
      </c>
      <c r="O1605" s="234">
        <v>30</v>
      </c>
      <c r="P1605" s="234">
        <v>30</v>
      </c>
      <c r="Q1605" s="180" t="str">
        <f>IF(PEDIDOS[[#This Row],[Valor do item pago]]=PEDIDOS[[#This Row],[Total Item ]],"PAGO", "")</f>
        <v>PAGO</v>
      </c>
    </row>
    <row r="1606" spans="1:17" s="216" customFormat="1" ht="39.950000000000003" customHeight="1" x14ac:dyDescent="0.25">
      <c r="A1606" s="231"/>
      <c r="B1606" s="216">
        <v>374</v>
      </c>
      <c r="C1606" s="232">
        <v>43287</v>
      </c>
      <c r="D1606" s="233" t="s">
        <v>60</v>
      </c>
      <c r="E1606" s="216" t="s">
        <v>764</v>
      </c>
      <c r="F1606" s="216" t="s">
        <v>775</v>
      </c>
      <c r="G1606" s="216" t="s">
        <v>776</v>
      </c>
      <c r="H1606" s="216" t="s">
        <v>84</v>
      </c>
      <c r="I1606" s="234" t="s">
        <v>786</v>
      </c>
      <c r="J1606" s="234"/>
      <c r="K1606" s="234"/>
      <c r="L1606" s="216" t="s">
        <v>3</v>
      </c>
      <c r="M1606" s="178">
        <v>1</v>
      </c>
      <c r="N1606" s="235">
        <v>30</v>
      </c>
      <c r="O1606" s="234">
        <v>30</v>
      </c>
      <c r="P1606" s="234">
        <v>30</v>
      </c>
      <c r="Q1606" s="180" t="str">
        <f>IF(PEDIDOS[[#This Row],[Valor do item pago]]=PEDIDOS[[#This Row],[Total Item ]],"PAGO", "")</f>
        <v>PAGO</v>
      </c>
    </row>
    <row r="1607" spans="1:17" s="216" customFormat="1" ht="39.950000000000003" customHeight="1" x14ac:dyDescent="0.25">
      <c r="A1607" s="231"/>
      <c r="B1607" s="216">
        <v>373</v>
      </c>
      <c r="C1607" s="232">
        <v>43287</v>
      </c>
      <c r="D1607" s="233" t="s">
        <v>40</v>
      </c>
      <c r="E1607" s="216" t="s">
        <v>934</v>
      </c>
      <c r="F1607" s="216">
        <v>0</v>
      </c>
      <c r="G1607" s="216">
        <v>0</v>
      </c>
      <c r="H1607" s="216" t="s">
        <v>40</v>
      </c>
      <c r="I1607" s="234"/>
      <c r="J1607" s="234" t="s">
        <v>935</v>
      </c>
      <c r="K1607" s="234" t="s">
        <v>40</v>
      </c>
      <c r="L1607" s="216" t="s">
        <v>219</v>
      </c>
      <c r="M1607" s="178">
        <v>1</v>
      </c>
      <c r="N1607" s="235">
        <v>30</v>
      </c>
      <c r="O1607" s="234">
        <v>30</v>
      </c>
      <c r="P1607" s="234"/>
      <c r="Q1607" s="180" t="str">
        <f>IF(PEDIDOS[[#This Row],[Valor do item pago]]=PEDIDOS[[#This Row],[Total Item ]],"PAGO", "")</f>
        <v/>
      </c>
    </row>
    <row r="1608" spans="1:17" s="216" customFormat="1" ht="39.950000000000003" customHeight="1" x14ac:dyDescent="0.25">
      <c r="A1608" s="231"/>
      <c r="B1608" s="216">
        <v>372</v>
      </c>
      <c r="C1608" s="232">
        <v>43287</v>
      </c>
      <c r="D1608" s="233" t="s">
        <v>40</v>
      </c>
      <c r="E1608" s="216" t="s">
        <v>473</v>
      </c>
      <c r="F1608" s="216" t="s">
        <v>315</v>
      </c>
      <c r="G1608" s="216">
        <v>0</v>
      </c>
      <c r="H1608" s="216">
        <v>0</v>
      </c>
      <c r="I1608" s="234"/>
      <c r="J1608" s="234"/>
      <c r="K1608" s="234" t="s">
        <v>40</v>
      </c>
      <c r="L1608" s="216" t="s">
        <v>3</v>
      </c>
      <c r="M1608" s="178">
        <v>1</v>
      </c>
      <c r="N1608" s="235">
        <v>30</v>
      </c>
      <c r="O1608" s="234">
        <v>30</v>
      </c>
      <c r="P1608" s="234"/>
      <c r="Q1608" s="180" t="str">
        <f>IF(PEDIDOS[[#This Row],[Valor do item pago]]=PEDIDOS[[#This Row],[Total Item ]],"PAGO", "")</f>
        <v/>
      </c>
    </row>
    <row r="1609" spans="1:17" s="216" customFormat="1" ht="39.950000000000003" customHeight="1" x14ac:dyDescent="0.25">
      <c r="A1609" s="231"/>
      <c r="B1609" s="216">
        <v>372</v>
      </c>
      <c r="C1609" s="232">
        <v>43287</v>
      </c>
      <c r="D1609" s="233" t="s">
        <v>40</v>
      </c>
      <c r="E1609" s="216" t="s">
        <v>473</v>
      </c>
      <c r="F1609" s="216" t="s">
        <v>315</v>
      </c>
      <c r="G1609" s="216">
        <v>0</v>
      </c>
      <c r="H1609" s="216">
        <v>0</v>
      </c>
      <c r="I1609" s="234"/>
      <c r="J1609" s="234"/>
      <c r="K1609" s="234" t="s">
        <v>40</v>
      </c>
      <c r="L1609" s="216" t="s">
        <v>1</v>
      </c>
      <c r="M1609" s="178">
        <v>1</v>
      </c>
      <c r="N1609" s="235">
        <v>30</v>
      </c>
      <c r="O1609" s="234">
        <v>30</v>
      </c>
      <c r="P1609" s="234"/>
      <c r="Q1609" s="180" t="str">
        <f>IF(PEDIDOS[[#This Row],[Valor do item pago]]=PEDIDOS[[#This Row],[Total Item ]],"PAGO", "")</f>
        <v/>
      </c>
    </row>
    <row r="1610" spans="1:17" s="216" customFormat="1" ht="39.950000000000003" customHeight="1" x14ac:dyDescent="0.25">
      <c r="A1610" s="231"/>
      <c r="B1610" s="216">
        <v>371</v>
      </c>
      <c r="C1610" s="232">
        <v>43287</v>
      </c>
      <c r="D1610" s="233" t="s">
        <v>40</v>
      </c>
      <c r="E1610" s="216" t="s">
        <v>649</v>
      </c>
      <c r="F1610" s="216" t="s">
        <v>310</v>
      </c>
      <c r="G1610" s="216" t="s">
        <v>51</v>
      </c>
      <c r="H1610" s="216" t="s">
        <v>52</v>
      </c>
      <c r="I1610" s="234" t="s">
        <v>447</v>
      </c>
      <c r="J1610" s="234"/>
      <c r="K1610" s="234"/>
      <c r="L1610" s="216" t="s">
        <v>219</v>
      </c>
      <c r="M1610" s="178">
        <v>1</v>
      </c>
      <c r="N1610" s="235">
        <v>30</v>
      </c>
      <c r="O1610" s="234">
        <v>30</v>
      </c>
      <c r="P1610" s="234"/>
      <c r="Q1610" s="180" t="str">
        <f>IF(PEDIDOS[[#This Row],[Valor do item pago]]=PEDIDOS[[#This Row],[Total Item ]],"PAGO", "")</f>
        <v/>
      </c>
    </row>
    <row r="1611" spans="1:17" s="216" customFormat="1" ht="39.950000000000003" customHeight="1" x14ac:dyDescent="0.25">
      <c r="A1611" s="231"/>
      <c r="B1611" s="216">
        <v>370</v>
      </c>
      <c r="C1611" s="232">
        <v>43287</v>
      </c>
      <c r="D1611" s="233" t="s">
        <v>40</v>
      </c>
      <c r="E1611" s="216" t="s">
        <v>632</v>
      </c>
      <c r="F1611" s="216" t="s">
        <v>641</v>
      </c>
      <c r="G1611" s="216" t="s">
        <v>633</v>
      </c>
      <c r="H1611" s="216" t="s">
        <v>461</v>
      </c>
      <c r="I1611" s="234" t="s">
        <v>656</v>
      </c>
      <c r="J1611" s="234" t="s">
        <v>933</v>
      </c>
      <c r="K1611" s="234"/>
      <c r="L1611" s="216" t="s">
        <v>3</v>
      </c>
      <c r="M1611" s="178">
        <v>1</v>
      </c>
      <c r="N1611" s="235">
        <v>30</v>
      </c>
      <c r="O1611" s="234">
        <v>30</v>
      </c>
      <c r="P1611" s="234"/>
      <c r="Q1611" s="180" t="str">
        <f>IF(PEDIDOS[[#This Row],[Valor do item pago]]=PEDIDOS[[#This Row],[Total Item ]],"PAGO", "")</f>
        <v/>
      </c>
    </row>
    <row r="1612" spans="1:17" s="216" customFormat="1" ht="39.950000000000003" customHeight="1" x14ac:dyDescent="0.25">
      <c r="A1612" s="231"/>
      <c r="B1612" s="216">
        <v>370</v>
      </c>
      <c r="C1612" s="232">
        <v>43287</v>
      </c>
      <c r="D1612" s="233" t="s">
        <v>40</v>
      </c>
      <c r="E1612" s="216" t="s">
        <v>632</v>
      </c>
      <c r="F1612" s="216" t="s">
        <v>641</v>
      </c>
      <c r="G1612" s="216" t="s">
        <v>633</v>
      </c>
      <c r="H1612" s="216" t="s">
        <v>461</v>
      </c>
      <c r="I1612" s="234" t="s">
        <v>656</v>
      </c>
      <c r="J1612" s="234" t="s">
        <v>933</v>
      </c>
      <c r="K1612" s="234"/>
      <c r="L1612" s="216" t="s">
        <v>0</v>
      </c>
      <c r="M1612" s="178">
        <v>1</v>
      </c>
      <c r="N1612" s="235">
        <v>30</v>
      </c>
      <c r="O1612" s="234">
        <v>30</v>
      </c>
      <c r="P1612" s="234"/>
      <c r="Q1612" s="180" t="str">
        <f>IF(PEDIDOS[[#This Row],[Valor do item pago]]=PEDIDOS[[#This Row],[Total Item ]],"PAGO", "")</f>
        <v/>
      </c>
    </row>
    <row r="1613" spans="1:17" s="216" customFormat="1" ht="39.950000000000003" customHeight="1" x14ac:dyDescent="0.25">
      <c r="A1613" s="231"/>
      <c r="B1613" s="216">
        <v>369</v>
      </c>
      <c r="C1613" s="232">
        <v>43287</v>
      </c>
      <c r="D1613" s="233" t="s">
        <v>40</v>
      </c>
      <c r="E1613" s="216" t="s">
        <v>647</v>
      </c>
      <c r="F1613" s="216" t="s">
        <v>303</v>
      </c>
      <c r="G1613" s="216" t="s">
        <v>437</v>
      </c>
      <c r="H1613" s="216" t="s">
        <v>84</v>
      </c>
      <c r="I1613" s="234" t="s">
        <v>439</v>
      </c>
      <c r="J1613" s="234"/>
      <c r="K1613" s="234"/>
      <c r="L1613" s="216" t="s">
        <v>1</v>
      </c>
      <c r="M1613" s="178">
        <v>1</v>
      </c>
      <c r="N1613" s="235">
        <v>30</v>
      </c>
      <c r="O1613" s="234">
        <v>30</v>
      </c>
      <c r="P1613" s="234"/>
      <c r="Q1613" s="180" t="str">
        <f>IF(PEDIDOS[[#This Row],[Valor do item pago]]=PEDIDOS[[#This Row],[Total Item ]],"PAGO", "")</f>
        <v/>
      </c>
    </row>
    <row r="1614" spans="1:17" s="216" customFormat="1" ht="39.950000000000003" customHeight="1" x14ac:dyDescent="0.25">
      <c r="A1614" s="231"/>
      <c r="B1614" s="216">
        <v>368</v>
      </c>
      <c r="C1614" s="232">
        <v>43287</v>
      </c>
      <c r="D1614" s="233" t="s">
        <v>40</v>
      </c>
      <c r="E1614" s="216" t="s">
        <v>630</v>
      </c>
      <c r="F1614" s="216" t="s">
        <v>312</v>
      </c>
      <c r="G1614" s="216" t="s">
        <v>616</v>
      </c>
      <c r="H1614" s="216" t="s">
        <v>523</v>
      </c>
      <c r="I1614" s="234" t="s">
        <v>735</v>
      </c>
      <c r="J1614" s="234" t="s">
        <v>932</v>
      </c>
      <c r="K1614" s="234"/>
      <c r="L1614" s="216" t="s">
        <v>1</v>
      </c>
      <c r="M1614" s="178">
        <v>4</v>
      </c>
      <c r="N1614" s="235">
        <v>30</v>
      </c>
      <c r="O1614" s="234">
        <v>120</v>
      </c>
      <c r="P1614" s="234">
        <v>120</v>
      </c>
      <c r="Q1614" s="180" t="str">
        <f>IF(PEDIDOS[[#This Row],[Valor do item pago]]=PEDIDOS[[#This Row],[Total Item ]],"PAGO", "")</f>
        <v>PAGO</v>
      </c>
    </row>
    <row r="1615" spans="1:17" s="216" customFormat="1" ht="39.950000000000003" customHeight="1" x14ac:dyDescent="0.25">
      <c r="A1615" s="231"/>
      <c r="B1615" s="216">
        <v>367</v>
      </c>
      <c r="C1615" s="232">
        <v>43287</v>
      </c>
      <c r="D1615" s="233" t="s">
        <v>40</v>
      </c>
      <c r="E1615" s="216" t="s">
        <v>13</v>
      </c>
      <c r="F1615" s="216">
        <v>0</v>
      </c>
      <c r="G1615" s="216">
        <v>0</v>
      </c>
      <c r="H1615" s="216">
        <v>0</v>
      </c>
      <c r="I1615" s="234"/>
      <c r="J1615" s="234"/>
      <c r="K1615" s="234"/>
      <c r="L1615" s="216" t="s">
        <v>219</v>
      </c>
      <c r="M1615" s="178">
        <v>2</v>
      </c>
      <c r="N1615" s="235">
        <v>30</v>
      </c>
      <c r="O1615" s="234">
        <v>60</v>
      </c>
      <c r="P1615" s="234"/>
      <c r="Q1615" s="180" t="str">
        <f>IF(PEDIDOS[[#This Row],[Valor do item pago]]=PEDIDOS[[#This Row],[Total Item ]],"PAGO", "")</f>
        <v/>
      </c>
    </row>
    <row r="1616" spans="1:17" s="216" customFormat="1" ht="39.950000000000003" customHeight="1" x14ac:dyDescent="0.25">
      <c r="A1616" s="231"/>
      <c r="B1616" s="216">
        <v>366</v>
      </c>
      <c r="C1616" s="232">
        <v>43287</v>
      </c>
      <c r="D1616" s="233" t="s">
        <v>40</v>
      </c>
      <c r="E1616" s="216" t="s">
        <v>204</v>
      </c>
      <c r="F1616" s="216" t="s">
        <v>279</v>
      </c>
      <c r="G1616" s="216">
        <v>0</v>
      </c>
      <c r="H1616" s="216">
        <v>0</v>
      </c>
      <c r="I1616" s="234"/>
      <c r="J1616" s="234"/>
      <c r="K1616" s="234" t="s">
        <v>40</v>
      </c>
      <c r="L1616" s="216" t="s">
        <v>3</v>
      </c>
      <c r="M1616" s="178">
        <v>2</v>
      </c>
      <c r="N1616" s="235">
        <v>30</v>
      </c>
      <c r="O1616" s="234">
        <v>60</v>
      </c>
      <c r="P1616" s="234"/>
      <c r="Q1616" s="180" t="str">
        <f>IF(PEDIDOS[[#This Row],[Valor do item pago]]=PEDIDOS[[#This Row],[Total Item ]],"PAGO", "")</f>
        <v/>
      </c>
    </row>
    <row r="1617" spans="1:17" s="216" customFormat="1" ht="39.950000000000003" customHeight="1" x14ac:dyDescent="0.25">
      <c r="A1617" s="231"/>
      <c r="B1617" s="216">
        <v>365</v>
      </c>
      <c r="C1617" s="232">
        <v>43287</v>
      </c>
      <c r="D1617" s="233" t="s">
        <v>40</v>
      </c>
      <c r="E1617" s="216" t="s">
        <v>203</v>
      </c>
      <c r="F1617" s="216" t="s">
        <v>305</v>
      </c>
      <c r="G1617" s="216" t="s">
        <v>41</v>
      </c>
      <c r="H1617" s="216" t="s">
        <v>441</v>
      </c>
      <c r="I1617" s="234" t="s">
        <v>442</v>
      </c>
      <c r="J1617" s="234"/>
      <c r="K1617" s="234"/>
      <c r="L1617" s="216" t="s">
        <v>1</v>
      </c>
      <c r="M1617" s="178">
        <v>1</v>
      </c>
      <c r="N1617" s="235">
        <v>30</v>
      </c>
      <c r="O1617" s="234">
        <v>30</v>
      </c>
      <c r="P1617" s="234"/>
      <c r="Q1617" s="180" t="str">
        <f>IF(PEDIDOS[[#This Row],[Valor do item pago]]=PEDIDOS[[#This Row],[Total Item ]],"PAGO", "")</f>
        <v/>
      </c>
    </row>
    <row r="1618" spans="1:17" s="216" customFormat="1" ht="39.950000000000003" customHeight="1" x14ac:dyDescent="0.25">
      <c r="A1618" s="231"/>
      <c r="B1618" s="216">
        <v>365</v>
      </c>
      <c r="C1618" s="232">
        <v>43287</v>
      </c>
      <c r="D1618" s="233" t="s">
        <v>40</v>
      </c>
      <c r="E1618" s="216" t="s">
        <v>203</v>
      </c>
      <c r="F1618" s="216" t="s">
        <v>305</v>
      </c>
      <c r="G1618" s="216" t="s">
        <v>41</v>
      </c>
      <c r="H1618" s="216" t="s">
        <v>441</v>
      </c>
      <c r="I1618" s="234" t="s">
        <v>442</v>
      </c>
      <c r="J1618" s="234"/>
      <c r="K1618" s="234"/>
      <c r="L1618" s="216" t="s">
        <v>0</v>
      </c>
      <c r="M1618" s="178">
        <v>1</v>
      </c>
      <c r="N1618" s="235">
        <v>30</v>
      </c>
      <c r="O1618" s="234">
        <v>30</v>
      </c>
      <c r="P1618" s="234"/>
      <c r="Q1618" s="180" t="str">
        <f>IF(PEDIDOS[[#This Row],[Valor do item pago]]=PEDIDOS[[#This Row],[Total Item ]],"PAGO", "")</f>
        <v/>
      </c>
    </row>
    <row r="1619" spans="1:17" s="216" customFormat="1" ht="39.950000000000003" customHeight="1" x14ac:dyDescent="0.25">
      <c r="A1619" s="231"/>
      <c r="B1619" s="216">
        <v>364</v>
      </c>
      <c r="C1619" s="232">
        <v>43287</v>
      </c>
      <c r="D1619" s="233" t="s">
        <v>231</v>
      </c>
      <c r="E1619" s="216" t="s">
        <v>381</v>
      </c>
      <c r="F1619" s="216">
        <v>0</v>
      </c>
      <c r="G1619" s="216">
        <v>0</v>
      </c>
      <c r="H1619" s="216">
        <v>0</v>
      </c>
      <c r="I1619" s="234"/>
      <c r="J1619" s="234"/>
      <c r="K1619" s="234"/>
      <c r="L1619" s="216" t="s">
        <v>1</v>
      </c>
      <c r="M1619" s="178">
        <v>1</v>
      </c>
      <c r="N1619" s="235">
        <v>30</v>
      </c>
      <c r="O1619" s="234">
        <v>30</v>
      </c>
      <c r="P1619" s="234">
        <v>30</v>
      </c>
      <c r="Q1619" s="180" t="str">
        <f>IF(PEDIDOS[[#This Row],[Valor do item pago]]=PEDIDOS[[#This Row],[Total Item ]],"PAGO", "")</f>
        <v>PAGO</v>
      </c>
    </row>
    <row r="1620" spans="1:17" s="216" customFormat="1" ht="39.950000000000003" customHeight="1" x14ac:dyDescent="0.25">
      <c r="A1620" s="231"/>
      <c r="B1620" s="216">
        <v>363</v>
      </c>
      <c r="C1620" s="232">
        <v>43287</v>
      </c>
      <c r="D1620" s="233" t="s">
        <v>231</v>
      </c>
      <c r="E1620" s="216" t="s">
        <v>345</v>
      </c>
      <c r="F1620" s="216" t="s">
        <v>285</v>
      </c>
      <c r="G1620" s="216">
        <v>0</v>
      </c>
      <c r="H1620" s="216">
        <v>0</v>
      </c>
      <c r="I1620" s="234"/>
      <c r="J1620" s="234"/>
      <c r="K1620" s="234" t="s">
        <v>231</v>
      </c>
      <c r="L1620" s="216" t="s">
        <v>219</v>
      </c>
      <c r="M1620" s="178">
        <v>1</v>
      </c>
      <c r="N1620" s="235">
        <v>30</v>
      </c>
      <c r="O1620" s="234">
        <v>30</v>
      </c>
      <c r="P1620" s="234">
        <v>30</v>
      </c>
      <c r="Q1620" s="180" t="str">
        <f>IF(PEDIDOS[[#This Row],[Valor do item pago]]=PEDIDOS[[#This Row],[Total Item ]],"PAGO", "")</f>
        <v>PAGO</v>
      </c>
    </row>
    <row r="1621" spans="1:17" s="216" customFormat="1" ht="39.950000000000003" customHeight="1" x14ac:dyDescent="0.25">
      <c r="A1621" s="231"/>
      <c r="B1621" s="216">
        <v>363</v>
      </c>
      <c r="C1621" s="232">
        <v>43287</v>
      </c>
      <c r="D1621" s="233" t="s">
        <v>231</v>
      </c>
      <c r="E1621" s="216" t="s">
        <v>345</v>
      </c>
      <c r="F1621" s="216" t="s">
        <v>285</v>
      </c>
      <c r="G1621" s="216">
        <v>0</v>
      </c>
      <c r="H1621" s="216">
        <v>0</v>
      </c>
      <c r="I1621" s="234"/>
      <c r="J1621" s="234"/>
      <c r="K1621" s="234" t="s">
        <v>231</v>
      </c>
      <c r="L1621" s="216" t="s">
        <v>0</v>
      </c>
      <c r="M1621" s="178">
        <v>1</v>
      </c>
      <c r="N1621" s="235">
        <v>30</v>
      </c>
      <c r="O1621" s="234">
        <v>30</v>
      </c>
      <c r="P1621" s="234">
        <v>30</v>
      </c>
      <c r="Q1621" s="180" t="str">
        <f>IF(PEDIDOS[[#This Row],[Valor do item pago]]=PEDIDOS[[#This Row],[Total Item ]],"PAGO", "")</f>
        <v>PAGO</v>
      </c>
    </row>
    <row r="1622" spans="1:17" s="216" customFormat="1" ht="39.950000000000003" customHeight="1" x14ac:dyDescent="0.25">
      <c r="A1622" s="231"/>
      <c r="B1622" s="216">
        <v>362</v>
      </c>
      <c r="C1622" s="232">
        <v>43287</v>
      </c>
      <c r="D1622" s="233" t="s">
        <v>231</v>
      </c>
      <c r="E1622" s="216" t="s">
        <v>370</v>
      </c>
      <c r="F1622" s="216">
        <v>0</v>
      </c>
      <c r="G1622" s="216">
        <v>0</v>
      </c>
      <c r="H1622" s="216" t="s">
        <v>40</v>
      </c>
      <c r="I1622" s="234"/>
      <c r="J1622" s="234"/>
      <c r="K1622" s="234" t="s">
        <v>931</v>
      </c>
      <c r="L1622" s="216" t="s">
        <v>219</v>
      </c>
      <c r="M1622" s="178">
        <v>2</v>
      </c>
      <c r="N1622" s="235">
        <v>30</v>
      </c>
      <c r="O1622" s="234">
        <v>60</v>
      </c>
      <c r="P1622" s="234"/>
      <c r="Q1622" s="180" t="str">
        <f>IF(PEDIDOS[[#This Row],[Valor do item pago]]=PEDIDOS[[#This Row],[Total Item ]],"PAGO", "")</f>
        <v/>
      </c>
    </row>
    <row r="1623" spans="1:17" s="216" customFormat="1" ht="39.950000000000003" customHeight="1" x14ac:dyDescent="0.25">
      <c r="A1623" s="231"/>
      <c r="B1623" s="216">
        <v>362</v>
      </c>
      <c r="C1623" s="232">
        <v>43287</v>
      </c>
      <c r="D1623" s="233" t="s">
        <v>231</v>
      </c>
      <c r="E1623" s="216" t="s">
        <v>370</v>
      </c>
      <c r="F1623" s="216">
        <v>0</v>
      </c>
      <c r="G1623" s="216">
        <v>0</v>
      </c>
      <c r="H1623" s="216" t="s">
        <v>40</v>
      </c>
      <c r="I1623" s="234"/>
      <c r="J1623" s="234"/>
      <c r="K1623" s="234" t="s">
        <v>931</v>
      </c>
      <c r="L1623" s="216" t="s">
        <v>1</v>
      </c>
      <c r="M1623" s="178">
        <v>1</v>
      </c>
      <c r="N1623" s="235">
        <v>30</v>
      </c>
      <c r="O1623" s="234">
        <v>30</v>
      </c>
      <c r="P1623" s="234"/>
      <c r="Q1623" s="180" t="str">
        <f>IF(PEDIDOS[[#This Row],[Valor do item pago]]=PEDIDOS[[#This Row],[Total Item ]],"PAGO", "")</f>
        <v/>
      </c>
    </row>
    <row r="1624" spans="1:17" s="216" customFormat="1" ht="39.950000000000003" customHeight="1" x14ac:dyDescent="0.25">
      <c r="A1624" s="231"/>
      <c r="B1624" s="216">
        <v>361</v>
      </c>
      <c r="C1624" s="232">
        <v>43287</v>
      </c>
      <c r="D1624" s="233" t="s">
        <v>231</v>
      </c>
      <c r="E1624" s="216" t="s">
        <v>362</v>
      </c>
      <c r="F1624" s="216">
        <v>0</v>
      </c>
      <c r="G1624" s="216" t="s">
        <v>186</v>
      </c>
      <c r="H1624" s="216" t="s">
        <v>398</v>
      </c>
      <c r="I1624" s="234" t="s">
        <v>431</v>
      </c>
      <c r="J1624" s="234"/>
      <c r="K1624" s="234" t="s">
        <v>40</v>
      </c>
      <c r="L1624" s="216" t="s">
        <v>219</v>
      </c>
      <c r="M1624" s="178">
        <v>1</v>
      </c>
      <c r="N1624" s="235">
        <v>30</v>
      </c>
      <c r="O1624" s="234">
        <v>30</v>
      </c>
      <c r="P1624" s="234"/>
      <c r="Q1624" s="180" t="str">
        <f>IF(PEDIDOS[[#This Row],[Valor do item pago]]=PEDIDOS[[#This Row],[Total Item ]],"PAGO", "")</f>
        <v/>
      </c>
    </row>
    <row r="1625" spans="1:17" s="216" customFormat="1" ht="39.950000000000003" customHeight="1" x14ac:dyDescent="0.25">
      <c r="A1625" s="231"/>
      <c r="B1625" s="216">
        <v>361</v>
      </c>
      <c r="C1625" s="232">
        <v>43287</v>
      </c>
      <c r="D1625" s="233" t="s">
        <v>231</v>
      </c>
      <c r="E1625" s="216" t="s">
        <v>362</v>
      </c>
      <c r="F1625" s="216">
        <v>0</v>
      </c>
      <c r="G1625" s="216" t="s">
        <v>186</v>
      </c>
      <c r="H1625" s="216" t="s">
        <v>398</v>
      </c>
      <c r="I1625" s="234" t="s">
        <v>431</v>
      </c>
      <c r="J1625" s="234"/>
      <c r="K1625" s="234" t="s">
        <v>40</v>
      </c>
      <c r="L1625" s="216" t="s">
        <v>0</v>
      </c>
      <c r="M1625" s="178">
        <v>1</v>
      </c>
      <c r="N1625" s="235">
        <v>30</v>
      </c>
      <c r="O1625" s="234">
        <v>30</v>
      </c>
      <c r="P1625" s="234"/>
      <c r="Q1625" s="180" t="str">
        <f>IF(PEDIDOS[[#This Row],[Valor do item pago]]=PEDIDOS[[#This Row],[Total Item ]],"PAGO", "")</f>
        <v/>
      </c>
    </row>
    <row r="1626" spans="1:17" s="216" customFormat="1" ht="39.950000000000003" customHeight="1" x14ac:dyDescent="0.25">
      <c r="A1626" s="231"/>
      <c r="B1626" s="216">
        <v>360</v>
      </c>
      <c r="C1626" s="232">
        <v>43287</v>
      </c>
      <c r="D1626" s="233" t="s">
        <v>231</v>
      </c>
      <c r="E1626" s="216" t="s">
        <v>375</v>
      </c>
      <c r="F1626" s="216">
        <v>0</v>
      </c>
      <c r="G1626" s="216">
        <v>0</v>
      </c>
      <c r="H1626" s="216" t="s">
        <v>40</v>
      </c>
      <c r="I1626" s="234"/>
      <c r="J1626" s="234"/>
      <c r="K1626" s="234"/>
      <c r="L1626" s="216" t="s">
        <v>3</v>
      </c>
      <c r="M1626" s="178">
        <v>3</v>
      </c>
      <c r="N1626" s="235">
        <v>30</v>
      </c>
      <c r="O1626" s="234">
        <v>90</v>
      </c>
      <c r="P1626" s="234"/>
      <c r="Q1626" s="180" t="str">
        <f>IF(PEDIDOS[[#This Row],[Valor do item pago]]=PEDIDOS[[#This Row],[Total Item ]],"PAGO", "")</f>
        <v/>
      </c>
    </row>
    <row r="1627" spans="1:17" s="216" customFormat="1" ht="39.950000000000003" customHeight="1" x14ac:dyDescent="0.25">
      <c r="A1627" s="231"/>
      <c r="B1627" s="216">
        <v>360</v>
      </c>
      <c r="C1627" s="232">
        <v>43287</v>
      </c>
      <c r="D1627" s="233" t="s">
        <v>231</v>
      </c>
      <c r="E1627" s="216" t="s">
        <v>375</v>
      </c>
      <c r="F1627" s="216">
        <v>0</v>
      </c>
      <c r="G1627" s="216">
        <v>0</v>
      </c>
      <c r="H1627" s="216" t="s">
        <v>40</v>
      </c>
      <c r="I1627" s="234"/>
      <c r="J1627" s="234"/>
      <c r="K1627" s="234"/>
      <c r="L1627" s="216" t="s">
        <v>219</v>
      </c>
      <c r="M1627" s="178">
        <v>2</v>
      </c>
      <c r="N1627" s="235">
        <v>30</v>
      </c>
      <c r="O1627" s="234">
        <v>60</v>
      </c>
      <c r="P1627" s="234"/>
      <c r="Q1627" s="180" t="str">
        <f>IF(PEDIDOS[[#This Row],[Valor do item pago]]=PEDIDOS[[#This Row],[Total Item ]],"PAGO", "")</f>
        <v/>
      </c>
    </row>
    <row r="1628" spans="1:17" s="216" customFormat="1" ht="39.950000000000003" customHeight="1" x14ac:dyDescent="0.25">
      <c r="A1628" s="231"/>
      <c r="B1628" s="216">
        <v>360</v>
      </c>
      <c r="C1628" s="232">
        <v>43287</v>
      </c>
      <c r="D1628" s="233" t="s">
        <v>231</v>
      </c>
      <c r="E1628" s="216" t="s">
        <v>375</v>
      </c>
      <c r="F1628" s="216">
        <v>0</v>
      </c>
      <c r="G1628" s="216">
        <v>0</v>
      </c>
      <c r="H1628" s="216" t="s">
        <v>40</v>
      </c>
      <c r="I1628" s="234"/>
      <c r="J1628" s="234"/>
      <c r="K1628" s="234"/>
      <c r="L1628" s="216" t="s">
        <v>1</v>
      </c>
      <c r="M1628" s="178">
        <v>1</v>
      </c>
      <c r="N1628" s="235">
        <v>30</v>
      </c>
      <c r="O1628" s="234">
        <v>30</v>
      </c>
      <c r="P1628" s="234"/>
      <c r="Q1628" s="180" t="str">
        <f>IF(PEDIDOS[[#This Row],[Valor do item pago]]=PEDIDOS[[#This Row],[Total Item ]],"PAGO", "")</f>
        <v/>
      </c>
    </row>
    <row r="1629" spans="1:17" s="216" customFormat="1" ht="39.950000000000003" customHeight="1" x14ac:dyDescent="0.25">
      <c r="A1629" s="231"/>
      <c r="B1629" s="216">
        <v>359</v>
      </c>
      <c r="C1629" s="232">
        <v>43287</v>
      </c>
      <c r="D1629" s="233" t="s">
        <v>231</v>
      </c>
      <c r="E1629" s="216" t="s">
        <v>704</v>
      </c>
      <c r="F1629" s="216" t="s">
        <v>805</v>
      </c>
      <c r="G1629" s="216">
        <v>0</v>
      </c>
      <c r="H1629" s="216" t="s">
        <v>40</v>
      </c>
      <c r="I1629" s="234"/>
      <c r="J1629" s="234"/>
      <c r="K1629" s="234"/>
      <c r="L1629" s="216" t="s">
        <v>1</v>
      </c>
      <c r="M1629" s="178">
        <v>1</v>
      </c>
      <c r="N1629" s="235">
        <v>30</v>
      </c>
      <c r="O1629" s="234">
        <v>30</v>
      </c>
      <c r="P1629" s="234"/>
      <c r="Q1629" s="180" t="str">
        <f>IF(PEDIDOS[[#This Row],[Valor do item pago]]=PEDIDOS[[#This Row],[Total Item ]],"PAGO", "")</f>
        <v/>
      </c>
    </row>
    <row r="1630" spans="1:17" s="216" customFormat="1" ht="39.950000000000003" customHeight="1" x14ac:dyDescent="0.25">
      <c r="A1630" s="231"/>
      <c r="B1630" s="216">
        <v>358</v>
      </c>
      <c r="C1630" s="232">
        <v>43287</v>
      </c>
      <c r="D1630" s="233" t="s">
        <v>231</v>
      </c>
      <c r="E1630" s="216" t="s">
        <v>90</v>
      </c>
      <c r="F1630" s="216" t="s">
        <v>806</v>
      </c>
      <c r="G1630" s="216">
        <v>0</v>
      </c>
      <c r="H1630" s="216" t="s">
        <v>40</v>
      </c>
      <c r="I1630" s="234"/>
      <c r="J1630" s="234"/>
      <c r="K1630" s="234" t="s">
        <v>90</v>
      </c>
      <c r="L1630" s="216" t="s">
        <v>219</v>
      </c>
      <c r="M1630" s="178">
        <v>2</v>
      </c>
      <c r="N1630" s="235">
        <v>30</v>
      </c>
      <c r="O1630" s="234">
        <v>60</v>
      </c>
      <c r="P1630" s="234"/>
      <c r="Q1630" s="180" t="str">
        <f>IF(PEDIDOS[[#This Row],[Valor do item pago]]=PEDIDOS[[#This Row],[Total Item ]],"PAGO", "")</f>
        <v/>
      </c>
    </row>
    <row r="1631" spans="1:17" s="216" customFormat="1" ht="39.950000000000003" customHeight="1" x14ac:dyDescent="0.25">
      <c r="A1631" s="231"/>
      <c r="B1631" s="216">
        <v>357</v>
      </c>
      <c r="C1631" s="232">
        <v>43287</v>
      </c>
      <c r="D1631" s="233" t="s">
        <v>231</v>
      </c>
      <c r="E1631" s="216" t="s">
        <v>597</v>
      </c>
      <c r="F1631" s="216" t="s">
        <v>703</v>
      </c>
      <c r="G1631" s="216" t="s">
        <v>596</v>
      </c>
      <c r="H1631" s="216" t="s">
        <v>84</v>
      </c>
      <c r="I1631" s="234" t="s">
        <v>679</v>
      </c>
      <c r="J1631" s="234"/>
      <c r="K1631" s="234"/>
      <c r="L1631" s="216" t="s">
        <v>219</v>
      </c>
      <c r="M1631" s="178">
        <v>1</v>
      </c>
      <c r="N1631" s="235">
        <v>30</v>
      </c>
      <c r="O1631" s="234">
        <v>30</v>
      </c>
      <c r="P1631" s="234">
        <v>30</v>
      </c>
      <c r="Q1631" s="180" t="str">
        <f>IF(PEDIDOS[[#This Row],[Valor do item pago]]=PEDIDOS[[#This Row],[Total Item ]],"PAGO", "")</f>
        <v>PAGO</v>
      </c>
    </row>
    <row r="1632" spans="1:17" s="216" customFormat="1" ht="39.950000000000003" customHeight="1" x14ac:dyDescent="0.25">
      <c r="A1632" s="231"/>
      <c r="B1632" s="216">
        <v>356</v>
      </c>
      <c r="C1632" s="232">
        <v>43287</v>
      </c>
      <c r="D1632" s="233" t="s">
        <v>231</v>
      </c>
      <c r="E1632" s="216" t="s">
        <v>356</v>
      </c>
      <c r="F1632" s="216" t="s">
        <v>700</v>
      </c>
      <c r="G1632" s="216" t="s">
        <v>699</v>
      </c>
      <c r="H1632" s="216" t="s">
        <v>701</v>
      </c>
      <c r="I1632" s="234" t="s">
        <v>702</v>
      </c>
      <c r="J1632" s="234"/>
      <c r="K1632" s="234"/>
      <c r="L1632" s="216" t="s">
        <v>219</v>
      </c>
      <c r="M1632" s="178">
        <v>1</v>
      </c>
      <c r="N1632" s="235">
        <v>30</v>
      </c>
      <c r="O1632" s="234">
        <v>30</v>
      </c>
      <c r="P1632" s="234"/>
      <c r="Q1632" s="180" t="str">
        <f>IF(PEDIDOS[[#This Row],[Valor do item pago]]=PEDIDOS[[#This Row],[Total Item ]],"PAGO", "")</f>
        <v/>
      </c>
    </row>
    <row r="1633" spans="1:17" s="216" customFormat="1" ht="39.950000000000003" customHeight="1" x14ac:dyDescent="0.25">
      <c r="A1633" s="231"/>
      <c r="B1633" s="216">
        <v>355</v>
      </c>
      <c r="C1633" s="232">
        <v>43287</v>
      </c>
      <c r="D1633" s="233" t="s">
        <v>231</v>
      </c>
      <c r="E1633" s="216" t="s">
        <v>346</v>
      </c>
      <c r="F1633" s="216" t="s">
        <v>286</v>
      </c>
      <c r="G1633" s="216" t="s">
        <v>595</v>
      </c>
      <c r="H1633" s="216" t="s">
        <v>512</v>
      </c>
      <c r="I1633" s="234" t="s">
        <v>655</v>
      </c>
      <c r="J1633" s="234"/>
      <c r="K1633" s="234"/>
      <c r="L1633" s="216" t="s">
        <v>219</v>
      </c>
      <c r="M1633" s="178">
        <v>1</v>
      </c>
      <c r="N1633" s="235">
        <v>30</v>
      </c>
      <c r="O1633" s="234">
        <v>30</v>
      </c>
      <c r="P1633" s="234"/>
      <c r="Q1633" s="180" t="str">
        <f>IF(PEDIDOS[[#This Row],[Valor do item pago]]=PEDIDOS[[#This Row],[Total Item ]],"PAGO", "")</f>
        <v/>
      </c>
    </row>
    <row r="1634" spans="1:17" s="216" customFormat="1" ht="39.950000000000003" customHeight="1" x14ac:dyDescent="0.25">
      <c r="A1634" s="231"/>
      <c r="B1634" s="216">
        <v>354</v>
      </c>
      <c r="C1634" s="232">
        <v>43287</v>
      </c>
      <c r="D1634" s="233" t="s">
        <v>45</v>
      </c>
      <c r="E1634" s="216" t="s">
        <v>922</v>
      </c>
      <c r="F1634" s="216" t="s">
        <v>930</v>
      </c>
      <c r="G1634" s="216">
        <v>0</v>
      </c>
      <c r="H1634" s="216" t="s">
        <v>40</v>
      </c>
      <c r="I1634" s="234"/>
      <c r="J1634" s="234"/>
      <c r="K1634" s="234"/>
      <c r="L1634" s="216" t="s">
        <v>1</v>
      </c>
      <c r="M1634" s="178">
        <v>1</v>
      </c>
      <c r="N1634" s="235">
        <v>30</v>
      </c>
      <c r="O1634" s="234">
        <v>30</v>
      </c>
      <c r="P1634" s="234"/>
      <c r="Q1634" s="180" t="str">
        <f>IF(PEDIDOS[[#This Row],[Valor do item pago]]=PEDIDOS[[#This Row],[Total Item ]],"PAGO", "")</f>
        <v/>
      </c>
    </row>
    <row r="1635" spans="1:17" s="216" customFormat="1" ht="39.950000000000003" customHeight="1" x14ac:dyDescent="0.25">
      <c r="A1635" s="231"/>
      <c r="B1635" s="216">
        <v>353</v>
      </c>
      <c r="C1635" s="232">
        <v>43287</v>
      </c>
      <c r="D1635" s="233" t="s">
        <v>44</v>
      </c>
      <c r="E1635" s="216" t="s">
        <v>374</v>
      </c>
      <c r="F1635" s="216" t="s">
        <v>313</v>
      </c>
      <c r="G1635" s="216" t="s">
        <v>107</v>
      </c>
      <c r="H1635" s="216" t="s">
        <v>402</v>
      </c>
      <c r="I1635" s="234" t="s">
        <v>658</v>
      </c>
      <c r="J1635" s="234"/>
      <c r="K1635" s="234"/>
      <c r="L1635" s="216" t="s">
        <v>1</v>
      </c>
      <c r="M1635" s="178">
        <v>1</v>
      </c>
      <c r="N1635" s="235">
        <v>30</v>
      </c>
      <c r="O1635" s="234">
        <v>30</v>
      </c>
      <c r="P1635" s="234"/>
      <c r="Q1635" s="180" t="str">
        <f>IF(PEDIDOS[[#This Row],[Valor do item pago]]=PEDIDOS[[#This Row],[Total Item ]],"PAGO", "")</f>
        <v/>
      </c>
    </row>
    <row r="1636" spans="1:17" s="216" customFormat="1" ht="39.950000000000003" customHeight="1" x14ac:dyDescent="0.25">
      <c r="A1636" s="231"/>
      <c r="B1636" s="216">
        <v>353</v>
      </c>
      <c r="C1636" s="232">
        <v>43287</v>
      </c>
      <c r="D1636" s="233" t="s">
        <v>44</v>
      </c>
      <c r="E1636" s="216" t="s">
        <v>374</v>
      </c>
      <c r="F1636" s="216" t="s">
        <v>313</v>
      </c>
      <c r="G1636" s="216" t="s">
        <v>107</v>
      </c>
      <c r="H1636" s="216" t="s">
        <v>402</v>
      </c>
      <c r="I1636" s="234" t="s">
        <v>658</v>
      </c>
      <c r="J1636" s="234"/>
      <c r="K1636" s="234"/>
      <c r="L1636" s="216" t="s">
        <v>0</v>
      </c>
      <c r="M1636" s="178">
        <v>1</v>
      </c>
      <c r="N1636" s="235">
        <v>30</v>
      </c>
      <c r="O1636" s="234">
        <v>30</v>
      </c>
      <c r="P1636" s="234"/>
      <c r="Q1636" s="180" t="str">
        <f>IF(PEDIDOS[[#This Row],[Valor do item pago]]=PEDIDOS[[#This Row],[Total Item ]],"PAGO", "")</f>
        <v/>
      </c>
    </row>
    <row r="1637" spans="1:17" s="216" customFormat="1" ht="39.950000000000003" customHeight="1" x14ac:dyDescent="0.25">
      <c r="A1637" s="231"/>
      <c r="B1637" s="216">
        <v>352</v>
      </c>
      <c r="C1637" s="232">
        <v>43287</v>
      </c>
      <c r="D1637" s="233" t="s">
        <v>44</v>
      </c>
      <c r="E1637" s="216" t="s">
        <v>365</v>
      </c>
      <c r="F1637" s="216" t="s">
        <v>300</v>
      </c>
      <c r="G1637" s="216" t="s">
        <v>432</v>
      </c>
      <c r="H1637" s="216" t="s">
        <v>433</v>
      </c>
      <c r="I1637" s="234" t="s">
        <v>434</v>
      </c>
      <c r="J1637" s="234"/>
      <c r="K1637" s="234" t="s">
        <v>44</v>
      </c>
      <c r="L1637" s="216" t="s">
        <v>1</v>
      </c>
      <c r="M1637" s="178">
        <v>1</v>
      </c>
      <c r="N1637" s="235">
        <v>30</v>
      </c>
      <c r="O1637" s="234">
        <v>30</v>
      </c>
      <c r="P1637" s="234"/>
      <c r="Q1637" s="180" t="str">
        <f>IF(PEDIDOS[[#This Row],[Valor do item pago]]=PEDIDOS[[#This Row],[Total Item ]],"PAGO", "")</f>
        <v/>
      </c>
    </row>
    <row r="1638" spans="1:17" s="216" customFormat="1" ht="39.950000000000003" customHeight="1" x14ac:dyDescent="0.25">
      <c r="A1638" s="231"/>
      <c r="B1638" s="216">
        <v>351</v>
      </c>
      <c r="C1638" s="232">
        <v>43287</v>
      </c>
      <c r="D1638" s="233" t="s">
        <v>44</v>
      </c>
      <c r="E1638" s="216" t="s">
        <v>25</v>
      </c>
      <c r="F1638" s="216" t="s">
        <v>291</v>
      </c>
      <c r="G1638" s="216" t="s">
        <v>330</v>
      </c>
      <c r="H1638" s="216" t="s">
        <v>406</v>
      </c>
      <c r="I1638" s="234" t="s">
        <v>329</v>
      </c>
      <c r="J1638" s="234" t="s">
        <v>929</v>
      </c>
      <c r="K1638" s="234"/>
      <c r="L1638" s="216" t="s">
        <v>219</v>
      </c>
      <c r="M1638" s="178">
        <v>1</v>
      </c>
      <c r="N1638" s="235">
        <v>30</v>
      </c>
      <c r="O1638" s="234">
        <v>30</v>
      </c>
      <c r="P1638" s="234"/>
      <c r="Q1638" s="180" t="str">
        <f>IF(PEDIDOS[[#This Row],[Valor do item pago]]=PEDIDOS[[#This Row],[Total Item ]],"PAGO", "")</f>
        <v/>
      </c>
    </row>
    <row r="1639" spans="1:17" s="216" customFormat="1" ht="39.950000000000003" customHeight="1" x14ac:dyDescent="0.25">
      <c r="A1639" s="231"/>
      <c r="B1639" s="216">
        <v>350</v>
      </c>
      <c r="C1639" s="232">
        <v>43287</v>
      </c>
      <c r="D1639" s="233" t="s">
        <v>44</v>
      </c>
      <c r="E1639" s="216" t="s">
        <v>380</v>
      </c>
      <c r="F1639" s="216">
        <v>0</v>
      </c>
      <c r="G1639" s="216">
        <v>0</v>
      </c>
      <c r="H1639" s="216">
        <v>0</v>
      </c>
      <c r="I1639" s="234"/>
      <c r="J1639" s="234"/>
      <c r="K1639" s="234"/>
      <c r="L1639" s="216" t="s">
        <v>1</v>
      </c>
      <c r="M1639" s="178">
        <v>1</v>
      </c>
      <c r="N1639" s="235">
        <v>30</v>
      </c>
      <c r="O1639" s="234">
        <v>30</v>
      </c>
      <c r="P1639" s="234"/>
      <c r="Q1639" s="180" t="str">
        <f>IF(PEDIDOS[[#This Row],[Valor do item pago]]=PEDIDOS[[#This Row],[Total Item ]],"PAGO", "")</f>
        <v/>
      </c>
    </row>
    <row r="1640" spans="1:17" s="216" customFormat="1" ht="39.950000000000003" customHeight="1" x14ac:dyDescent="0.25">
      <c r="A1640" s="231"/>
      <c r="B1640" s="216">
        <v>349</v>
      </c>
      <c r="C1640" s="232">
        <v>43287</v>
      </c>
      <c r="D1640" s="233" t="s">
        <v>44</v>
      </c>
      <c r="E1640" s="216" t="s">
        <v>744</v>
      </c>
      <c r="F1640" s="216" t="s">
        <v>745</v>
      </c>
      <c r="G1640" s="216">
        <v>0</v>
      </c>
      <c r="H1640" s="216" t="s">
        <v>38</v>
      </c>
      <c r="I1640" s="234"/>
      <c r="J1640" s="234"/>
      <c r="K1640" s="234" t="s">
        <v>44</v>
      </c>
      <c r="L1640" s="216" t="s">
        <v>1</v>
      </c>
      <c r="M1640" s="178">
        <v>1</v>
      </c>
      <c r="N1640" s="235">
        <v>30</v>
      </c>
      <c r="O1640" s="234">
        <v>30</v>
      </c>
      <c r="P1640" s="234"/>
      <c r="Q1640" s="180" t="str">
        <f>IF(PEDIDOS[[#This Row],[Valor do item pago]]=PEDIDOS[[#This Row],[Total Item ]],"PAGO", "")</f>
        <v/>
      </c>
    </row>
    <row r="1641" spans="1:17" s="216" customFormat="1" ht="39.950000000000003" customHeight="1" x14ac:dyDescent="0.25">
      <c r="A1641" s="231"/>
      <c r="B1641" s="216">
        <v>348</v>
      </c>
      <c r="C1641" s="232">
        <v>43287</v>
      </c>
      <c r="D1641" s="233" t="s">
        <v>44</v>
      </c>
      <c r="E1641" s="216" t="s">
        <v>25</v>
      </c>
      <c r="F1641" s="216" t="s">
        <v>291</v>
      </c>
      <c r="G1641" s="216" t="s">
        <v>330</v>
      </c>
      <c r="H1641" s="216" t="s">
        <v>406</v>
      </c>
      <c r="I1641" s="234" t="s">
        <v>329</v>
      </c>
      <c r="J1641" s="234" t="s">
        <v>741</v>
      </c>
      <c r="K1641" s="234"/>
      <c r="L1641" s="216" t="s">
        <v>219</v>
      </c>
      <c r="M1641" s="178">
        <v>1</v>
      </c>
      <c r="N1641" s="235">
        <v>30</v>
      </c>
      <c r="O1641" s="234">
        <v>30</v>
      </c>
      <c r="P1641" s="234"/>
      <c r="Q1641" s="180" t="str">
        <f>IF(PEDIDOS[[#This Row],[Valor do item pago]]=PEDIDOS[[#This Row],[Total Item ]],"PAGO", "")</f>
        <v/>
      </c>
    </row>
    <row r="1642" spans="1:17" s="216" customFormat="1" ht="39.950000000000003" customHeight="1" x14ac:dyDescent="0.25">
      <c r="A1642" s="231"/>
      <c r="B1642" s="216">
        <v>347</v>
      </c>
      <c r="C1642" s="232">
        <v>43287</v>
      </c>
      <c r="D1642" s="233" t="s">
        <v>44</v>
      </c>
      <c r="E1642" s="216" t="s">
        <v>741</v>
      </c>
      <c r="F1642" s="216" t="s">
        <v>742</v>
      </c>
      <c r="G1642" s="216">
        <v>0</v>
      </c>
      <c r="H1642" s="216" t="s">
        <v>40</v>
      </c>
      <c r="I1642" s="234"/>
      <c r="J1642" s="234" t="s">
        <v>928</v>
      </c>
      <c r="K1642" s="234"/>
      <c r="L1642" s="216" t="s">
        <v>235</v>
      </c>
      <c r="M1642" s="178">
        <v>1</v>
      </c>
      <c r="N1642" s="235">
        <v>30</v>
      </c>
      <c r="O1642" s="234">
        <v>30</v>
      </c>
      <c r="P1642" s="234"/>
      <c r="Q1642" s="180" t="str">
        <f>IF(PEDIDOS[[#This Row],[Valor do item pago]]=PEDIDOS[[#This Row],[Total Item ]],"PAGO", "")</f>
        <v/>
      </c>
    </row>
    <row r="1643" spans="1:17" s="216" customFormat="1" ht="39.950000000000003" customHeight="1" x14ac:dyDescent="0.25">
      <c r="A1643" s="231"/>
      <c r="B1643" s="216">
        <v>346</v>
      </c>
      <c r="C1643" s="232">
        <v>43287</v>
      </c>
      <c r="D1643" s="233" t="s">
        <v>49</v>
      </c>
      <c r="E1643" s="216" t="s">
        <v>613</v>
      </c>
      <c r="F1643" s="216" t="s">
        <v>296</v>
      </c>
      <c r="G1643" s="216" t="s">
        <v>76</v>
      </c>
      <c r="H1643" s="216" t="s">
        <v>84</v>
      </c>
      <c r="I1643" s="234" t="s">
        <v>428</v>
      </c>
      <c r="J1643" s="234"/>
      <c r="K1643" s="234"/>
      <c r="L1643" s="216" t="s">
        <v>1</v>
      </c>
      <c r="M1643" s="178">
        <v>1</v>
      </c>
      <c r="N1643" s="235">
        <v>30</v>
      </c>
      <c r="O1643" s="234">
        <v>30</v>
      </c>
      <c r="P1643" s="234">
        <v>30</v>
      </c>
      <c r="Q1643" s="180" t="str">
        <f>IF(PEDIDOS[[#This Row],[Valor do item pago]]=PEDIDOS[[#This Row],[Total Item ]],"PAGO", "")</f>
        <v>PAGO</v>
      </c>
    </row>
    <row r="1644" spans="1:17" s="216" customFormat="1" ht="39.950000000000003" customHeight="1" x14ac:dyDescent="0.25">
      <c r="A1644" s="231"/>
      <c r="B1644" s="216">
        <v>346</v>
      </c>
      <c r="C1644" s="232">
        <v>43287</v>
      </c>
      <c r="D1644" s="233" t="s">
        <v>49</v>
      </c>
      <c r="E1644" s="216" t="s">
        <v>613</v>
      </c>
      <c r="F1644" s="216" t="s">
        <v>296</v>
      </c>
      <c r="G1644" s="216" t="s">
        <v>76</v>
      </c>
      <c r="H1644" s="216" t="s">
        <v>84</v>
      </c>
      <c r="I1644" s="234" t="s">
        <v>428</v>
      </c>
      <c r="J1644" s="234"/>
      <c r="K1644" s="234"/>
      <c r="L1644" s="216" t="s">
        <v>0</v>
      </c>
      <c r="M1644" s="178">
        <v>1</v>
      </c>
      <c r="N1644" s="235">
        <v>30</v>
      </c>
      <c r="O1644" s="234">
        <v>30</v>
      </c>
      <c r="P1644" s="234">
        <v>30</v>
      </c>
      <c r="Q1644" s="180" t="str">
        <f>IF(PEDIDOS[[#This Row],[Valor do item pago]]=PEDIDOS[[#This Row],[Total Item ]],"PAGO", "")</f>
        <v>PAGO</v>
      </c>
    </row>
    <row r="1645" spans="1:17" s="216" customFormat="1" ht="39.950000000000003" customHeight="1" x14ac:dyDescent="0.25">
      <c r="A1645" s="231"/>
      <c r="B1645" s="216">
        <v>345</v>
      </c>
      <c r="C1645" s="232">
        <v>43287</v>
      </c>
      <c r="D1645" s="233" t="s">
        <v>49</v>
      </c>
      <c r="E1645" s="216" t="s">
        <v>615</v>
      </c>
      <c r="F1645" s="216" t="s">
        <v>324</v>
      </c>
      <c r="G1645" s="216" t="s">
        <v>616</v>
      </c>
      <c r="H1645" s="216" t="s">
        <v>523</v>
      </c>
      <c r="I1645" s="234" t="s">
        <v>657</v>
      </c>
      <c r="J1645" s="234"/>
      <c r="K1645" s="234"/>
      <c r="L1645" s="216" t="s">
        <v>3</v>
      </c>
      <c r="M1645" s="178">
        <v>1</v>
      </c>
      <c r="N1645" s="235">
        <v>30</v>
      </c>
      <c r="O1645" s="234">
        <v>30</v>
      </c>
      <c r="P1645" s="234">
        <v>30</v>
      </c>
      <c r="Q1645" s="180" t="str">
        <f>IF(PEDIDOS[[#This Row],[Valor do item pago]]=PEDIDOS[[#This Row],[Total Item ]],"PAGO", "")</f>
        <v>PAGO</v>
      </c>
    </row>
    <row r="1646" spans="1:17" s="216" customFormat="1" ht="39.950000000000003" customHeight="1" x14ac:dyDescent="0.25">
      <c r="A1646" s="231"/>
      <c r="B1646" s="216">
        <v>345</v>
      </c>
      <c r="C1646" s="232">
        <v>43287</v>
      </c>
      <c r="D1646" s="233" t="s">
        <v>49</v>
      </c>
      <c r="E1646" s="216" t="s">
        <v>615</v>
      </c>
      <c r="F1646" s="216" t="s">
        <v>324</v>
      </c>
      <c r="G1646" s="216" t="s">
        <v>616</v>
      </c>
      <c r="H1646" s="216" t="s">
        <v>523</v>
      </c>
      <c r="I1646" s="234" t="s">
        <v>657</v>
      </c>
      <c r="J1646" s="234"/>
      <c r="K1646" s="234"/>
      <c r="L1646" s="216" t="s">
        <v>1</v>
      </c>
      <c r="M1646" s="178">
        <v>1</v>
      </c>
      <c r="N1646" s="235">
        <v>30</v>
      </c>
      <c r="O1646" s="234">
        <v>30</v>
      </c>
      <c r="P1646" s="234">
        <v>30</v>
      </c>
      <c r="Q1646" s="180" t="str">
        <f>IF(PEDIDOS[[#This Row],[Valor do item pago]]=PEDIDOS[[#This Row],[Total Item ]],"PAGO", "")</f>
        <v>PAGO</v>
      </c>
    </row>
    <row r="1647" spans="1:17" s="216" customFormat="1" ht="39.950000000000003" customHeight="1" x14ac:dyDescent="0.25">
      <c r="A1647" s="231"/>
      <c r="B1647" s="216">
        <v>344</v>
      </c>
      <c r="C1647" s="232">
        <v>43287</v>
      </c>
      <c r="D1647" s="233" t="s">
        <v>49</v>
      </c>
      <c r="E1647" s="216" t="s">
        <v>925</v>
      </c>
      <c r="F1647" s="216" t="s">
        <v>924</v>
      </c>
      <c r="G1647" s="216" t="s">
        <v>926</v>
      </c>
      <c r="H1647" s="216" t="s">
        <v>639</v>
      </c>
      <c r="I1647" s="234" t="s">
        <v>927</v>
      </c>
      <c r="J1647" s="234"/>
      <c r="K1647" s="234"/>
      <c r="L1647" s="216" t="s">
        <v>1</v>
      </c>
      <c r="M1647" s="178">
        <v>1</v>
      </c>
      <c r="N1647" s="235">
        <v>30</v>
      </c>
      <c r="O1647" s="234">
        <v>30</v>
      </c>
      <c r="P1647" s="234"/>
      <c r="Q1647" s="180" t="str">
        <f>IF(PEDIDOS[[#This Row],[Valor do item pago]]=PEDIDOS[[#This Row],[Total Item ]],"PAGO", "")</f>
        <v/>
      </c>
    </row>
    <row r="1648" spans="1:17" s="216" customFormat="1" ht="39.950000000000003" customHeight="1" x14ac:dyDescent="0.25">
      <c r="A1648" s="231"/>
      <c r="B1648" s="216">
        <v>343</v>
      </c>
      <c r="C1648" s="232">
        <v>43287</v>
      </c>
      <c r="D1648" s="233" t="s">
        <v>49</v>
      </c>
      <c r="E1648" s="216" t="s">
        <v>614</v>
      </c>
      <c r="F1648" s="216" t="s">
        <v>289</v>
      </c>
      <c r="G1648" s="216" t="s">
        <v>72</v>
      </c>
      <c r="H1648" s="216" t="s">
        <v>393</v>
      </c>
      <c r="I1648" s="234" t="s">
        <v>423</v>
      </c>
      <c r="J1648" s="234"/>
      <c r="K1648" s="234"/>
      <c r="L1648" s="216" t="s">
        <v>219</v>
      </c>
      <c r="M1648" s="178">
        <v>1</v>
      </c>
      <c r="N1648" s="235">
        <v>30</v>
      </c>
      <c r="O1648" s="234">
        <v>30</v>
      </c>
      <c r="P1648" s="234">
        <v>30</v>
      </c>
      <c r="Q1648" s="180" t="str">
        <f>IF(PEDIDOS[[#This Row],[Valor do item pago]]=PEDIDOS[[#This Row],[Total Item ]],"PAGO", "")</f>
        <v>PAGO</v>
      </c>
    </row>
    <row r="1649" spans="1:17" s="216" customFormat="1" ht="39.950000000000003" customHeight="1" x14ac:dyDescent="0.25">
      <c r="A1649" s="231"/>
      <c r="B1649" s="216">
        <v>342</v>
      </c>
      <c r="C1649" s="232">
        <v>43287</v>
      </c>
      <c r="D1649" s="233" t="s">
        <v>49</v>
      </c>
      <c r="E1649" s="216" t="s">
        <v>611</v>
      </c>
      <c r="F1649" s="216" t="s">
        <v>276</v>
      </c>
      <c r="G1649" s="216" t="s">
        <v>66</v>
      </c>
      <c r="H1649" s="216" t="s">
        <v>390</v>
      </c>
      <c r="I1649" s="234" t="s">
        <v>253</v>
      </c>
      <c r="J1649" s="234" t="s">
        <v>923</v>
      </c>
      <c r="K1649" s="234"/>
      <c r="L1649" s="216" t="s">
        <v>3</v>
      </c>
      <c r="M1649" s="178">
        <v>1</v>
      </c>
      <c r="N1649" s="235">
        <v>30</v>
      </c>
      <c r="O1649" s="234">
        <v>30</v>
      </c>
      <c r="P1649" s="234"/>
      <c r="Q1649" s="180" t="str">
        <f>IF(PEDIDOS[[#This Row],[Valor do item pago]]=PEDIDOS[[#This Row],[Total Item ]],"PAGO", "")</f>
        <v/>
      </c>
    </row>
    <row r="1650" spans="1:17" s="216" customFormat="1" ht="39.950000000000003" customHeight="1" x14ac:dyDescent="0.25">
      <c r="A1650" s="231"/>
      <c r="B1650" s="216">
        <v>341</v>
      </c>
      <c r="C1650" s="232">
        <v>43287</v>
      </c>
      <c r="D1650" s="233" t="s">
        <v>48</v>
      </c>
      <c r="E1650" s="216" t="s">
        <v>607</v>
      </c>
      <c r="F1650" s="216" t="s">
        <v>606</v>
      </c>
      <c r="G1650" s="216" t="s">
        <v>608</v>
      </c>
      <c r="H1650" s="216" t="s">
        <v>609</v>
      </c>
      <c r="I1650" s="234" t="s">
        <v>681</v>
      </c>
      <c r="J1650" s="234"/>
      <c r="K1650" s="234"/>
      <c r="L1650" s="216" t="s">
        <v>3</v>
      </c>
      <c r="M1650" s="178">
        <v>1</v>
      </c>
      <c r="N1650" s="235">
        <v>30</v>
      </c>
      <c r="O1650" s="234">
        <v>30</v>
      </c>
      <c r="P1650" s="234"/>
      <c r="Q1650" s="180" t="str">
        <f>IF(PEDIDOS[[#This Row],[Valor do item pago]]=PEDIDOS[[#This Row],[Total Item ]],"PAGO", "")</f>
        <v/>
      </c>
    </row>
    <row r="1651" spans="1:17" s="216" customFormat="1" ht="39.950000000000003" customHeight="1" x14ac:dyDescent="0.25">
      <c r="A1651" s="231"/>
      <c r="B1651" s="216">
        <v>340</v>
      </c>
      <c r="C1651" s="232">
        <v>43287</v>
      </c>
      <c r="D1651" s="233" t="s">
        <v>48</v>
      </c>
      <c r="E1651" s="216" t="s">
        <v>214</v>
      </c>
      <c r="F1651" s="216" t="s">
        <v>322</v>
      </c>
      <c r="G1651" s="216" t="s">
        <v>87</v>
      </c>
      <c r="H1651" s="216" t="s">
        <v>404</v>
      </c>
      <c r="I1651" s="234" t="s">
        <v>256</v>
      </c>
      <c r="J1651" s="234"/>
      <c r="K1651" s="234"/>
      <c r="L1651" s="216" t="s">
        <v>219</v>
      </c>
      <c r="M1651" s="178">
        <v>1</v>
      </c>
      <c r="N1651" s="235">
        <v>30</v>
      </c>
      <c r="O1651" s="234">
        <v>30</v>
      </c>
      <c r="P1651" s="234"/>
      <c r="Q1651" s="180" t="str">
        <f>IF(PEDIDOS[[#This Row],[Valor do item pago]]=PEDIDOS[[#This Row],[Total Item ]],"PAGO", "")</f>
        <v/>
      </c>
    </row>
    <row r="1652" spans="1:17" s="216" customFormat="1" ht="39.950000000000003" customHeight="1" x14ac:dyDescent="0.25">
      <c r="A1652" s="231"/>
      <c r="B1652" s="216">
        <v>339</v>
      </c>
      <c r="C1652" s="232">
        <v>43287</v>
      </c>
      <c r="D1652" s="233" t="s">
        <v>48</v>
      </c>
      <c r="E1652" s="216" t="s">
        <v>712</v>
      </c>
      <c r="F1652" s="216" t="s">
        <v>713</v>
      </c>
      <c r="G1652" s="216" t="s">
        <v>714</v>
      </c>
      <c r="H1652" s="216" t="s">
        <v>716</v>
      </c>
      <c r="I1652" s="234" t="s">
        <v>715</v>
      </c>
      <c r="J1652" s="234"/>
      <c r="K1652" s="234"/>
      <c r="L1652" s="216" t="s">
        <v>219</v>
      </c>
      <c r="M1652" s="178">
        <v>1</v>
      </c>
      <c r="N1652" s="235">
        <v>30</v>
      </c>
      <c r="O1652" s="234">
        <v>30</v>
      </c>
      <c r="P1652" s="234"/>
      <c r="Q1652" s="180" t="str">
        <f>IF(PEDIDOS[[#This Row],[Valor do item pago]]=PEDIDOS[[#This Row],[Total Item ]],"PAGO", "")</f>
        <v/>
      </c>
    </row>
    <row r="1653" spans="1:17" s="216" customFormat="1" ht="39.950000000000003" customHeight="1" x14ac:dyDescent="0.25">
      <c r="A1653" s="231"/>
      <c r="B1653" s="216">
        <v>338</v>
      </c>
      <c r="C1653" s="232">
        <v>43287</v>
      </c>
      <c r="D1653" s="233" t="s">
        <v>48</v>
      </c>
      <c r="E1653" s="216" t="s">
        <v>770</v>
      </c>
      <c r="F1653" s="216" t="s">
        <v>769</v>
      </c>
      <c r="G1653" s="216" t="s">
        <v>795</v>
      </c>
      <c r="H1653" s="216" t="s">
        <v>797</v>
      </c>
      <c r="I1653" s="234" t="s">
        <v>796</v>
      </c>
      <c r="J1653" s="234"/>
      <c r="K1653" s="234"/>
      <c r="L1653" s="216" t="s">
        <v>219</v>
      </c>
      <c r="M1653" s="178">
        <v>1</v>
      </c>
      <c r="N1653" s="235">
        <v>30</v>
      </c>
      <c r="O1653" s="234">
        <v>30</v>
      </c>
      <c r="P1653" s="234">
        <v>30</v>
      </c>
      <c r="Q1653" s="180" t="str">
        <f>IF(PEDIDOS[[#This Row],[Valor do item pago]]=PEDIDOS[[#This Row],[Total Item ]],"PAGO", "")</f>
        <v>PAGO</v>
      </c>
    </row>
    <row r="1654" spans="1:17" s="216" customFormat="1" ht="39.950000000000003" customHeight="1" x14ac:dyDescent="0.25">
      <c r="A1654" s="231"/>
      <c r="B1654" s="216">
        <v>337</v>
      </c>
      <c r="C1654" s="232">
        <v>43287</v>
      </c>
      <c r="D1654" s="233" t="s">
        <v>48</v>
      </c>
      <c r="E1654" s="216" t="s">
        <v>709</v>
      </c>
      <c r="F1654" s="216" t="s">
        <v>708</v>
      </c>
      <c r="G1654" s="216" t="s">
        <v>710</v>
      </c>
      <c r="H1654" s="216" t="s">
        <v>523</v>
      </c>
      <c r="I1654" s="234" t="s">
        <v>711</v>
      </c>
      <c r="J1654" s="234"/>
      <c r="K1654" s="234"/>
      <c r="L1654" s="216" t="s">
        <v>1</v>
      </c>
      <c r="M1654" s="178">
        <v>1</v>
      </c>
      <c r="N1654" s="235">
        <v>30</v>
      </c>
      <c r="O1654" s="234">
        <v>30</v>
      </c>
      <c r="P1654" s="234">
        <v>30</v>
      </c>
      <c r="Q1654" s="180" t="str">
        <f>IF(PEDIDOS[[#This Row],[Valor do item pago]]=PEDIDOS[[#This Row],[Total Item ]],"PAGO", "")</f>
        <v>PAGO</v>
      </c>
    </row>
    <row r="1655" spans="1:17" s="216" customFormat="1" ht="39.950000000000003" customHeight="1" x14ac:dyDescent="0.25">
      <c r="A1655" s="231"/>
      <c r="B1655" s="216">
        <v>336</v>
      </c>
      <c r="C1655" s="232">
        <v>43287</v>
      </c>
      <c r="D1655" s="233" t="s">
        <v>48</v>
      </c>
      <c r="E1655" s="216" t="s">
        <v>610</v>
      </c>
      <c r="F1655" s="216" t="s">
        <v>319</v>
      </c>
      <c r="G1655" s="216" t="s">
        <v>455</v>
      </c>
      <c r="H1655" s="216" t="s">
        <v>396</v>
      </c>
      <c r="I1655" s="234" t="s">
        <v>454</v>
      </c>
      <c r="J1655" s="234"/>
      <c r="K1655" s="234"/>
      <c r="L1655" s="216" t="s">
        <v>3</v>
      </c>
      <c r="M1655" s="178">
        <v>2</v>
      </c>
      <c r="N1655" s="235">
        <v>30</v>
      </c>
      <c r="O1655" s="234">
        <v>60</v>
      </c>
      <c r="P1655" s="234">
        <v>60</v>
      </c>
      <c r="Q1655" s="180" t="str">
        <f>IF(PEDIDOS[[#This Row],[Valor do item pago]]=PEDIDOS[[#This Row],[Total Item ]],"PAGO", "")</f>
        <v>PAGO</v>
      </c>
    </row>
    <row r="1656" spans="1:17" s="216" customFormat="1" ht="39.950000000000003" customHeight="1" x14ac:dyDescent="0.25">
      <c r="A1656" s="231"/>
      <c r="B1656" s="216">
        <v>335</v>
      </c>
      <c r="C1656" s="232">
        <v>43287</v>
      </c>
      <c r="D1656" s="233" t="s">
        <v>48</v>
      </c>
      <c r="E1656" s="216" t="s">
        <v>211</v>
      </c>
      <c r="F1656" s="216" t="s">
        <v>293</v>
      </c>
      <c r="G1656" s="216" t="s">
        <v>82</v>
      </c>
      <c r="H1656" s="216" t="s">
        <v>390</v>
      </c>
      <c r="I1656" s="234" t="s">
        <v>252</v>
      </c>
      <c r="J1656" s="234"/>
      <c r="K1656" s="234"/>
      <c r="L1656" s="216" t="s">
        <v>219</v>
      </c>
      <c r="M1656" s="178">
        <v>1</v>
      </c>
      <c r="N1656" s="235">
        <v>30</v>
      </c>
      <c r="O1656" s="234">
        <v>30</v>
      </c>
      <c r="P1656" s="234">
        <v>30</v>
      </c>
      <c r="Q1656" s="180" t="str">
        <f>IF(PEDIDOS[[#This Row],[Valor do item pago]]=PEDIDOS[[#This Row],[Total Item ]],"PAGO", "")</f>
        <v>PAGO</v>
      </c>
    </row>
    <row r="1657" spans="1:17" s="216" customFormat="1" ht="39.950000000000003" customHeight="1" x14ac:dyDescent="0.25">
      <c r="A1657" s="231"/>
      <c r="B1657" s="216">
        <v>334</v>
      </c>
      <c r="C1657" s="232">
        <v>43287</v>
      </c>
      <c r="D1657" s="233" t="s">
        <v>185</v>
      </c>
      <c r="E1657" s="216" t="s">
        <v>917</v>
      </c>
      <c r="F1657" s="216" t="s">
        <v>920</v>
      </c>
      <c r="G1657" s="216" t="s">
        <v>921</v>
      </c>
      <c r="H1657" s="216" t="s">
        <v>918</v>
      </c>
      <c r="I1657" s="234" t="s">
        <v>919</v>
      </c>
      <c r="J1657" s="234"/>
      <c r="K1657" s="234"/>
      <c r="L1657" s="216" t="s">
        <v>219</v>
      </c>
      <c r="M1657" s="178">
        <v>1</v>
      </c>
      <c r="N1657" s="235">
        <v>30</v>
      </c>
      <c r="O1657" s="234">
        <v>30</v>
      </c>
      <c r="P1657" s="234"/>
      <c r="Q1657" s="180" t="str">
        <f>IF(PEDIDOS[[#This Row],[Valor do item pago]]=PEDIDOS[[#This Row],[Total Item ]],"PAGO", "")</f>
        <v/>
      </c>
    </row>
    <row r="1658" spans="1:17" s="216" customFormat="1" ht="39.950000000000003" customHeight="1" x14ac:dyDescent="0.25">
      <c r="A1658" s="231"/>
      <c r="B1658" s="216">
        <v>333</v>
      </c>
      <c r="C1658" s="232">
        <v>43287</v>
      </c>
      <c r="D1658" s="233" t="s">
        <v>185</v>
      </c>
      <c r="E1658" s="216" t="s">
        <v>718</v>
      </c>
      <c r="F1658" s="216" t="s">
        <v>717</v>
      </c>
      <c r="G1658" s="216" t="s">
        <v>719</v>
      </c>
      <c r="H1658" s="216" t="s">
        <v>112</v>
      </c>
      <c r="I1658" s="234" t="s">
        <v>720</v>
      </c>
      <c r="J1658" s="234"/>
      <c r="K1658" s="234"/>
      <c r="L1658" s="216" t="s">
        <v>3</v>
      </c>
      <c r="M1658" s="178">
        <v>1</v>
      </c>
      <c r="N1658" s="235">
        <v>30</v>
      </c>
      <c r="O1658" s="234">
        <v>30</v>
      </c>
      <c r="P1658" s="234"/>
      <c r="Q1658" s="180" t="str">
        <f>IF(PEDIDOS[[#This Row],[Valor do item pago]]=PEDIDOS[[#This Row],[Total Item ]],"PAGO", "")</f>
        <v/>
      </c>
    </row>
    <row r="1659" spans="1:17" s="216" customFormat="1" ht="39.950000000000003" customHeight="1" x14ac:dyDescent="0.25">
      <c r="A1659" s="231"/>
      <c r="B1659" s="216">
        <v>332</v>
      </c>
      <c r="C1659" s="232">
        <v>43286</v>
      </c>
      <c r="D1659" s="233" t="s">
        <v>47</v>
      </c>
      <c r="E1659" s="216" t="s">
        <v>37</v>
      </c>
      <c r="F1659" s="216" t="s">
        <v>321</v>
      </c>
      <c r="G1659" s="216" t="s">
        <v>15</v>
      </c>
      <c r="H1659" s="216" t="s">
        <v>459</v>
      </c>
      <c r="I1659" s="237" t="s">
        <v>458</v>
      </c>
      <c r="J1659" s="234"/>
      <c r="K1659" s="234"/>
      <c r="L1659" s="216" t="s">
        <v>3</v>
      </c>
      <c r="M1659" s="178">
        <v>1</v>
      </c>
      <c r="N1659" s="235">
        <v>30</v>
      </c>
      <c r="O1659" s="234">
        <v>30</v>
      </c>
      <c r="P1659" s="234"/>
      <c r="Q1659" s="180" t="str">
        <f>IF(PEDIDOS[[#This Row],[Valor do item pago]]=PEDIDOS[[#This Row],[Total Item ]],"PAGO", "")</f>
        <v/>
      </c>
    </row>
    <row r="1660" spans="1:17" s="216" customFormat="1" ht="39.950000000000003" customHeight="1" x14ac:dyDescent="0.25">
      <c r="A1660" s="231"/>
      <c r="B1660" s="216">
        <v>331</v>
      </c>
      <c r="C1660" s="232">
        <v>43286</v>
      </c>
      <c r="D1660" s="233" t="s">
        <v>24</v>
      </c>
      <c r="E1660" s="216" t="s">
        <v>25</v>
      </c>
      <c r="F1660" s="216" t="s">
        <v>291</v>
      </c>
      <c r="G1660" s="216" t="s">
        <v>330</v>
      </c>
      <c r="H1660" s="216" t="s">
        <v>406</v>
      </c>
      <c r="I1660" s="237" t="s">
        <v>329</v>
      </c>
      <c r="J1660" s="234"/>
      <c r="K1660" s="234"/>
      <c r="L1660" s="216" t="s">
        <v>219</v>
      </c>
      <c r="M1660" s="178">
        <v>1</v>
      </c>
      <c r="N1660" s="235">
        <v>30</v>
      </c>
      <c r="O1660" s="234">
        <v>30</v>
      </c>
      <c r="P1660" s="234"/>
      <c r="Q1660" s="180" t="str">
        <f>IF(PEDIDOS[[#This Row],[Valor do item pago]]=PEDIDOS[[#This Row],[Total Item ]],"PAGO", "")</f>
        <v/>
      </c>
    </row>
    <row r="1661" spans="1:17" s="216" customFormat="1" ht="39.950000000000003" customHeight="1" x14ac:dyDescent="0.25">
      <c r="A1661" s="231"/>
      <c r="B1661" s="216">
        <v>330</v>
      </c>
      <c r="C1661" s="232">
        <v>43286</v>
      </c>
      <c r="D1661" s="233" t="s">
        <v>24</v>
      </c>
      <c r="E1661" s="216" t="s">
        <v>23</v>
      </c>
      <c r="F1661" s="216">
        <v>0</v>
      </c>
      <c r="G1661" s="216">
        <v>0</v>
      </c>
      <c r="H1661" s="216">
        <v>0</v>
      </c>
      <c r="I1661" s="237"/>
      <c r="J1661" s="234"/>
      <c r="K1661" s="234" t="s">
        <v>24</v>
      </c>
      <c r="L1661" s="216" t="s">
        <v>219</v>
      </c>
      <c r="M1661" s="178">
        <v>5</v>
      </c>
      <c r="N1661" s="235">
        <v>30</v>
      </c>
      <c r="O1661" s="234">
        <v>150</v>
      </c>
      <c r="P1661" s="234"/>
      <c r="Q1661" s="180" t="str">
        <f>IF(PEDIDOS[[#This Row],[Valor do item pago]]=PEDIDOS[[#This Row],[Total Item ]],"PAGO", "")</f>
        <v/>
      </c>
    </row>
    <row r="1662" spans="1:17" s="216" customFormat="1" ht="39.950000000000003" customHeight="1" x14ac:dyDescent="0.25">
      <c r="A1662" s="231"/>
      <c r="B1662" s="216">
        <v>329</v>
      </c>
      <c r="C1662" s="232">
        <v>43286</v>
      </c>
      <c r="D1662" s="233" t="s">
        <v>229</v>
      </c>
      <c r="E1662" s="216" t="s">
        <v>50</v>
      </c>
      <c r="F1662" s="216">
        <v>0</v>
      </c>
      <c r="G1662" s="216">
        <v>0</v>
      </c>
      <c r="H1662" s="216">
        <v>0</v>
      </c>
      <c r="I1662" s="237"/>
      <c r="J1662" s="234"/>
      <c r="K1662" s="234" t="s">
        <v>229</v>
      </c>
      <c r="L1662" s="216" t="s">
        <v>3</v>
      </c>
      <c r="M1662" s="178">
        <v>2</v>
      </c>
      <c r="N1662" s="235">
        <v>30</v>
      </c>
      <c r="O1662" s="234">
        <v>60</v>
      </c>
      <c r="P1662" s="234"/>
      <c r="Q1662" s="180" t="str">
        <f>IF(PEDIDOS[[#This Row],[Valor do item pago]]=PEDIDOS[[#This Row],[Total Item ]],"PAGO", "")</f>
        <v/>
      </c>
    </row>
    <row r="1663" spans="1:17" s="216" customFormat="1" ht="39.950000000000003" customHeight="1" x14ac:dyDescent="0.25">
      <c r="A1663" s="231"/>
      <c r="B1663" s="216">
        <v>329</v>
      </c>
      <c r="C1663" s="232">
        <v>43286</v>
      </c>
      <c r="D1663" s="233" t="s">
        <v>229</v>
      </c>
      <c r="E1663" s="216" t="s">
        <v>50</v>
      </c>
      <c r="F1663" s="216">
        <v>0</v>
      </c>
      <c r="G1663" s="216">
        <v>0</v>
      </c>
      <c r="H1663" s="216">
        <v>0</v>
      </c>
      <c r="I1663" s="237"/>
      <c r="J1663" s="234"/>
      <c r="K1663" s="234" t="s">
        <v>229</v>
      </c>
      <c r="L1663" s="216" t="s">
        <v>219</v>
      </c>
      <c r="M1663" s="178">
        <v>6</v>
      </c>
      <c r="N1663" s="235">
        <v>30</v>
      </c>
      <c r="O1663" s="234">
        <v>180</v>
      </c>
      <c r="P1663" s="234"/>
      <c r="Q1663" s="180" t="str">
        <f>IF(PEDIDOS[[#This Row],[Valor do item pago]]=PEDIDOS[[#This Row],[Total Item ]],"PAGO", "")</f>
        <v/>
      </c>
    </row>
    <row r="1664" spans="1:17" s="216" customFormat="1" ht="39.950000000000003" customHeight="1" x14ac:dyDescent="0.25">
      <c r="A1664" s="231"/>
      <c r="B1664" s="216">
        <v>329</v>
      </c>
      <c r="C1664" s="232">
        <v>43286</v>
      </c>
      <c r="D1664" s="233" t="s">
        <v>229</v>
      </c>
      <c r="E1664" s="216" t="s">
        <v>50</v>
      </c>
      <c r="F1664" s="216">
        <v>0</v>
      </c>
      <c r="G1664" s="216">
        <v>0</v>
      </c>
      <c r="H1664" s="216">
        <v>0</v>
      </c>
      <c r="I1664" s="237"/>
      <c r="J1664" s="234"/>
      <c r="K1664" s="234" t="s">
        <v>229</v>
      </c>
      <c r="L1664" s="216" t="s">
        <v>1</v>
      </c>
      <c r="M1664" s="178">
        <v>4</v>
      </c>
      <c r="N1664" s="235">
        <v>30</v>
      </c>
      <c r="O1664" s="234">
        <v>120</v>
      </c>
      <c r="P1664" s="234"/>
      <c r="Q1664" s="180" t="str">
        <f>IF(PEDIDOS[[#This Row],[Valor do item pago]]=PEDIDOS[[#This Row],[Total Item ]],"PAGO", "")</f>
        <v/>
      </c>
    </row>
    <row r="1665" spans="1:17" s="216" customFormat="1" ht="39.950000000000003" customHeight="1" x14ac:dyDescent="0.25">
      <c r="A1665" s="231"/>
      <c r="B1665" s="216">
        <v>329</v>
      </c>
      <c r="C1665" s="232">
        <v>43286</v>
      </c>
      <c r="D1665" s="233" t="s">
        <v>229</v>
      </c>
      <c r="E1665" s="216" t="s">
        <v>50</v>
      </c>
      <c r="F1665" s="216">
        <v>0</v>
      </c>
      <c r="G1665" s="216">
        <v>0</v>
      </c>
      <c r="H1665" s="216">
        <v>0</v>
      </c>
      <c r="I1665" s="237"/>
      <c r="J1665" s="234"/>
      <c r="K1665" s="234" t="s">
        <v>229</v>
      </c>
      <c r="L1665" s="216" t="s">
        <v>0</v>
      </c>
      <c r="M1665" s="178">
        <v>1</v>
      </c>
      <c r="N1665" s="235">
        <v>30</v>
      </c>
      <c r="O1665" s="234">
        <v>30</v>
      </c>
      <c r="P1665" s="234"/>
      <c r="Q1665" s="180" t="str">
        <f>IF(PEDIDOS[[#This Row],[Valor do item pago]]=PEDIDOS[[#This Row],[Total Item ]],"PAGO", "")</f>
        <v/>
      </c>
    </row>
    <row r="1666" spans="1:17" s="216" customFormat="1" ht="39.950000000000003" customHeight="1" x14ac:dyDescent="0.25">
      <c r="A1666" s="231"/>
      <c r="B1666" s="216">
        <v>328</v>
      </c>
      <c r="C1666" s="232">
        <v>43286</v>
      </c>
      <c r="D1666" s="233" t="s">
        <v>916</v>
      </c>
      <c r="E1666" s="216" t="s">
        <v>732</v>
      </c>
      <c r="F1666" s="216" t="s">
        <v>733</v>
      </c>
      <c r="G1666" s="216">
        <v>0</v>
      </c>
      <c r="H1666" s="216" t="s">
        <v>40</v>
      </c>
      <c r="I1666" s="237"/>
      <c r="J1666" s="234"/>
      <c r="K1666" s="234" t="s">
        <v>916</v>
      </c>
      <c r="L1666" s="216" t="s">
        <v>1</v>
      </c>
      <c r="M1666" s="178">
        <v>2</v>
      </c>
      <c r="N1666" s="235">
        <v>30</v>
      </c>
      <c r="O1666" s="234">
        <v>60</v>
      </c>
      <c r="P1666" s="234"/>
      <c r="Q1666" s="180" t="str">
        <f>IF(PEDIDOS[[#This Row],[Valor do item pago]]=PEDIDOS[[#This Row],[Total Item ]],"PAGO", "")</f>
        <v/>
      </c>
    </row>
    <row r="1667" spans="1:17" s="216" customFormat="1" ht="39.950000000000003" customHeight="1" x14ac:dyDescent="0.25">
      <c r="A1667" s="231"/>
      <c r="B1667" s="216">
        <v>328</v>
      </c>
      <c r="C1667" s="232">
        <v>43286</v>
      </c>
      <c r="D1667" s="233" t="s">
        <v>916</v>
      </c>
      <c r="E1667" s="216" t="s">
        <v>732</v>
      </c>
      <c r="F1667" s="216" t="s">
        <v>733</v>
      </c>
      <c r="G1667" s="216">
        <v>0</v>
      </c>
      <c r="H1667" s="216" t="s">
        <v>40</v>
      </c>
      <c r="I1667" s="237"/>
      <c r="J1667" s="234"/>
      <c r="K1667" s="234" t="s">
        <v>916</v>
      </c>
      <c r="L1667" s="216" t="s">
        <v>0</v>
      </c>
      <c r="M1667" s="178">
        <v>1</v>
      </c>
      <c r="N1667" s="235">
        <v>30</v>
      </c>
      <c r="O1667" s="234">
        <v>30</v>
      </c>
      <c r="P1667" s="234"/>
      <c r="Q1667" s="180" t="str">
        <f>IF(PEDIDOS[[#This Row],[Valor do item pago]]=PEDIDOS[[#This Row],[Total Item ]],"PAGO", "")</f>
        <v/>
      </c>
    </row>
    <row r="1668" spans="1:17" s="216" customFormat="1" ht="39.950000000000003" customHeight="1" x14ac:dyDescent="0.25">
      <c r="A1668" s="231"/>
      <c r="B1668" s="216">
        <v>327</v>
      </c>
      <c r="C1668" s="232">
        <v>43286</v>
      </c>
      <c r="D1668" s="233" t="s">
        <v>804</v>
      </c>
      <c r="E1668" s="216" t="s">
        <v>804</v>
      </c>
      <c r="F1668" s="216" t="s">
        <v>803</v>
      </c>
      <c r="G1668" s="216">
        <v>0</v>
      </c>
      <c r="H1668" s="216">
        <v>0</v>
      </c>
      <c r="I1668" s="237"/>
      <c r="J1668" s="234"/>
      <c r="K1668" s="234"/>
      <c r="L1668" s="216" t="s">
        <v>219</v>
      </c>
      <c r="M1668" s="178">
        <v>1</v>
      </c>
      <c r="N1668" s="235">
        <v>30</v>
      </c>
      <c r="O1668" s="234">
        <v>30</v>
      </c>
      <c r="P1668" s="234"/>
      <c r="Q1668" s="180" t="str">
        <f>IF(PEDIDOS[[#This Row],[Valor do item pago]]=PEDIDOS[[#This Row],[Total Item ]],"PAGO", "")</f>
        <v/>
      </c>
    </row>
    <row r="1669" spans="1:17" s="216" customFormat="1" ht="39.950000000000003" customHeight="1" x14ac:dyDescent="0.25">
      <c r="A1669" s="231"/>
      <c r="B1669" s="216">
        <v>326</v>
      </c>
      <c r="C1669" s="232">
        <v>43286</v>
      </c>
      <c r="D1669" s="233" t="s">
        <v>477</v>
      </c>
      <c r="E1669" s="216" t="s">
        <v>864</v>
      </c>
      <c r="F1669" s="216" t="s">
        <v>865</v>
      </c>
      <c r="G1669" s="216" t="s">
        <v>867</v>
      </c>
      <c r="H1669" s="216" t="s">
        <v>274</v>
      </c>
      <c r="I1669" s="234" t="s">
        <v>275</v>
      </c>
      <c r="J1669" s="234" t="s">
        <v>887</v>
      </c>
      <c r="K1669" s="234"/>
      <c r="L1669" s="216" t="s">
        <v>219</v>
      </c>
      <c r="M1669" s="178">
        <v>1</v>
      </c>
      <c r="N1669" s="235">
        <v>30</v>
      </c>
      <c r="O1669" s="234">
        <v>30</v>
      </c>
      <c r="P1669" s="234">
        <v>30</v>
      </c>
      <c r="Q1669" s="180" t="str">
        <f>IF(PEDIDOS[[#This Row],[Valor do item pago]]=PEDIDOS[[#This Row],[Total Item ]],"PAGO", "")</f>
        <v>PAGO</v>
      </c>
    </row>
    <row r="1670" spans="1:17" s="216" customFormat="1" ht="39.950000000000003" customHeight="1" x14ac:dyDescent="0.25">
      <c r="A1670" s="231"/>
      <c r="B1670" s="216">
        <v>325</v>
      </c>
      <c r="C1670" s="232">
        <v>43286</v>
      </c>
      <c r="D1670" s="233" t="s">
        <v>477</v>
      </c>
      <c r="E1670" s="216" t="s">
        <v>911</v>
      </c>
      <c r="F1670" s="216" t="s">
        <v>910</v>
      </c>
      <c r="G1670" s="216" t="s">
        <v>914</v>
      </c>
      <c r="H1670" s="216" t="s">
        <v>913</v>
      </c>
      <c r="I1670" s="234" t="s">
        <v>912</v>
      </c>
      <c r="J1670" s="234" t="s">
        <v>915</v>
      </c>
      <c r="K1670" s="234"/>
      <c r="L1670" s="216" t="s">
        <v>219</v>
      </c>
      <c r="M1670" s="178">
        <v>1</v>
      </c>
      <c r="N1670" s="235">
        <v>30</v>
      </c>
      <c r="O1670" s="234">
        <v>30</v>
      </c>
      <c r="P1670" s="234"/>
      <c r="Q1670" s="180" t="str">
        <f>IF(PEDIDOS[[#This Row],[Valor do item pago]]=PEDIDOS[[#This Row],[Total Item ]],"PAGO", "")</f>
        <v/>
      </c>
    </row>
    <row r="1671" spans="1:17" s="216" customFormat="1" ht="39.950000000000003" customHeight="1" x14ac:dyDescent="0.25">
      <c r="A1671" s="231"/>
      <c r="B1671" s="216">
        <v>324</v>
      </c>
      <c r="C1671" s="232">
        <v>43286</v>
      </c>
      <c r="D1671" s="233" t="s">
        <v>477</v>
      </c>
      <c r="E1671" s="216" t="s">
        <v>906</v>
      </c>
      <c r="F1671" s="216" t="s">
        <v>907</v>
      </c>
      <c r="G1671" s="216" t="s">
        <v>909</v>
      </c>
      <c r="H1671" s="216" t="s">
        <v>461</v>
      </c>
      <c r="I1671" s="234" t="s">
        <v>908</v>
      </c>
      <c r="J1671" s="234"/>
      <c r="K1671" s="234"/>
      <c r="L1671" s="216" t="s">
        <v>1</v>
      </c>
      <c r="M1671" s="178">
        <v>1</v>
      </c>
      <c r="N1671" s="235">
        <v>30</v>
      </c>
      <c r="O1671" s="234">
        <v>30</v>
      </c>
      <c r="P1671" s="234"/>
      <c r="Q1671" s="180" t="str">
        <f>IF(PEDIDOS[[#This Row],[Valor do item pago]]=PEDIDOS[[#This Row],[Total Item ]],"PAGO", "")</f>
        <v/>
      </c>
    </row>
    <row r="1672" spans="1:17" s="216" customFormat="1" ht="39.950000000000003" customHeight="1" x14ac:dyDescent="0.25">
      <c r="A1672" s="231"/>
      <c r="B1672" s="216">
        <v>323</v>
      </c>
      <c r="C1672" s="232">
        <v>43286</v>
      </c>
      <c r="D1672" s="233" t="s">
        <v>477</v>
      </c>
      <c r="E1672" s="216" t="s">
        <v>902</v>
      </c>
      <c r="F1672" s="216" t="s">
        <v>903</v>
      </c>
      <c r="G1672" s="216" t="s">
        <v>904</v>
      </c>
      <c r="H1672" s="216" t="s">
        <v>520</v>
      </c>
      <c r="I1672" s="234" t="s">
        <v>905</v>
      </c>
      <c r="J1672" s="234"/>
      <c r="K1672" s="234"/>
      <c r="L1672" s="216" t="s">
        <v>219</v>
      </c>
      <c r="M1672" s="178">
        <v>1</v>
      </c>
      <c r="N1672" s="235">
        <v>30</v>
      </c>
      <c r="O1672" s="234">
        <v>30</v>
      </c>
      <c r="P1672" s="234"/>
      <c r="Q1672" s="180" t="str">
        <f>IF(PEDIDOS[[#This Row],[Valor do item pago]]=PEDIDOS[[#This Row],[Total Item ]],"PAGO", "")</f>
        <v/>
      </c>
    </row>
    <row r="1673" spans="1:17" s="216" customFormat="1" ht="39.950000000000003" customHeight="1" x14ac:dyDescent="0.25">
      <c r="A1673" s="231"/>
      <c r="B1673" s="216">
        <v>322</v>
      </c>
      <c r="C1673" s="232">
        <v>43286</v>
      </c>
      <c r="D1673" s="233" t="s">
        <v>477</v>
      </c>
      <c r="E1673" s="216" t="s">
        <v>898</v>
      </c>
      <c r="F1673" s="216" t="s">
        <v>899</v>
      </c>
      <c r="G1673" s="216" t="s">
        <v>900</v>
      </c>
      <c r="H1673" s="216" t="s">
        <v>651</v>
      </c>
      <c r="I1673" s="234" t="s">
        <v>901</v>
      </c>
      <c r="J1673" s="234"/>
      <c r="K1673" s="234"/>
      <c r="L1673" s="216" t="s">
        <v>219</v>
      </c>
      <c r="M1673" s="178">
        <v>1</v>
      </c>
      <c r="N1673" s="235">
        <v>30</v>
      </c>
      <c r="O1673" s="234">
        <v>30</v>
      </c>
      <c r="P1673" s="234"/>
      <c r="Q1673" s="180" t="str">
        <f>IF(PEDIDOS[[#This Row],[Valor do item pago]]=PEDIDOS[[#This Row],[Total Item ]],"PAGO", "")</f>
        <v/>
      </c>
    </row>
    <row r="1674" spans="1:17" s="216" customFormat="1" ht="39.950000000000003" customHeight="1" x14ac:dyDescent="0.25">
      <c r="A1674" s="231"/>
      <c r="B1674" s="216">
        <v>321</v>
      </c>
      <c r="C1674" s="232">
        <v>43286</v>
      </c>
      <c r="D1674" s="233" t="s">
        <v>477</v>
      </c>
      <c r="E1674" s="216" t="s">
        <v>894</v>
      </c>
      <c r="F1674" s="216" t="s">
        <v>895</v>
      </c>
      <c r="G1674" s="216" t="s">
        <v>896</v>
      </c>
      <c r="H1674" s="216" t="s">
        <v>581</v>
      </c>
      <c r="I1674" s="234" t="s">
        <v>897</v>
      </c>
      <c r="J1674" s="234"/>
      <c r="K1674" s="234"/>
      <c r="L1674" s="216" t="s">
        <v>3</v>
      </c>
      <c r="M1674" s="178">
        <v>1</v>
      </c>
      <c r="N1674" s="235">
        <v>30</v>
      </c>
      <c r="O1674" s="234">
        <v>30</v>
      </c>
      <c r="P1674" s="234"/>
      <c r="Q1674" s="180" t="str">
        <f>IF(PEDIDOS[[#This Row],[Valor do item pago]]=PEDIDOS[[#This Row],[Total Item ]],"PAGO", "")</f>
        <v/>
      </c>
    </row>
    <row r="1675" spans="1:17" s="216" customFormat="1" ht="39.950000000000003" customHeight="1" x14ac:dyDescent="0.25">
      <c r="A1675" s="231"/>
      <c r="B1675" s="216">
        <v>320</v>
      </c>
      <c r="C1675" s="232">
        <v>43286</v>
      </c>
      <c r="D1675" s="233" t="s">
        <v>477</v>
      </c>
      <c r="E1675" s="216" t="s">
        <v>845</v>
      </c>
      <c r="F1675" s="216" t="s">
        <v>846</v>
      </c>
      <c r="G1675" s="216" t="s">
        <v>847</v>
      </c>
      <c r="H1675" s="216" t="s">
        <v>461</v>
      </c>
      <c r="I1675" s="234" t="s">
        <v>848</v>
      </c>
      <c r="J1675" s="234" t="s">
        <v>893</v>
      </c>
      <c r="K1675" s="234"/>
      <c r="L1675" s="216" t="s">
        <v>219</v>
      </c>
      <c r="M1675" s="178">
        <v>1</v>
      </c>
      <c r="N1675" s="235">
        <v>30</v>
      </c>
      <c r="O1675" s="234">
        <v>30</v>
      </c>
      <c r="P1675" s="234">
        <v>30</v>
      </c>
      <c r="Q1675" s="180" t="str">
        <f>IF(PEDIDOS[[#This Row],[Valor do item pago]]=PEDIDOS[[#This Row],[Total Item ]],"PAGO", "")</f>
        <v>PAGO</v>
      </c>
    </row>
    <row r="1676" spans="1:17" s="216" customFormat="1" ht="39.950000000000003" customHeight="1" x14ac:dyDescent="0.25">
      <c r="A1676" s="231"/>
      <c r="B1676" s="216">
        <v>319</v>
      </c>
      <c r="C1676" s="232">
        <v>43286</v>
      </c>
      <c r="D1676" s="233" t="s">
        <v>477</v>
      </c>
      <c r="E1676" s="216" t="s">
        <v>849</v>
      </c>
      <c r="F1676" s="216" t="s">
        <v>850</v>
      </c>
      <c r="G1676" s="216" t="s">
        <v>851</v>
      </c>
      <c r="H1676" s="216" t="s">
        <v>84</v>
      </c>
      <c r="I1676" s="234" t="s">
        <v>436</v>
      </c>
      <c r="J1676" s="234" t="s">
        <v>887</v>
      </c>
      <c r="K1676" s="234"/>
      <c r="L1676" s="216" t="s">
        <v>219</v>
      </c>
      <c r="M1676" s="178">
        <v>2</v>
      </c>
      <c r="N1676" s="235">
        <v>30</v>
      </c>
      <c r="O1676" s="234">
        <v>60</v>
      </c>
      <c r="P1676" s="234"/>
      <c r="Q1676" s="180" t="str">
        <f>IF(PEDIDOS[[#This Row],[Valor do item pago]]=PEDIDOS[[#This Row],[Total Item ]],"PAGO", "")</f>
        <v/>
      </c>
    </row>
    <row r="1677" spans="1:17" s="216" customFormat="1" ht="39.950000000000003" customHeight="1" x14ac:dyDescent="0.25">
      <c r="A1677" s="231"/>
      <c r="B1677" s="216">
        <v>318</v>
      </c>
      <c r="C1677" s="232">
        <v>43286</v>
      </c>
      <c r="D1677" s="233" t="s">
        <v>477</v>
      </c>
      <c r="E1677" s="216" t="s">
        <v>888</v>
      </c>
      <c r="F1677" s="216" t="s">
        <v>889</v>
      </c>
      <c r="G1677" s="216" t="s">
        <v>890</v>
      </c>
      <c r="H1677" s="216" t="s">
        <v>891</v>
      </c>
      <c r="I1677" s="234" t="s">
        <v>892</v>
      </c>
      <c r="J1677" s="234"/>
      <c r="K1677" s="234"/>
      <c r="L1677" s="216" t="s">
        <v>3</v>
      </c>
      <c r="M1677" s="178">
        <v>1</v>
      </c>
      <c r="N1677" s="235">
        <v>30</v>
      </c>
      <c r="O1677" s="234">
        <v>30</v>
      </c>
      <c r="P1677" s="234"/>
      <c r="Q1677" s="180" t="str">
        <f>IF(PEDIDOS[[#This Row],[Valor do item pago]]=PEDIDOS[[#This Row],[Total Item ]],"PAGO", "")</f>
        <v/>
      </c>
    </row>
    <row r="1678" spans="1:17" s="216" customFormat="1" ht="39.950000000000003" customHeight="1" x14ac:dyDescent="0.25">
      <c r="A1678" s="231"/>
      <c r="B1678" s="216">
        <v>317</v>
      </c>
      <c r="C1678" s="232">
        <v>43286</v>
      </c>
      <c r="D1678" s="233" t="s">
        <v>477</v>
      </c>
      <c r="E1678" s="216" t="s">
        <v>379</v>
      </c>
      <c r="F1678" s="216" t="s">
        <v>318</v>
      </c>
      <c r="G1678" s="216" t="s">
        <v>258</v>
      </c>
      <c r="H1678" s="216" t="s">
        <v>404</v>
      </c>
      <c r="I1678" s="234" t="s">
        <v>257</v>
      </c>
      <c r="J1678" s="234" t="s">
        <v>887</v>
      </c>
      <c r="K1678" s="234"/>
      <c r="L1678" s="216" t="s">
        <v>1</v>
      </c>
      <c r="M1678" s="178">
        <v>1</v>
      </c>
      <c r="N1678" s="235">
        <v>30</v>
      </c>
      <c r="O1678" s="234">
        <v>30</v>
      </c>
      <c r="P1678" s="234"/>
      <c r="Q1678" s="180" t="str">
        <f>IF(PEDIDOS[[#This Row],[Valor do item pago]]=PEDIDOS[[#This Row],[Total Item ]],"PAGO", "")</f>
        <v/>
      </c>
    </row>
    <row r="1679" spans="1:17" s="216" customFormat="1" ht="39.950000000000003" customHeight="1" x14ac:dyDescent="0.25">
      <c r="A1679" s="231"/>
      <c r="B1679" s="216">
        <v>316</v>
      </c>
      <c r="C1679" s="232">
        <v>43286</v>
      </c>
      <c r="D1679" s="233" t="s">
        <v>477</v>
      </c>
      <c r="E1679" s="216" t="s">
        <v>547</v>
      </c>
      <c r="F1679" s="216" t="s">
        <v>521</v>
      </c>
      <c r="G1679" s="216" t="s">
        <v>522</v>
      </c>
      <c r="H1679" s="216" t="s">
        <v>523</v>
      </c>
      <c r="I1679" s="234" t="s">
        <v>663</v>
      </c>
      <c r="J1679" s="234" t="s">
        <v>886</v>
      </c>
      <c r="K1679" s="234"/>
      <c r="L1679" s="216" t="s">
        <v>235</v>
      </c>
      <c r="M1679" s="178">
        <v>1</v>
      </c>
      <c r="N1679" s="235">
        <v>30</v>
      </c>
      <c r="O1679" s="234">
        <v>30</v>
      </c>
      <c r="P1679" s="234"/>
      <c r="Q1679" s="180" t="str">
        <f>IF(PEDIDOS[[#This Row],[Valor do item pago]]=PEDIDOS[[#This Row],[Total Item ]],"PAGO", "")</f>
        <v/>
      </c>
    </row>
    <row r="1680" spans="1:17" s="216" customFormat="1" ht="39.950000000000003" customHeight="1" x14ac:dyDescent="0.25">
      <c r="A1680" s="231"/>
      <c r="B1680" s="216">
        <v>315</v>
      </c>
      <c r="C1680" s="232">
        <v>43286</v>
      </c>
      <c r="D1680" s="233" t="s">
        <v>477</v>
      </c>
      <c r="E1680" s="216" t="s">
        <v>378</v>
      </c>
      <c r="F1680" s="216" t="s">
        <v>316</v>
      </c>
      <c r="G1680" s="216" t="s">
        <v>175</v>
      </c>
      <c r="H1680" s="216" t="s">
        <v>397</v>
      </c>
      <c r="I1680" s="234" t="s">
        <v>452</v>
      </c>
      <c r="J1680" s="234"/>
      <c r="K1680" s="234"/>
      <c r="L1680" s="216" t="s">
        <v>1</v>
      </c>
      <c r="M1680" s="178">
        <v>1</v>
      </c>
      <c r="N1680" s="235">
        <v>30</v>
      </c>
      <c r="O1680" s="234">
        <v>30</v>
      </c>
      <c r="P1680" s="234"/>
      <c r="Q1680" s="180" t="str">
        <f>IF(PEDIDOS[[#This Row],[Valor do item pago]]=PEDIDOS[[#This Row],[Total Item ]],"PAGO", "")</f>
        <v/>
      </c>
    </row>
    <row r="1681" spans="1:17" s="216" customFormat="1" ht="39.950000000000003" customHeight="1" x14ac:dyDescent="0.25">
      <c r="A1681" s="231"/>
      <c r="B1681" s="216">
        <v>314</v>
      </c>
      <c r="C1681" s="232">
        <v>43286</v>
      </c>
      <c r="D1681" s="233" t="s">
        <v>477</v>
      </c>
      <c r="E1681" s="216" t="s">
        <v>836</v>
      </c>
      <c r="F1681" s="216" t="s">
        <v>837</v>
      </c>
      <c r="G1681" s="216" t="s">
        <v>449</v>
      </c>
      <c r="H1681" s="216" t="s">
        <v>403</v>
      </c>
      <c r="I1681" s="234" t="s">
        <v>450</v>
      </c>
      <c r="J1681" s="234" t="s">
        <v>885</v>
      </c>
      <c r="K1681" s="234"/>
      <c r="L1681" s="216" t="s">
        <v>219</v>
      </c>
      <c r="M1681" s="178">
        <v>2</v>
      </c>
      <c r="N1681" s="235">
        <v>30</v>
      </c>
      <c r="O1681" s="234">
        <v>60</v>
      </c>
      <c r="P1681" s="234">
        <v>60</v>
      </c>
      <c r="Q1681" s="180" t="str">
        <f>IF(PEDIDOS[[#This Row],[Valor do item pago]]=PEDIDOS[[#This Row],[Total Item ]],"PAGO", "")</f>
        <v>PAGO</v>
      </c>
    </row>
    <row r="1682" spans="1:17" s="216" customFormat="1" ht="39.950000000000003" customHeight="1" x14ac:dyDescent="0.25">
      <c r="A1682" s="231"/>
      <c r="B1682" s="216">
        <v>314</v>
      </c>
      <c r="C1682" s="232">
        <v>43286</v>
      </c>
      <c r="D1682" s="233" t="s">
        <v>477</v>
      </c>
      <c r="E1682" s="216" t="s">
        <v>836</v>
      </c>
      <c r="F1682" s="216" t="s">
        <v>837</v>
      </c>
      <c r="G1682" s="216" t="s">
        <v>449</v>
      </c>
      <c r="H1682" s="216" t="s">
        <v>403</v>
      </c>
      <c r="I1682" s="234" t="s">
        <v>450</v>
      </c>
      <c r="J1682" s="234" t="s">
        <v>885</v>
      </c>
      <c r="K1682" s="234"/>
      <c r="L1682" s="216" t="s">
        <v>0</v>
      </c>
      <c r="M1682" s="178">
        <v>1</v>
      </c>
      <c r="N1682" s="235">
        <v>30</v>
      </c>
      <c r="O1682" s="234">
        <v>30</v>
      </c>
      <c r="P1682" s="234">
        <v>30</v>
      </c>
      <c r="Q1682" s="180" t="str">
        <f>IF(PEDIDOS[[#This Row],[Valor do item pago]]=PEDIDOS[[#This Row],[Total Item ]],"PAGO", "")</f>
        <v>PAGO</v>
      </c>
    </row>
    <row r="1683" spans="1:17" s="216" customFormat="1" ht="39.950000000000003" customHeight="1" x14ac:dyDescent="0.25">
      <c r="A1683" s="231"/>
      <c r="B1683" s="216">
        <v>313</v>
      </c>
      <c r="C1683" s="232">
        <v>43286</v>
      </c>
      <c r="D1683" s="233" t="s">
        <v>477</v>
      </c>
      <c r="E1683" s="216" t="s">
        <v>373</v>
      </c>
      <c r="F1683" s="216" t="s">
        <v>311</v>
      </c>
      <c r="G1683" s="216" t="s">
        <v>142</v>
      </c>
      <c r="H1683" s="216" t="s">
        <v>84</v>
      </c>
      <c r="I1683" s="234" t="s">
        <v>448</v>
      </c>
      <c r="J1683" s="234"/>
      <c r="K1683" s="234"/>
      <c r="L1683" s="216" t="s">
        <v>1</v>
      </c>
      <c r="M1683" s="178">
        <v>1</v>
      </c>
      <c r="N1683" s="235">
        <v>30</v>
      </c>
      <c r="O1683" s="234">
        <v>30</v>
      </c>
      <c r="P1683" s="234"/>
      <c r="Q1683" s="180" t="str">
        <f>IF(PEDIDOS[[#This Row],[Valor do item pago]]=PEDIDOS[[#This Row],[Total Item ]],"PAGO", "")</f>
        <v/>
      </c>
    </row>
    <row r="1684" spans="1:17" s="216" customFormat="1" ht="39.950000000000003" customHeight="1" x14ac:dyDescent="0.25">
      <c r="A1684" s="231"/>
      <c r="B1684" s="216">
        <v>312</v>
      </c>
      <c r="C1684" s="232">
        <v>43286</v>
      </c>
      <c r="D1684" s="233" t="s">
        <v>477</v>
      </c>
      <c r="E1684" s="216" t="s">
        <v>371</v>
      </c>
      <c r="F1684" s="216" t="s">
        <v>309</v>
      </c>
      <c r="G1684" s="216" t="s">
        <v>159</v>
      </c>
      <c r="H1684" s="216" t="s">
        <v>401</v>
      </c>
      <c r="I1684" s="234" t="s">
        <v>445</v>
      </c>
      <c r="J1684" s="234"/>
      <c r="K1684" s="234"/>
      <c r="L1684" s="216" t="s">
        <v>3</v>
      </c>
      <c r="M1684" s="178">
        <v>1</v>
      </c>
      <c r="N1684" s="235">
        <v>30</v>
      </c>
      <c r="O1684" s="234">
        <v>30</v>
      </c>
      <c r="P1684" s="234"/>
      <c r="Q1684" s="180" t="str">
        <f>IF(PEDIDOS[[#This Row],[Valor do item pago]]=PEDIDOS[[#This Row],[Total Item ]],"PAGO", "")</f>
        <v/>
      </c>
    </row>
    <row r="1685" spans="1:17" s="216" customFormat="1" ht="39.950000000000003" customHeight="1" x14ac:dyDescent="0.25">
      <c r="A1685" s="231"/>
      <c r="B1685" s="216">
        <v>311</v>
      </c>
      <c r="C1685" s="232">
        <v>43286</v>
      </c>
      <c r="D1685" s="233" t="s">
        <v>477</v>
      </c>
      <c r="E1685" s="216" t="s">
        <v>369</v>
      </c>
      <c r="F1685" s="216" t="s">
        <v>308</v>
      </c>
      <c r="G1685" s="216" t="s">
        <v>148</v>
      </c>
      <c r="H1685" s="216" t="s">
        <v>400</v>
      </c>
      <c r="I1685" s="234" t="s">
        <v>444</v>
      </c>
      <c r="J1685" s="234"/>
      <c r="K1685" s="234"/>
      <c r="L1685" s="216" t="s">
        <v>219</v>
      </c>
      <c r="M1685" s="178">
        <v>1</v>
      </c>
      <c r="N1685" s="235">
        <v>30</v>
      </c>
      <c r="O1685" s="234">
        <v>30</v>
      </c>
      <c r="P1685" s="234"/>
      <c r="Q1685" s="180" t="str">
        <f>IF(PEDIDOS[[#This Row],[Valor do item pago]]=PEDIDOS[[#This Row],[Total Item ]],"PAGO", "")</f>
        <v/>
      </c>
    </row>
    <row r="1686" spans="1:17" s="216" customFormat="1" ht="39.950000000000003" customHeight="1" x14ac:dyDescent="0.25">
      <c r="A1686" s="231"/>
      <c r="B1686" s="216">
        <v>310</v>
      </c>
      <c r="C1686" s="232">
        <v>43286</v>
      </c>
      <c r="D1686" s="233" t="s">
        <v>477</v>
      </c>
      <c r="E1686" s="216" t="s">
        <v>513</v>
      </c>
      <c r="F1686" s="216" t="s">
        <v>514</v>
      </c>
      <c r="G1686" s="216" t="s">
        <v>515</v>
      </c>
      <c r="H1686" s="216" t="s">
        <v>183</v>
      </c>
      <c r="I1686" s="234" t="s">
        <v>661</v>
      </c>
      <c r="J1686" s="234"/>
      <c r="K1686" s="234"/>
      <c r="L1686" s="216" t="s">
        <v>219</v>
      </c>
      <c r="M1686" s="178">
        <v>1</v>
      </c>
      <c r="N1686" s="235">
        <v>30</v>
      </c>
      <c r="O1686" s="234">
        <v>30</v>
      </c>
      <c r="P1686" s="234"/>
      <c r="Q1686" s="180" t="str">
        <f>IF(PEDIDOS[[#This Row],[Valor do item pago]]=PEDIDOS[[#This Row],[Total Item ]],"PAGO", "")</f>
        <v/>
      </c>
    </row>
    <row r="1687" spans="1:17" s="216" customFormat="1" ht="39.950000000000003" customHeight="1" x14ac:dyDescent="0.25">
      <c r="A1687" s="231"/>
      <c r="B1687" s="216">
        <v>310</v>
      </c>
      <c r="C1687" s="232">
        <v>43286</v>
      </c>
      <c r="D1687" s="233" t="s">
        <v>477</v>
      </c>
      <c r="E1687" s="216" t="s">
        <v>513</v>
      </c>
      <c r="F1687" s="216" t="s">
        <v>514</v>
      </c>
      <c r="G1687" s="216" t="s">
        <v>515</v>
      </c>
      <c r="H1687" s="216" t="s">
        <v>183</v>
      </c>
      <c r="I1687" s="234" t="s">
        <v>661</v>
      </c>
      <c r="J1687" s="234"/>
      <c r="K1687" s="234"/>
      <c r="L1687" s="216" t="s">
        <v>1</v>
      </c>
      <c r="M1687" s="178">
        <v>1</v>
      </c>
      <c r="N1687" s="235">
        <v>30</v>
      </c>
      <c r="O1687" s="234">
        <v>30</v>
      </c>
      <c r="P1687" s="234"/>
      <c r="Q1687" s="180" t="str">
        <f>IF(PEDIDOS[[#This Row],[Valor do item pago]]=PEDIDOS[[#This Row],[Total Item ]],"PAGO", "")</f>
        <v/>
      </c>
    </row>
    <row r="1688" spans="1:17" s="216" customFormat="1" ht="39.950000000000003" customHeight="1" x14ac:dyDescent="0.25">
      <c r="A1688" s="231"/>
      <c r="B1688" s="216">
        <v>309</v>
      </c>
      <c r="C1688" s="232">
        <v>43286</v>
      </c>
      <c r="D1688" s="233" t="s">
        <v>477</v>
      </c>
      <c r="E1688" s="216" t="s">
        <v>367</v>
      </c>
      <c r="F1688" s="216" t="s">
        <v>323</v>
      </c>
      <c r="G1688" s="216" t="s">
        <v>151</v>
      </c>
      <c r="H1688" s="216" t="s">
        <v>392</v>
      </c>
      <c r="I1688" s="234" t="s">
        <v>656</v>
      </c>
      <c r="J1688" s="234"/>
      <c r="K1688" s="234"/>
      <c r="L1688" s="216" t="s">
        <v>0</v>
      </c>
      <c r="M1688" s="178">
        <v>1</v>
      </c>
      <c r="N1688" s="235">
        <v>30</v>
      </c>
      <c r="O1688" s="234">
        <v>30</v>
      </c>
      <c r="P1688" s="234"/>
      <c r="Q1688" s="180" t="str">
        <f>IF(PEDIDOS[[#This Row],[Valor do item pago]]=PEDIDOS[[#This Row],[Total Item ]],"PAGO", "")</f>
        <v/>
      </c>
    </row>
    <row r="1689" spans="1:17" s="216" customFormat="1" ht="39.950000000000003" customHeight="1" x14ac:dyDescent="0.25">
      <c r="A1689" s="231"/>
      <c r="B1689" s="216">
        <v>308</v>
      </c>
      <c r="C1689" s="232">
        <v>43286</v>
      </c>
      <c r="D1689" s="233" t="s">
        <v>477</v>
      </c>
      <c r="E1689" s="216" t="s">
        <v>383</v>
      </c>
      <c r="F1689" s="216" t="s">
        <v>304</v>
      </c>
      <c r="G1689" s="216" t="s">
        <v>191</v>
      </c>
      <c r="H1689" s="216" t="s">
        <v>387</v>
      </c>
      <c r="I1689" s="234" t="s">
        <v>440</v>
      </c>
      <c r="J1689" s="234"/>
      <c r="K1689" s="234"/>
      <c r="L1689" s="216" t="s">
        <v>219</v>
      </c>
      <c r="M1689" s="178">
        <v>1</v>
      </c>
      <c r="N1689" s="235">
        <v>30</v>
      </c>
      <c r="O1689" s="234">
        <v>30</v>
      </c>
      <c r="P1689" s="234"/>
      <c r="Q1689" s="180" t="str">
        <f>IF(PEDIDOS[[#This Row],[Valor do item pago]]=PEDIDOS[[#This Row],[Total Item ]],"PAGO", "")</f>
        <v/>
      </c>
    </row>
    <row r="1690" spans="1:17" s="216" customFormat="1" ht="39.950000000000003" customHeight="1" x14ac:dyDescent="0.25">
      <c r="A1690" s="231"/>
      <c r="B1690" s="216">
        <v>307</v>
      </c>
      <c r="C1690" s="232">
        <v>43286</v>
      </c>
      <c r="D1690" s="233" t="s">
        <v>477</v>
      </c>
      <c r="E1690" s="216" t="s">
        <v>363</v>
      </c>
      <c r="F1690" s="216">
        <v>0</v>
      </c>
      <c r="G1690" s="216">
        <v>0</v>
      </c>
      <c r="H1690" s="216">
        <v>0</v>
      </c>
      <c r="I1690" s="234"/>
      <c r="J1690" s="234"/>
      <c r="K1690" s="234" t="s">
        <v>40</v>
      </c>
      <c r="L1690" s="216" t="s">
        <v>1</v>
      </c>
      <c r="M1690" s="178">
        <v>1</v>
      </c>
      <c r="N1690" s="235">
        <v>30</v>
      </c>
      <c r="O1690" s="234">
        <v>30</v>
      </c>
      <c r="P1690" s="234">
        <v>30</v>
      </c>
      <c r="Q1690" s="180" t="str">
        <f>IF(PEDIDOS[[#This Row],[Valor do item pago]]=PEDIDOS[[#This Row],[Total Item ]],"PAGO", "")</f>
        <v>PAGO</v>
      </c>
    </row>
    <row r="1691" spans="1:17" s="216" customFormat="1" ht="39.950000000000003" customHeight="1" x14ac:dyDescent="0.25">
      <c r="A1691" s="231"/>
      <c r="B1691" s="216">
        <v>306</v>
      </c>
      <c r="C1691" s="232">
        <v>43286</v>
      </c>
      <c r="D1691" s="233" t="s">
        <v>477</v>
      </c>
      <c r="E1691" s="216" t="s">
        <v>364</v>
      </c>
      <c r="F1691" s="216" t="s">
        <v>882</v>
      </c>
      <c r="G1691" s="216" t="s">
        <v>883</v>
      </c>
      <c r="H1691" s="216" t="s">
        <v>441</v>
      </c>
      <c r="I1691" s="234" t="s">
        <v>884</v>
      </c>
      <c r="J1691" s="234"/>
      <c r="K1691" s="234"/>
      <c r="L1691" s="216" t="s">
        <v>0</v>
      </c>
      <c r="M1691" s="178">
        <v>1</v>
      </c>
      <c r="N1691" s="235">
        <v>30</v>
      </c>
      <c r="O1691" s="234">
        <v>30</v>
      </c>
      <c r="P1691" s="234">
        <v>30</v>
      </c>
      <c r="Q1691" s="180" t="str">
        <f>IF(PEDIDOS[[#This Row],[Valor do item pago]]=PEDIDOS[[#This Row],[Total Item ]],"PAGO", "")</f>
        <v>PAGO</v>
      </c>
    </row>
    <row r="1692" spans="1:17" s="216" customFormat="1" ht="39.950000000000003" customHeight="1" x14ac:dyDescent="0.25">
      <c r="A1692" s="231"/>
      <c r="B1692" s="216">
        <v>305</v>
      </c>
      <c r="C1692" s="232">
        <v>43286</v>
      </c>
      <c r="D1692" s="233" t="s">
        <v>477</v>
      </c>
      <c r="E1692" s="216" t="s">
        <v>11</v>
      </c>
      <c r="F1692" s="216" t="s">
        <v>882</v>
      </c>
      <c r="G1692" s="216" t="s">
        <v>883</v>
      </c>
      <c r="H1692" s="216" t="s">
        <v>441</v>
      </c>
      <c r="I1692" s="234" t="s">
        <v>884</v>
      </c>
      <c r="J1692" s="234"/>
      <c r="K1692" s="234"/>
      <c r="L1692" s="216" t="s">
        <v>1</v>
      </c>
      <c r="M1692" s="178">
        <v>3</v>
      </c>
      <c r="N1692" s="235">
        <v>30</v>
      </c>
      <c r="O1692" s="234">
        <v>90</v>
      </c>
      <c r="P1692" s="234">
        <v>90</v>
      </c>
      <c r="Q1692" s="180" t="str">
        <f>IF(PEDIDOS[[#This Row],[Valor do item pago]]=PEDIDOS[[#This Row],[Total Item ]],"PAGO", "")</f>
        <v>PAGO</v>
      </c>
    </row>
    <row r="1693" spans="1:17" s="216" customFormat="1" ht="39.950000000000003" customHeight="1" x14ac:dyDescent="0.25">
      <c r="A1693" s="231"/>
      <c r="B1693" s="216">
        <v>304</v>
      </c>
      <c r="C1693" s="232">
        <v>43286</v>
      </c>
      <c r="D1693" s="233" t="s">
        <v>477</v>
      </c>
      <c r="E1693" s="216" t="s">
        <v>506</v>
      </c>
      <c r="F1693" s="216" t="s">
        <v>503</v>
      </c>
      <c r="G1693" s="216" t="s">
        <v>504</v>
      </c>
      <c r="H1693" s="216" t="s">
        <v>505</v>
      </c>
      <c r="I1693" s="234" t="s">
        <v>660</v>
      </c>
      <c r="J1693" s="234" t="s">
        <v>881</v>
      </c>
      <c r="K1693" s="234"/>
      <c r="L1693" s="216" t="s">
        <v>1</v>
      </c>
      <c r="M1693" s="178">
        <v>2</v>
      </c>
      <c r="N1693" s="235">
        <v>30</v>
      </c>
      <c r="O1693" s="234">
        <v>60</v>
      </c>
      <c r="P1693" s="234"/>
      <c r="Q1693" s="180" t="str">
        <f>IF(PEDIDOS[[#This Row],[Valor do item pago]]=PEDIDOS[[#This Row],[Total Item ]],"PAGO", "")</f>
        <v/>
      </c>
    </row>
    <row r="1694" spans="1:17" s="216" customFormat="1" ht="39.950000000000003" customHeight="1" x14ac:dyDescent="0.25">
      <c r="A1694" s="231"/>
      <c r="B1694" s="216">
        <v>303</v>
      </c>
      <c r="C1694" s="232">
        <v>43286</v>
      </c>
      <c r="D1694" s="233" t="s">
        <v>477</v>
      </c>
      <c r="E1694" s="216" t="s">
        <v>357</v>
      </c>
      <c r="F1694" s="216" t="s">
        <v>295</v>
      </c>
      <c r="G1694" s="216" t="s">
        <v>535</v>
      </c>
      <c r="H1694" s="216" t="s">
        <v>536</v>
      </c>
      <c r="I1694" s="234" t="s">
        <v>652</v>
      </c>
      <c r="J1694" s="234"/>
      <c r="K1694" s="234"/>
      <c r="L1694" s="216" t="s">
        <v>1</v>
      </c>
      <c r="M1694" s="178">
        <v>1</v>
      </c>
      <c r="N1694" s="235">
        <v>30</v>
      </c>
      <c r="O1694" s="234">
        <v>30</v>
      </c>
      <c r="P1694" s="234"/>
      <c r="Q1694" s="180" t="str">
        <f>IF(PEDIDOS[[#This Row],[Valor do item pago]]=PEDIDOS[[#This Row],[Total Item ]],"PAGO", "")</f>
        <v/>
      </c>
    </row>
    <row r="1695" spans="1:17" s="216" customFormat="1" ht="39.950000000000003" customHeight="1" x14ac:dyDescent="0.25">
      <c r="A1695" s="231"/>
      <c r="B1695" s="216">
        <v>302</v>
      </c>
      <c r="C1695" s="232">
        <v>43286</v>
      </c>
      <c r="D1695" s="233" t="s">
        <v>477</v>
      </c>
      <c r="E1695" s="216" t="s">
        <v>355</v>
      </c>
      <c r="F1695" s="216" t="s">
        <v>294</v>
      </c>
      <c r="G1695" s="216" t="s">
        <v>145</v>
      </c>
      <c r="H1695" s="216" t="s">
        <v>390</v>
      </c>
      <c r="I1695" s="234" t="s">
        <v>251</v>
      </c>
      <c r="J1695" s="234"/>
      <c r="K1695" s="234"/>
      <c r="L1695" s="216" t="s">
        <v>3</v>
      </c>
      <c r="M1695" s="178">
        <v>2</v>
      </c>
      <c r="N1695" s="235">
        <v>30</v>
      </c>
      <c r="O1695" s="234">
        <v>60</v>
      </c>
      <c r="P1695" s="234"/>
      <c r="Q1695" s="180" t="str">
        <f>IF(PEDIDOS[[#This Row],[Valor do item pago]]=PEDIDOS[[#This Row],[Total Item ]],"PAGO", "")</f>
        <v/>
      </c>
    </row>
    <row r="1696" spans="1:17" s="216" customFormat="1" ht="39.950000000000003" customHeight="1" x14ac:dyDescent="0.25">
      <c r="A1696" s="231"/>
      <c r="B1696" s="216">
        <v>301</v>
      </c>
      <c r="C1696" s="232">
        <v>43286</v>
      </c>
      <c r="D1696" s="233" t="s">
        <v>477</v>
      </c>
      <c r="E1696" s="216" t="s">
        <v>877</v>
      </c>
      <c r="F1696" s="216" t="s">
        <v>876</v>
      </c>
      <c r="G1696" s="216" t="s">
        <v>878</v>
      </c>
      <c r="H1696" s="216" t="s">
        <v>441</v>
      </c>
      <c r="I1696" s="234" t="s">
        <v>879</v>
      </c>
      <c r="J1696" s="234" t="s">
        <v>880</v>
      </c>
      <c r="K1696" s="234"/>
      <c r="L1696" s="216" t="s">
        <v>235</v>
      </c>
      <c r="M1696" s="178">
        <v>1</v>
      </c>
      <c r="N1696" s="235">
        <v>30</v>
      </c>
      <c r="O1696" s="234">
        <v>30</v>
      </c>
      <c r="P1696" s="234"/>
      <c r="Q1696" s="180" t="str">
        <f>IF(PEDIDOS[[#This Row],[Valor do item pago]]=PEDIDOS[[#This Row],[Total Item ]],"PAGO", "")</f>
        <v/>
      </c>
    </row>
    <row r="1697" spans="1:17" s="216" customFormat="1" ht="39.950000000000003" customHeight="1" x14ac:dyDescent="0.25">
      <c r="A1697" s="231"/>
      <c r="B1697" s="216">
        <v>300</v>
      </c>
      <c r="C1697" s="232">
        <v>43286</v>
      </c>
      <c r="D1697" s="233" t="s">
        <v>477</v>
      </c>
      <c r="E1697" s="216" t="s">
        <v>25</v>
      </c>
      <c r="F1697" s="216" t="s">
        <v>291</v>
      </c>
      <c r="G1697" s="216" t="s">
        <v>330</v>
      </c>
      <c r="H1697" s="216" t="s">
        <v>406</v>
      </c>
      <c r="I1697" s="234" t="s">
        <v>329</v>
      </c>
      <c r="J1697" s="234"/>
      <c r="K1697" s="234"/>
      <c r="L1697" s="216" t="s">
        <v>219</v>
      </c>
      <c r="M1697" s="178">
        <v>5</v>
      </c>
      <c r="N1697" s="235">
        <v>30</v>
      </c>
      <c r="O1697" s="234">
        <v>150</v>
      </c>
      <c r="P1697" s="234">
        <v>150</v>
      </c>
      <c r="Q1697" s="180" t="str">
        <f>IF(PEDIDOS[[#This Row],[Valor do item pago]]=PEDIDOS[[#This Row],[Total Item ]],"PAGO", "")</f>
        <v>PAGO</v>
      </c>
    </row>
    <row r="1698" spans="1:17" s="216" customFormat="1" ht="39.950000000000003" customHeight="1" x14ac:dyDescent="0.25">
      <c r="A1698" s="231"/>
      <c r="B1698" s="216">
        <v>299</v>
      </c>
      <c r="C1698" s="232">
        <v>43286</v>
      </c>
      <c r="D1698" s="233" t="s">
        <v>477</v>
      </c>
      <c r="E1698" s="216" t="s">
        <v>343</v>
      </c>
      <c r="F1698" s="216" t="s">
        <v>826</v>
      </c>
      <c r="G1698" s="216" t="s">
        <v>875</v>
      </c>
      <c r="H1698" s="216" t="s">
        <v>441</v>
      </c>
      <c r="I1698" s="234" t="s">
        <v>874</v>
      </c>
      <c r="J1698" s="234"/>
      <c r="K1698" s="234"/>
      <c r="L1698" s="216" t="s">
        <v>1</v>
      </c>
      <c r="M1698" s="178">
        <v>1</v>
      </c>
      <c r="N1698" s="235">
        <v>30</v>
      </c>
      <c r="O1698" s="234">
        <v>30</v>
      </c>
      <c r="P1698" s="234"/>
      <c r="Q1698" s="180" t="str">
        <f>IF(PEDIDOS[[#This Row],[Valor do item pago]]=PEDIDOS[[#This Row],[Total Item ]],"PAGO", "")</f>
        <v/>
      </c>
    </row>
    <row r="1699" spans="1:17" s="216" customFormat="1" ht="39.950000000000003" customHeight="1" x14ac:dyDescent="0.25">
      <c r="A1699" s="231"/>
      <c r="B1699" s="216">
        <v>298</v>
      </c>
      <c r="C1699" s="232">
        <v>43286</v>
      </c>
      <c r="D1699" s="233" t="s">
        <v>477</v>
      </c>
      <c r="E1699" s="216" t="s">
        <v>340</v>
      </c>
      <c r="F1699" s="216" t="s">
        <v>278</v>
      </c>
      <c r="G1699" s="216" t="s">
        <v>136</v>
      </c>
      <c r="H1699" s="216" t="s">
        <v>388</v>
      </c>
      <c r="I1699" s="234" t="s">
        <v>417</v>
      </c>
      <c r="J1699" s="234"/>
      <c r="K1699" s="234"/>
      <c r="L1699" s="216" t="s">
        <v>219</v>
      </c>
      <c r="M1699" s="178">
        <v>1</v>
      </c>
      <c r="N1699" s="235">
        <v>30</v>
      </c>
      <c r="O1699" s="234">
        <v>30</v>
      </c>
      <c r="P1699" s="234"/>
      <c r="Q1699" s="180" t="str">
        <f>IF(PEDIDOS[[#This Row],[Valor do item pago]]=PEDIDOS[[#This Row],[Total Item ]],"PAGO", "")</f>
        <v/>
      </c>
    </row>
    <row r="1700" spans="1:17" s="216" customFormat="1" ht="39.950000000000003" customHeight="1" x14ac:dyDescent="0.25">
      <c r="A1700" s="231"/>
      <c r="B1700" s="216">
        <v>297</v>
      </c>
      <c r="C1700" s="232">
        <v>43286</v>
      </c>
      <c r="D1700" s="233" t="s">
        <v>823</v>
      </c>
      <c r="E1700" s="216" t="s">
        <v>576</v>
      </c>
      <c r="F1700" s="216" t="s">
        <v>571</v>
      </c>
      <c r="G1700" s="216" t="s">
        <v>567</v>
      </c>
      <c r="H1700" s="216" t="s">
        <v>569</v>
      </c>
      <c r="I1700" s="234" t="s">
        <v>672</v>
      </c>
      <c r="J1700" s="234"/>
      <c r="K1700" s="234"/>
      <c r="L1700" s="216" t="s">
        <v>219</v>
      </c>
      <c r="M1700" s="178">
        <v>1</v>
      </c>
      <c r="N1700" s="235">
        <v>30</v>
      </c>
      <c r="O1700" s="234">
        <v>30</v>
      </c>
      <c r="P1700" s="234"/>
      <c r="Q1700" s="180" t="str">
        <f>IF(PEDIDOS[[#This Row],[Valor do item pago]]=PEDIDOS[[#This Row],[Total Item ]],"PAGO", "")</f>
        <v/>
      </c>
    </row>
    <row r="1701" spans="1:17" s="216" customFormat="1" ht="39.950000000000003" customHeight="1" x14ac:dyDescent="0.25">
      <c r="A1701" s="231"/>
      <c r="B1701" s="216">
        <v>296</v>
      </c>
      <c r="C1701" s="232">
        <v>43286</v>
      </c>
      <c r="D1701" s="233" t="s">
        <v>823</v>
      </c>
      <c r="E1701" s="216" t="s">
        <v>35</v>
      </c>
      <c r="F1701" s="216">
        <v>0</v>
      </c>
      <c r="G1701" s="216" t="s">
        <v>818</v>
      </c>
      <c r="H1701" s="216">
        <v>0</v>
      </c>
      <c r="I1701" s="234"/>
      <c r="J1701" s="234"/>
      <c r="K1701" s="234" t="s">
        <v>823</v>
      </c>
      <c r="L1701" s="216" t="s">
        <v>219</v>
      </c>
      <c r="M1701" s="178">
        <v>2</v>
      </c>
      <c r="N1701" s="235">
        <v>30</v>
      </c>
      <c r="O1701" s="234">
        <v>60</v>
      </c>
      <c r="P1701" s="234"/>
      <c r="Q1701" s="180" t="str">
        <f>IF(PEDIDOS[[#This Row],[Valor do item pago]]=PEDIDOS[[#This Row],[Total Item ]],"PAGO", "")</f>
        <v/>
      </c>
    </row>
    <row r="1702" spans="1:17" s="216" customFormat="1" ht="39.950000000000003" customHeight="1" x14ac:dyDescent="0.25">
      <c r="A1702" s="231"/>
      <c r="B1702" s="216">
        <v>295</v>
      </c>
      <c r="C1702" s="232">
        <v>43286</v>
      </c>
      <c r="D1702" s="233" t="s">
        <v>34</v>
      </c>
      <c r="E1702" s="216" t="s">
        <v>594</v>
      </c>
      <c r="F1702" s="216" t="s">
        <v>272</v>
      </c>
      <c r="G1702" s="216" t="s">
        <v>414</v>
      </c>
      <c r="H1702" s="216" t="s">
        <v>112</v>
      </c>
      <c r="I1702" s="234" t="s">
        <v>413</v>
      </c>
      <c r="J1702" s="234"/>
      <c r="K1702" s="234" t="s">
        <v>34</v>
      </c>
      <c r="L1702" s="216" t="s">
        <v>3</v>
      </c>
      <c r="M1702" s="178">
        <v>1</v>
      </c>
      <c r="N1702" s="235">
        <v>30</v>
      </c>
      <c r="O1702" s="234">
        <v>30</v>
      </c>
      <c r="P1702" s="234"/>
      <c r="Q1702" s="180" t="str">
        <f>IF(PEDIDOS[[#This Row],[Valor do item pago]]=PEDIDOS[[#This Row],[Total Item ]],"PAGO", "")</f>
        <v/>
      </c>
    </row>
    <row r="1703" spans="1:17" s="216" customFormat="1" ht="39.950000000000003" customHeight="1" x14ac:dyDescent="0.25">
      <c r="A1703" s="231"/>
      <c r="B1703" s="216">
        <v>295</v>
      </c>
      <c r="C1703" s="232">
        <v>43286</v>
      </c>
      <c r="D1703" s="233" t="s">
        <v>34</v>
      </c>
      <c r="E1703" s="216" t="s">
        <v>594</v>
      </c>
      <c r="F1703" s="216" t="s">
        <v>272</v>
      </c>
      <c r="G1703" s="216" t="s">
        <v>414</v>
      </c>
      <c r="H1703" s="216" t="s">
        <v>112</v>
      </c>
      <c r="I1703" s="234" t="s">
        <v>413</v>
      </c>
      <c r="J1703" s="234"/>
      <c r="K1703" s="234" t="s">
        <v>34</v>
      </c>
      <c r="L1703" s="216" t="s">
        <v>219</v>
      </c>
      <c r="M1703" s="178">
        <v>3</v>
      </c>
      <c r="N1703" s="235">
        <v>30</v>
      </c>
      <c r="O1703" s="234">
        <v>90</v>
      </c>
      <c r="P1703" s="234"/>
      <c r="Q1703" s="180" t="str">
        <f>IF(PEDIDOS[[#This Row],[Valor do item pago]]=PEDIDOS[[#This Row],[Total Item ]],"PAGO", "")</f>
        <v/>
      </c>
    </row>
    <row r="1704" spans="1:17" s="216" customFormat="1" ht="39.950000000000003" customHeight="1" x14ac:dyDescent="0.25">
      <c r="A1704" s="231"/>
      <c r="B1704" s="216">
        <v>294</v>
      </c>
      <c r="C1704" s="232">
        <v>43259</v>
      </c>
      <c r="D1704" s="233" t="s">
        <v>477</v>
      </c>
      <c r="E1704" s="216" t="s">
        <v>870</v>
      </c>
      <c r="F1704" s="216" t="s">
        <v>871</v>
      </c>
      <c r="G1704" s="216" t="s">
        <v>872</v>
      </c>
      <c r="H1704" s="216" t="s">
        <v>112</v>
      </c>
      <c r="I1704" s="234" t="s">
        <v>873</v>
      </c>
      <c r="J1704" s="234"/>
      <c r="K1704" s="234"/>
      <c r="L1704" s="216" t="s">
        <v>219</v>
      </c>
      <c r="M1704" s="178">
        <v>1</v>
      </c>
      <c r="N1704" s="235">
        <v>30</v>
      </c>
      <c r="O1704" s="234">
        <v>30</v>
      </c>
      <c r="P1704" s="234"/>
      <c r="Q1704" s="180" t="str">
        <f>IF(PEDIDOS[[#This Row],[Valor do item pago]]=PEDIDOS[[#This Row],[Total Item ]],"PAGO", "")</f>
        <v/>
      </c>
    </row>
    <row r="1705" spans="1:17" s="216" customFormat="1" ht="39.950000000000003" customHeight="1" x14ac:dyDescent="0.25">
      <c r="A1705" s="231"/>
      <c r="B1705" s="216">
        <v>293</v>
      </c>
      <c r="C1705" s="232">
        <v>43259</v>
      </c>
      <c r="D1705" s="233" t="s">
        <v>477</v>
      </c>
      <c r="E1705" s="216" t="s">
        <v>864</v>
      </c>
      <c r="F1705" s="216" t="s">
        <v>865</v>
      </c>
      <c r="G1705" s="216" t="s">
        <v>867</v>
      </c>
      <c r="H1705" s="216" t="s">
        <v>274</v>
      </c>
      <c r="I1705" s="234" t="s">
        <v>275</v>
      </c>
      <c r="J1705" s="234"/>
      <c r="K1705" s="234"/>
      <c r="L1705" s="216" t="s">
        <v>219</v>
      </c>
      <c r="M1705" s="178">
        <v>1</v>
      </c>
      <c r="N1705" s="235">
        <v>30</v>
      </c>
      <c r="O1705" s="234">
        <v>30</v>
      </c>
      <c r="P1705" s="234">
        <v>30</v>
      </c>
      <c r="Q1705" s="180" t="str">
        <f>IF(PEDIDOS[[#This Row],[Valor do item pago]]=PEDIDOS[[#This Row],[Total Item ]],"PAGO", "")</f>
        <v>PAGO</v>
      </c>
    </row>
    <row r="1706" spans="1:17" s="216" customFormat="1" ht="39.950000000000003" customHeight="1" x14ac:dyDescent="0.25">
      <c r="A1706" s="231"/>
      <c r="C1706" s="232">
        <v>43259</v>
      </c>
      <c r="D1706" s="233" t="s">
        <v>477</v>
      </c>
      <c r="E1706" s="216" t="s">
        <v>859</v>
      </c>
      <c r="F1706" s="216" t="s">
        <v>860</v>
      </c>
      <c r="G1706" s="216" t="s">
        <v>862</v>
      </c>
      <c r="H1706" s="216" t="s">
        <v>544</v>
      </c>
      <c r="I1706" s="234" t="s">
        <v>863</v>
      </c>
      <c r="J1706" s="234"/>
      <c r="K1706" s="234"/>
      <c r="L1706" s="216" t="s">
        <v>219</v>
      </c>
      <c r="M1706" s="178">
        <v>1</v>
      </c>
      <c r="N1706" s="235">
        <v>30</v>
      </c>
      <c r="O1706" s="234">
        <v>30</v>
      </c>
      <c r="P1706" s="234">
        <v>30</v>
      </c>
      <c r="Q1706" s="180" t="str">
        <f>IF(PEDIDOS[[#This Row],[Valor do item pago]]=PEDIDOS[[#This Row],[Total Item ]],"PAGO", "")</f>
        <v>PAGO</v>
      </c>
    </row>
    <row r="1707" spans="1:17" s="216" customFormat="1" ht="39.950000000000003" customHeight="1" x14ac:dyDescent="0.25">
      <c r="A1707" s="231"/>
      <c r="C1707" s="232">
        <v>43259</v>
      </c>
      <c r="D1707" s="233" t="s">
        <v>477</v>
      </c>
      <c r="E1707" s="216" t="s">
        <v>854</v>
      </c>
      <c r="F1707" s="216" t="s">
        <v>855</v>
      </c>
      <c r="G1707" s="216" t="s">
        <v>857</v>
      </c>
      <c r="H1707" s="216" t="s">
        <v>52</v>
      </c>
      <c r="I1707" s="234" t="s">
        <v>858</v>
      </c>
      <c r="J1707" s="234"/>
      <c r="K1707" s="234"/>
      <c r="L1707" s="216" t="s">
        <v>219</v>
      </c>
      <c r="M1707" s="178">
        <v>1</v>
      </c>
      <c r="N1707" s="235">
        <v>30</v>
      </c>
      <c r="O1707" s="234">
        <v>30</v>
      </c>
      <c r="P1707" s="234">
        <v>30</v>
      </c>
      <c r="Q1707" s="180" t="str">
        <f>IF(PEDIDOS[[#This Row],[Valor do item pago]]=PEDIDOS[[#This Row],[Total Item ]],"PAGO", "")</f>
        <v>PAGO</v>
      </c>
    </row>
    <row r="1708" spans="1:17" s="216" customFormat="1" ht="39.950000000000003" customHeight="1" x14ac:dyDescent="0.25">
      <c r="A1708" s="231"/>
      <c r="C1708" s="232">
        <v>43259</v>
      </c>
      <c r="D1708" s="233" t="s">
        <v>477</v>
      </c>
      <c r="E1708" s="216" t="s">
        <v>540</v>
      </c>
      <c r="F1708" s="216" t="s">
        <v>539</v>
      </c>
      <c r="G1708" s="216" t="s">
        <v>852</v>
      </c>
      <c r="H1708" s="216" t="s">
        <v>544</v>
      </c>
      <c r="I1708" s="234" t="s">
        <v>853</v>
      </c>
      <c r="J1708" s="234" t="s">
        <v>869</v>
      </c>
      <c r="K1708" s="234"/>
      <c r="L1708" s="216" t="s">
        <v>219</v>
      </c>
      <c r="M1708" s="178">
        <v>1</v>
      </c>
      <c r="N1708" s="235">
        <v>30</v>
      </c>
      <c r="O1708" s="234">
        <v>30</v>
      </c>
      <c r="P1708" s="234">
        <v>30</v>
      </c>
      <c r="Q1708" s="180" t="str">
        <f>IF(PEDIDOS[[#This Row],[Valor do item pago]]=PEDIDOS[[#This Row],[Total Item ]],"PAGO", "")</f>
        <v>PAGO</v>
      </c>
    </row>
    <row r="1709" spans="1:17" s="216" customFormat="1" ht="39.950000000000003" customHeight="1" x14ac:dyDescent="0.25">
      <c r="A1709" s="231"/>
      <c r="C1709" s="232">
        <v>43259</v>
      </c>
      <c r="D1709" s="233" t="s">
        <v>477</v>
      </c>
      <c r="E1709" s="216" t="s">
        <v>849</v>
      </c>
      <c r="F1709" s="216" t="s">
        <v>850</v>
      </c>
      <c r="G1709" s="216" t="s">
        <v>851</v>
      </c>
      <c r="H1709" s="216" t="s">
        <v>84</v>
      </c>
      <c r="I1709" s="234" t="s">
        <v>436</v>
      </c>
      <c r="J1709" s="234"/>
      <c r="K1709" s="234"/>
      <c r="L1709" s="216" t="s">
        <v>0</v>
      </c>
      <c r="M1709" s="178">
        <v>1</v>
      </c>
      <c r="N1709" s="235">
        <v>30</v>
      </c>
      <c r="O1709" s="234">
        <v>30</v>
      </c>
      <c r="P1709" s="234"/>
      <c r="Q1709" s="180" t="str">
        <f>IF(PEDIDOS[[#This Row],[Valor do item pago]]=PEDIDOS[[#This Row],[Total Item ]],"PAGO", "")</f>
        <v/>
      </c>
    </row>
    <row r="1710" spans="1:17" s="216" customFormat="1" ht="39.950000000000003" customHeight="1" x14ac:dyDescent="0.25">
      <c r="A1710" s="231"/>
      <c r="C1710" s="232">
        <v>43259</v>
      </c>
      <c r="D1710" s="233" t="s">
        <v>477</v>
      </c>
      <c r="F1710" s="216" t="s">
        <v>846</v>
      </c>
      <c r="G1710" s="216" t="s">
        <v>847</v>
      </c>
      <c r="H1710" s="216" t="s">
        <v>461</v>
      </c>
      <c r="I1710" s="234" t="s">
        <v>848</v>
      </c>
      <c r="J1710" s="234" t="s">
        <v>868</v>
      </c>
      <c r="K1710" s="234"/>
      <c r="L1710" s="216" t="s">
        <v>219</v>
      </c>
      <c r="M1710" s="178">
        <v>1</v>
      </c>
      <c r="N1710" s="235">
        <v>30</v>
      </c>
      <c r="O1710" s="234">
        <v>30</v>
      </c>
      <c r="P1710" s="234">
        <v>30</v>
      </c>
      <c r="Q1710" s="180" t="str">
        <f>IF(PEDIDOS[[#This Row],[Valor do item pago]]=PEDIDOS[[#This Row],[Total Item ]],"PAGO", "")</f>
        <v>PAGO</v>
      </c>
    </row>
    <row r="1711" spans="1:17" s="216" customFormat="1" ht="39.950000000000003" customHeight="1" x14ac:dyDescent="0.25">
      <c r="A1711" s="231"/>
      <c r="C1711" s="232">
        <v>43259</v>
      </c>
      <c r="D1711" s="233" t="s">
        <v>477</v>
      </c>
      <c r="F1711" s="216" t="s">
        <v>841</v>
      </c>
      <c r="G1711" s="216" t="s">
        <v>843</v>
      </c>
      <c r="H1711" s="216" t="s">
        <v>523</v>
      </c>
      <c r="I1711" s="234" t="s">
        <v>844</v>
      </c>
      <c r="J1711" s="234"/>
      <c r="K1711" s="234"/>
      <c r="L1711" s="216" t="s">
        <v>1</v>
      </c>
      <c r="M1711" s="178">
        <v>1</v>
      </c>
      <c r="N1711" s="235">
        <v>30</v>
      </c>
      <c r="O1711" s="234">
        <v>30</v>
      </c>
      <c r="P1711" s="234">
        <v>30</v>
      </c>
      <c r="Q1711" s="180" t="str">
        <f>IF(PEDIDOS[[#This Row],[Valor do item pago]]=PEDIDOS[[#This Row],[Total Item ]],"PAGO", "")</f>
        <v>PAGO</v>
      </c>
    </row>
    <row r="1712" spans="1:17" s="216" customFormat="1" ht="39.950000000000003" customHeight="1" x14ac:dyDescent="0.25">
      <c r="A1712" s="231"/>
      <c r="C1712" s="232">
        <v>43259</v>
      </c>
      <c r="D1712" s="233" t="s">
        <v>477</v>
      </c>
      <c r="F1712" s="216" t="s">
        <v>839</v>
      </c>
      <c r="G1712" s="216">
        <v>0</v>
      </c>
      <c r="H1712" s="216">
        <v>0</v>
      </c>
      <c r="I1712" s="234"/>
      <c r="J1712" s="234"/>
      <c r="K1712" s="234" t="s">
        <v>40</v>
      </c>
      <c r="L1712" s="216" t="s">
        <v>219</v>
      </c>
      <c r="M1712" s="178">
        <v>1</v>
      </c>
      <c r="N1712" s="235">
        <v>30</v>
      </c>
      <c r="O1712" s="234">
        <v>30</v>
      </c>
      <c r="P1712" s="234"/>
      <c r="Q1712" s="180" t="str">
        <f>IF(PEDIDOS[[#This Row],[Valor do item pago]]=PEDIDOS[[#This Row],[Total Item ]],"PAGO", "")</f>
        <v/>
      </c>
    </row>
    <row r="1713" spans="1:17" s="216" customFormat="1" ht="39.950000000000003" customHeight="1" x14ac:dyDescent="0.25">
      <c r="A1713" s="231"/>
      <c r="C1713" s="232">
        <v>43259</v>
      </c>
      <c r="D1713" s="233" t="s">
        <v>477</v>
      </c>
      <c r="F1713" s="216" t="s">
        <v>521</v>
      </c>
      <c r="G1713" s="216" t="s">
        <v>522</v>
      </c>
      <c r="H1713" s="216" t="s">
        <v>523</v>
      </c>
      <c r="I1713" s="234" t="s">
        <v>663</v>
      </c>
      <c r="J1713" s="234"/>
      <c r="K1713" s="234"/>
      <c r="L1713" s="216" t="s">
        <v>235</v>
      </c>
      <c r="M1713" s="178">
        <v>1</v>
      </c>
      <c r="N1713" s="235">
        <v>30</v>
      </c>
      <c r="O1713" s="234">
        <v>30</v>
      </c>
      <c r="P1713" s="234"/>
      <c r="Q1713" s="180" t="str">
        <f>IF(PEDIDOS[[#This Row],[Valor do item pago]]=PEDIDOS[[#This Row],[Total Item ]],"PAGO", "")</f>
        <v/>
      </c>
    </row>
    <row r="1714" spans="1:17" s="216" customFormat="1" ht="39.950000000000003" customHeight="1" x14ac:dyDescent="0.25">
      <c r="A1714" s="231"/>
      <c r="C1714" s="232">
        <v>43259</v>
      </c>
      <c r="D1714" s="233" t="s">
        <v>477</v>
      </c>
      <c r="F1714" s="216" t="s">
        <v>837</v>
      </c>
      <c r="G1714" s="216" t="s">
        <v>449</v>
      </c>
      <c r="H1714" s="216" t="s">
        <v>403</v>
      </c>
      <c r="I1714" s="234" t="s">
        <v>450</v>
      </c>
      <c r="J1714" s="234"/>
      <c r="K1714" s="234"/>
      <c r="L1714" s="216" t="s">
        <v>219</v>
      </c>
      <c r="M1714" s="178">
        <v>1</v>
      </c>
      <c r="N1714" s="235">
        <v>30</v>
      </c>
      <c r="O1714" s="234">
        <v>30</v>
      </c>
      <c r="P1714" s="234"/>
      <c r="Q1714" s="180" t="str">
        <f>IF(PEDIDOS[[#This Row],[Valor do item pago]]=PEDIDOS[[#This Row],[Total Item ]],"PAGO", "")</f>
        <v/>
      </c>
    </row>
    <row r="1715" spans="1:17" s="216" customFormat="1" ht="39.950000000000003" customHeight="1" x14ac:dyDescent="0.25">
      <c r="A1715" s="231"/>
      <c r="C1715" s="232">
        <v>43259</v>
      </c>
      <c r="D1715" s="233" t="s">
        <v>477</v>
      </c>
      <c r="F1715" s="216" t="s">
        <v>837</v>
      </c>
      <c r="G1715" s="216" t="s">
        <v>449</v>
      </c>
      <c r="H1715" s="216" t="s">
        <v>403</v>
      </c>
      <c r="I1715" s="234" t="s">
        <v>450</v>
      </c>
      <c r="J1715" s="234"/>
      <c r="K1715" s="234"/>
      <c r="L1715" s="216" t="s">
        <v>1</v>
      </c>
      <c r="M1715" s="178">
        <v>1</v>
      </c>
      <c r="N1715" s="235">
        <v>30</v>
      </c>
      <c r="O1715" s="234">
        <v>30</v>
      </c>
      <c r="P1715" s="234"/>
      <c r="Q1715" s="180" t="str">
        <f>IF(PEDIDOS[[#This Row],[Valor do item pago]]=PEDIDOS[[#This Row],[Total Item ]],"PAGO", "")</f>
        <v/>
      </c>
    </row>
    <row r="1716" spans="1:17" s="216" customFormat="1" ht="39.950000000000003" customHeight="1" x14ac:dyDescent="0.25">
      <c r="A1716" s="231"/>
      <c r="C1716" s="232">
        <v>43259</v>
      </c>
      <c r="D1716" s="233" t="s">
        <v>477</v>
      </c>
      <c r="F1716" s="216" t="s">
        <v>311</v>
      </c>
      <c r="G1716" s="216" t="s">
        <v>142</v>
      </c>
      <c r="H1716" s="216" t="s">
        <v>84</v>
      </c>
      <c r="I1716" s="234" t="s">
        <v>448</v>
      </c>
      <c r="J1716" s="234"/>
      <c r="K1716" s="234"/>
      <c r="L1716" s="216" t="s">
        <v>1</v>
      </c>
      <c r="M1716" s="178">
        <v>1</v>
      </c>
      <c r="N1716" s="235">
        <v>30</v>
      </c>
      <c r="O1716" s="234">
        <v>30</v>
      </c>
      <c r="P1716" s="234"/>
      <c r="Q1716" s="180" t="str">
        <f>IF(PEDIDOS[[#This Row],[Valor do item pago]]=PEDIDOS[[#This Row],[Total Item ]],"PAGO", "")</f>
        <v/>
      </c>
    </row>
    <row r="1717" spans="1:17" s="216" customFormat="1" ht="39.950000000000003" customHeight="1" x14ac:dyDescent="0.25">
      <c r="A1717" s="231"/>
      <c r="C1717" s="232">
        <v>43259</v>
      </c>
      <c r="D1717" s="233" t="s">
        <v>477</v>
      </c>
      <c r="F1717" s="216" t="s">
        <v>309</v>
      </c>
      <c r="G1717" s="216" t="s">
        <v>159</v>
      </c>
      <c r="H1717" s="216" t="s">
        <v>401</v>
      </c>
      <c r="I1717" s="234" t="s">
        <v>445</v>
      </c>
      <c r="J1717" s="234"/>
      <c r="K1717" s="234"/>
      <c r="L1717" s="216" t="s">
        <v>3</v>
      </c>
      <c r="M1717" s="178">
        <v>1</v>
      </c>
      <c r="N1717" s="235">
        <v>30</v>
      </c>
      <c r="O1717" s="234">
        <v>30</v>
      </c>
      <c r="P1717" s="234"/>
      <c r="Q1717" s="180" t="str">
        <f>IF(PEDIDOS[[#This Row],[Valor do item pago]]=PEDIDOS[[#This Row],[Total Item ]],"PAGO", "")</f>
        <v/>
      </c>
    </row>
    <row r="1718" spans="1:17" s="216" customFormat="1" ht="39.950000000000003" customHeight="1" x14ac:dyDescent="0.25">
      <c r="A1718" s="231"/>
      <c r="C1718" s="232">
        <v>43259</v>
      </c>
      <c r="D1718" s="233" t="s">
        <v>477</v>
      </c>
      <c r="F1718" s="216" t="s">
        <v>308</v>
      </c>
      <c r="G1718" s="216" t="s">
        <v>148</v>
      </c>
      <c r="H1718" s="216" t="s">
        <v>400</v>
      </c>
      <c r="I1718" s="234" t="s">
        <v>444</v>
      </c>
      <c r="J1718" s="234"/>
      <c r="K1718" s="234"/>
      <c r="L1718" s="216" t="s">
        <v>219</v>
      </c>
      <c r="M1718" s="178">
        <v>1</v>
      </c>
      <c r="N1718" s="235">
        <v>30</v>
      </c>
      <c r="O1718" s="234">
        <v>30</v>
      </c>
      <c r="P1718" s="234"/>
      <c r="Q1718" s="180" t="str">
        <f>IF(PEDIDOS[[#This Row],[Valor do item pago]]=PEDIDOS[[#This Row],[Total Item ]],"PAGO", "")</f>
        <v/>
      </c>
    </row>
    <row r="1719" spans="1:17" s="216" customFormat="1" ht="39.950000000000003" customHeight="1" x14ac:dyDescent="0.25">
      <c r="A1719" s="231"/>
      <c r="C1719" s="232">
        <v>43259</v>
      </c>
      <c r="D1719" s="233" t="s">
        <v>477</v>
      </c>
      <c r="F1719" s="216" t="s">
        <v>514</v>
      </c>
      <c r="G1719" s="216" t="s">
        <v>515</v>
      </c>
      <c r="H1719" s="216" t="s">
        <v>183</v>
      </c>
      <c r="I1719" s="234" t="s">
        <v>661</v>
      </c>
      <c r="J1719" s="234"/>
      <c r="K1719" s="234"/>
      <c r="L1719" s="216" t="s">
        <v>219</v>
      </c>
      <c r="M1719" s="178">
        <v>1</v>
      </c>
      <c r="N1719" s="235">
        <v>30</v>
      </c>
      <c r="O1719" s="234">
        <v>30</v>
      </c>
      <c r="P1719" s="234"/>
      <c r="Q1719" s="180" t="str">
        <f>IF(PEDIDOS[[#This Row],[Valor do item pago]]=PEDIDOS[[#This Row],[Total Item ]],"PAGO", "")</f>
        <v/>
      </c>
    </row>
    <row r="1720" spans="1:17" s="216" customFormat="1" ht="39.950000000000003" customHeight="1" x14ac:dyDescent="0.25">
      <c r="A1720" s="231"/>
      <c r="C1720" s="232">
        <v>43259</v>
      </c>
      <c r="D1720" s="233" t="s">
        <v>477</v>
      </c>
      <c r="F1720" s="216" t="s">
        <v>514</v>
      </c>
      <c r="G1720" s="216" t="s">
        <v>515</v>
      </c>
      <c r="H1720" s="216" t="s">
        <v>183</v>
      </c>
      <c r="I1720" s="234" t="s">
        <v>661</v>
      </c>
      <c r="J1720" s="234"/>
      <c r="K1720" s="234"/>
      <c r="L1720" s="216" t="s">
        <v>1</v>
      </c>
      <c r="M1720" s="178">
        <v>1</v>
      </c>
      <c r="N1720" s="235">
        <v>30</v>
      </c>
      <c r="O1720" s="234">
        <v>30</v>
      </c>
      <c r="P1720" s="234"/>
      <c r="Q1720" s="180" t="str">
        <f>IF(PEDIDOS[[#This Row],[Valor do item pago]]=PEDIDOS[[#This Row],[Total Item ]],"PAGO", "")</f>
        <v/>
      </c>
    </row>
    <row r="1721" spans="1:17" s="216" customFormat="1" ht="39.950000000000003" customHeight="1" x14ac:dyDescent="0.25">
      <c r="A1721" s="231"/>
      <c r="B1721" s="216">
        <v>279</v>
      </c>
      <c r="C1721" s="232">
        <v>43259</v>
      </c>
      <c r="D1721" s="233" t="s">
        <v>477</v>
      </c>
      <c r="E1721" s="216" t="s">
        <v>835</v>
      </c>
      <c r="F1721" s="216" t="s">
        <v>832</v>
      </c>
      <c r="G1721" s="216" t="s">
        <v>833</v>
      </c>
      <c r="H1721" s="216" t="s">
        <v>651</v>
      </c>
      <c r="I1721" s="234" t="s">
        <v>834</v>
      </c>
      <c r="J1721" s="234"/>
      <c r="K1721" s="234"/>
      <c r="L1721" s="216" t="s">
        <v>219</v>
      </c>
      <c r="M1721" s="178">
        <v>1</v>
      </c>
      <c r="N1721" s="235">
        <v>30</v>
      </c>
      <c r="O1721" s="234">
        <v>30</v>
      </c>
      <c r="P1721" s="234"/>
      <c r="Q1721" s="180" t="str">
        <f>IF(PEDIDOS[[#This Row],[Valor do item pago]]=PEDIDOS[[#This Row],[Total Item ]],"PAGO", "")</f>
        <v/>
      </c>
    </row>
    <row r="1722" spans="1:17" s="216" customFormat="1" ht="39.950000000000003" customHeight="1" x14ac:dyDescent="0.25">
      <c r="A1722" s="231"/>
      <c r="B1722" s="216">
        <v>278</v>
      </c>
      <c r="C1722" s="232">
        <v>43259</v>
      </c>
      <c r="D1722" s="233" t="s">
        <v>477</v>
      </c>
      <c r="E1722" s="216" t="s">
        <v>367</v>
      </c>
      <c r="F1722" s="216" t="s">
        <v>323</v>
      </c>
      <c r="G1722" s="216" t="s">
        <v>151</v>
      </c>
      <c r="H1722" s="216" t="s">
        <v>392</v>
      </c>
      <c r="I1722" s="234" t="s">
        <v>656</v>
      </c>
      <c r="J1722" s="234"/>
      <c r="K1722" s="234"/>
      <c r="L1722" s="216" t="s">
        <v>0</v>
      </c>
      <c r="M1722" s="178">
        <v>1</v>
      </c>
      <c r="N1722" s="235">
        <v>30</v>
      </c>
      <c r="O1722" s="234">
        <v>30</v>
      </c>
      <c r="P1722" s="234"/>
      <c r="Q1722" s="180" t="str">
        <f>IF(PEDIDOS[[#This Row],[Valor do item pago]]=PEDIDOS[[#This Row],[Total Item ]],"PAGO", "")</f>
        <v/>
      </c>
    </row>
    <row r="1723" spans="1:17" s="216" customFormat="1" ht="39.950000000000003" customHeight="1" x14ac:dyDescent="0.25">
      <c r="A1723" s="231"/>
      <c r="B1723" s="216">
        <v>277</v>
      </c>
      <c r="C1723" s="232">
        <v>43259</v>
      </c>
      <c r="D1723" s="233" t="s">
        <v>477</v>
      </c>
      <c r="E1723" s="216" t="s">
        <v>383</v>
      </c>
      <c r="F1723" s="216" t="s">
        <v>304</v>
      </c>
      <c r="G1723" s="216" t="s">
        <v>191</v>
      </c>
      <c r="H1723" s="216" t="s">
        <v>387</v>
      </c>
      <c r="I1723" s="234" t="s">
        <v>440</v>
      </c>
      <c r="J1723" s="234"/>
      <c r="K1723" s="234"/>
      <c r="L1723" s="216" t="s">
        <v>219</v>
      </c>
      <c r="M1723" s="178">
        <v>1</v>
      </c>
      <c r="N1723" s="235">
        <v>30</v>
      </c>
      <c r="O1723" s="234">
        <v>30</v>
      </c>
      <c r="P1723" s="234"/>
      <c r="Q1723" s="180" t="str">
        <f>IF(PEDIDOS[[#This Row],[Valor do item pago]]=PEDIDOS[[#This Row],[Total Item ]],"PAGO", "")</f>
        <v/>
      </c>
    </row>
    <row r="1724" spans="1:17" s="216" customFormat="1" ht="39.950000000000003" customHeight="1" x14ac:dyDescent="0.25">
      <c r="A1724" s="231"/>
      <c r="B1724" s="216">
        <v>276</v>
      </c>
      <c r="C1724" s="232">
        <v>43259</v>
      </c>
      <c r="D1724" s="233" t="s">
        <v>477</v>
      </c>
      <c r="E1724" s="216" t="s">
        <v>363</v>
      </c>
      <c r="F1724" s="216">
        <v>0</v>
      </c>
      <c r="G1724" s="216">
        <v>0</v>
      </c>
      <c r="H1724" s="216">
        <v>0</v>
      </c>
      <c r="I1724" s="234"/>
      <c r="J1724" s="234"/>
      <c r="K1724" s="234" t="s">
        <v>40</v>
      </c>
      <c r="L1724" s="216" t="s">
        <v>1</v>
      </c>
      <c r="M1724" s="178">
        <v>1</v>
      </c>
      <c r="N1724" s="235">
        <v>30</v>
      </c>
      <c r="O1724" s="234">
        <v>30</v>
      </c>
      <c r="P1724" s="234"/>
      <c r="Q1724" s="180" t="str">
        <f>IF(PEDIDOS[[#This Row],[Valor do item pago]]=PEDIDOS[[#This Row],[Total Item ]],"PAGO", "")</f>
        <v/>
      </c>
    </row>
    <row r="1725" spans="1:17" s="216" customFormat="1" ht="39.950000000000003" customHeight="1" x14ac:dyDescent="0.25">
      <c r="A1725" s="231"/>
      <c r="B1725" s="216">
        <v>275</v>
      </c>
      <c r="C1725" s="232">
        <v>43259</v>
      </c>
      <c r="D1725" s="233" t="s">
        <v>477</v>
      </c>
      <c r="E1725" s="216" t="s">
        <v>11</v>
      </c>
      <c r="F1725" s="216">
        <v>0</v>
      </c>
      <c r="G1725" s="216">
        <v>0</v>
      </c>
      <c r="H1725" s="216">
        <v>0</v>
      </c>
      <c r="I1725" s="234"/>
      <c r="J1725" s="234"/>
      <c r="K1725" s="234" t="s">
        <v>477</v>
      </c>
      <c r="L1725" s="216" t="s">
        <v>1</v>
      </c>
      <c r="M1725" s="178">
        <v>5</v>
      </c>
      <c r="N1725" s="235">
        <v>30</v>
      </c>
      <c r="O1725" s="234">
        <v>150</v>
      </c>
      <c r="P1725" s="234"/>
      <c r="Q1725" s="180" t="str">
        <f>IF(PEDIDOS[[#This Row],[Valor do item pago]]=PEDIDOS[[#This Row],[Total Item ]],"PAGO", "")</f>
        <v/>
      </c>
    </row>
    <row r="1726" spans="1:17" s="216" customFormat="1" ht="39.950000000000003" customHeight="1" x14ac:dyDescent="0.25">
      <c r="A1726" s="231"/>
      <c r="B1726" s="216">
        <v>274</v>
      </c>
      <c r="C1726" s="232">
        <v>43259</v>
      </c>
      <c r="D1726" s="233" t="s">
        <v>477</v>
      </c>
      <c r="E1726" s="216" t="s">
        <v>506</v>
      </c>
      <c r="F1726" s="216" t="s">
        <v>503</v>
      </c>
      <c r="G1726" s="216" t="s">
        <v>504</v>
      </c>
      <c r="H1726" s="216" t="s">
        <v>505</v>
      </c>
      <c r="I1726" s="234" t="s">
        <v>660</v>
      </c>
      <c r="J1726" s="234"/>
      <c r="K1726" s="234"/>
      <c r="L1726" s="216" t="s">
        <v>1</v>
      </c>
      <c r="M1726" s="178">
        <v>1</v>
      </c>
      <c r="N1726" s="235">
        <v>30</v>
      </c>
      <c r="O1726" s="234">
        <v>30</v>
      </c>
      <c r="P1726" s="234"/>
      <c r="Q1726" s="180" t="str">
        <f>IF(PEDIDOS[[#This Row],[Valor do item pago]]=PEDIDOS[[#This Row],[Total Item ]],"PAGO", "")</f>
        <v/>
      </c>
    </row>
    <row r="1727" spans="1:17" s="216" customFormat="1" ht="39.950000000000003" customHeight="1" x14ac:dyDescent="0.25">
      <c r="A1727" s="231"/>
      <c r="B1727" s="216">
        <v>273</v>
      </c>
      <c r="C1727" s="232">
        <v>43259</v>
      </c>
      <c r="D1727" s="233" t="s">
        <v>477</v>
      </c>
      <c r="E1727" s="216" t="s">
        <v>353</v>
      </c>
      <c r="F1727" s="216">
        <v>0</v>
      </c>
      <c r="G1727" s="216">
        <v>0</v>
      </c>
      <c r="H1727" s="216">
        <v>0</v>
      </c>
      <c r="I1727" s="234"/>
      <c r="J1727" s="234"/>
      <c r="K1727" s="234"/>
      <c r="L1727" s="216" t="s">
        <v>235</v>
      </c>
      <c r="M1727" s="178">
        <v>1</v>
      </c>
      <c r="N1727" s="235">
        <v>30</v>
      </c>
      <c r="O1727" s="234">
        <v>30</v>
      </c>
      <c r="P1727" s="234"/>
      <c r="Q1727" s="180" t="str">
        <f>IF(PEDIDOS[[#This Row],[Valor do item pago]]=PEDIDOS[[#This Row],[Total Item ]],"PAGO", "")</f>
        <v/>
      </c>
    </row>
    <row r="1728" spans="1:17" s="216" customFormat="1" ht="39.950000000000003" customHeight="1" x14ac:dyDescent="0.25">
      <c r="A1728" s="231"/>
      <c r="B1728" s="216">
        <v>272</v>
      </c>
      <c r="C1728" s="232">
        <v>43259</v>
      </c>
      <c r="D1728" s="233" t="s">
        <v>477</v>
      </c>
      <c r="E1728" s="216" t="s">
        <v>25</v>
      </c>
      <c r="F1728" s="216" t="s">
        <v>291</v>
      </c>
      <c r="G1728" s="216" t="s">
        <v>330</v>
      </c>
      <c r="H1728" s="216" t="s">
        <v>406</v>
      </c>
      <c r="I1728" s="234" t="s">
        <v>329</v>
      </c>
      <c r="J1728" s="234"/>
      <c r="K1728" s="234"/>
      <c r="L1728" s="216" t="s">
        <v>219</v>
      </c>
      <c r="M1728" s="178">
        <v>5</v>
      </c>
      <c r="N1728" s="235">
        <v>30</v>
      </c>
      <c r="O1728" s="234">
        <v>150</v>
      </c>
      <c r="P1728" s="234">
        <v>150</v>
      </c>
      <c r="Q1728" s="180" t="str">
        <f>IF(PEDIDOS[[#This Row],[Valor do item pago]]=PEDIDOS[[#This Row],[Total Item ]],"PAGO", "")</f>
        <v>PAGO</v>
      </c>
    </row>
    <row r="1729" spans="1:28" s="216" customFormat="1" ht="39.950000000000003" customHeight="1" x14ac:dyDescent="0.25">
      <c r="A1729" s="231"/>
      <c r="B1729" s="216">
        <v>271</v>
      </c>
      <c r="C1729" s="232">
        <v>43259</v>
      </c>
      <c r="D1729" s="233" t="s">
        <v>477</v>
      </c>
      <c r="E1729" s="216" t="s">
        <v>827</v>
      </c>
      <c r="F1729" s="216" t="s">
        <v>828</v>
      </c>
      <c r="G1729" s="216" t="s">
        <v>830</v>
      </c>
      <c r="H1729" s="216" t="s">
        <v>651</v>
      </c>
      <c r="I1729" s="234" t="s">
        <v>831</v>
      </c>
      <c r="J1729" s="234"/>
      <c r="K1729" s="234"/>
      <c r="L1729" s="216" t="s">
        <v>219</v>
      </c>
      <c r="M1729" s="178">
        <v>1</v>
      </c>
      <c r="N1729" s="235">
        <v>30</v>
      </c>
      <c r="O1729" s="234">
        <v>30</v>
      </c>
      <c r="P1729" s="234"/>
      <c r="Q1729" s="180" t="str">
        <f>IF(PEDIDOS[[#This Row],[Valor do item pago]]=PEDIDOS[[#This Row],[Total Item ]],"PAGO", "")</f>
        <v/>
      </c>
    </row>
    <row r="1730" spans="1:28" s="216" customFormat="1" ht="39.950000000000003" customHeight="1" x14ac:dyDescent="0.25">
      <c r="A1730" s="231"/>
      <c r="B1730" s="216">
        <v>270</v>
      </c>
      <c r="C1730" s="232">
        <v>43259</v>
      </c>
      <c r="D1730" s="233" t="s">
        <v>477</v>
      </c>
      <c r="E1730" s="216" t="s">
        <v>343</v>
      </c>
      <c r="F1730" s="216" t="s">
        <v>826</v>
      </c>
      <c r="G1730" s="216">
        <v>0</v>
      </c>
      <c r="H1730" s="216">
        <v>0</v>
      </c>
      <c r="I1730" s="234"/>
      <c r="J1730" s="234"/>
      <c r="K1730" s="234" t="s">
        <v>477</v>
      </c>
      <c r="L1730" s="216" t="s">
        <v>1</v>
      </c>
      <c r="M1730" s="178">
        <v>1</v>
      </c>
      <c r="N1730" s="235">
        <v>30</v>
      </c>
      <c r="O1730" s="234">
        <v>30</v>
      </c>
      <c r="P1730" s="234"/>
      <c r="Q1730" s="180" t="str">
        <f>IF(PEDIDOS[[#This Row],[Valor do item pago]]=PEDIDOS[[#This Row],[Total Item ]],"PAGO", "")</f>
        <v/>
      </c>
    </row>
    <row r="1731" spans="1:28" s="216" customFormat="1" ht="39.950000000000003" customHeight="1" x14ac:dyDescent="0.25">
      <c r="A1731" s="231"/>
      <c r="B1731" s="216">
        <v>269</v>
      </c>
      <c r="C1731" s="232">
        <v>43259</v>
      </c>
      <c r="D1731" s="233" t="s">
        <v>477</v>
      </c>
      <c r="E1731" s="216" t="s">
        <v>342</v>
      </c>
      <c r="F1731" s="216" t="s">
        <v>282</v>
      </c>
      <c r="G1731" s="216" t="s">
        <v>156</v>
      </c>
      <c r="H1731" s="216" t="s">
        <v>389</v>
      </c>
      <c r="I1731" s="234" t="s">
        <v>255</v>
      </c>
      <c r="J1731" s="234"/>
      <c r="K1731" s="234"/>
      <c r="L1731" s="216" t="s">
        <v>219</v>
      </c>
      <c r="M1731" s="178">
        <v>1</v>
      </c>
      <c r="N1731" s="235">
        <v>30</v>
      </c>
      <c r="O1731" s="234">
        <v>30</v>
      </c>
      <c r="P1731" s="234"/>
      <c r="Q1731" s="180" t="str">
        <f>IF(PEDIDOS[[#This Row],[Valor do item pago]]=PEDIDOS[[#This Row],[Total Item ]],"PAGO", "")</f>
        <v/>
      </c>
    </row>
    <row r="1732" spans="1:28" ht="39.950000000000003" customHeight="1" x14ac:dyDescent="0.25">
      <c r="A1732" s="100"/>
      <c r="B1732">
        <v>268</v>
      </c>
      <c r="C1732" s="104">
        <v>43258</v>
      </c>
      <c r="D1732" t="s">
        <v>823</v>
      </c>
      <c r="E1732" t="s">
        <v>819</v>
      </c>
      <c r="F1732" t="s">
        <v>820</v>
      </c>
      <c r="G1732" t="s">
        <v>821</v>
      </c>
      <c r="H1732" t="s">
        <v>822</v>
      </c>
      <c r="I1732" s="178" t="s">
        <v>824</v>
      </c>
      <c r="J1732" s="156"/>
      <c r="K1732" s="179"/>
      <c r="L1732" s="180" t="s">
        <v>219</v>
      </c>
      <c r="M1732" s="180">
        <v>1</v>
      </c>
      <c r="N1732" s="179">
        <v>30</v>
      </c>
      <c r="O1732" s="179">
        <v>30</v>
      </c>
      <c r="P1732" s="180"/>
      <c r="Q1732" s="180" t="str">
        <f>IF(PEDIDOS[[#This Row],[Valor do item pago]]=PEDIDOS[[#This Row],[Total Item ]],"PAGO", "")</f>
        <v/>
      </c>
      <c r="S1732"/>
      <c r="V1732"/>
      <c r="X1732"/>
      <c r="AB1732"/>
    </row>
    <row r="1733" spans="1:28" ht="39.950000000000003" customHeight="1" x14ac:dyDescent="0.25">
      <c r="A1733" s="100"/>
      <c r="B1733">
        <v>267</v>
      </c>
      <c r="C1733" s="104">
        <v>43258</v>
      </c>
      <c r="D1733" t="s">
        <v>823</v>
      </c>
      <c r="E1733" t="s">
        <v>576</v>
      </c>
      <c r="F1733" t="s">
        <v>571</v>
      </c>
      <c r="G1733" t="s">
        <v>567</v>
      </c>
      <c r="H1733" t="s">
        <v>569</v>
      </c>
      <c r="I1733" s="178" t="s">
        <v>672</v>
      </c>
      <c r="J1733" s="156"/>
      <c r="K1733" s="179" t="s">
        <v>823</v>
      </c>
      <c r="L1733" s="180" t="s">
        <v>219</v>
      </c>
      <c r="M1733" s="180">
        <v>2</v>
      </c>
      <c r="N1733" s="179">
        <v>30</v>
      </c>
      <c r="O1733" s="179">
        <v>60</v>
      </c>
      <c r="P1733" s="180"/>
      <c r="Q1733" s="180" t="str">
        <f>IF(PEDIDOS[[#This Row],[Valor do item pago]]=PEDIDOS[[#This Row],[Total Item ]],"PAGO", "")</f>
        <v/>
      </c>
      <c r="S1733"/>
      <c r="V1733"/>
      <c r="X1733"/>
      <c r="AB1733"/>
    </row>
    <row r="1734" spans="1:28" ht="39.950000000000003" customHeight="1" x14ac:dyDescent="0.25">
      <c r="A1734" s="100"/>
      <c r="B1734">
        <v>266</v>
      </c>
      <c r="C1734" s="104">
        <v>43258</v>
      </c>
      <c r="D1734" t="s">
        <v>823</v>
      </c>
      <c r="E1734" t="s">
        <v>35</v>
      </c>
      <c r="F1734">
        <v>0</v>
      </c>
      <c r="G1734" t="s">
        <v>818</v>
      </c>
      <c r="H1734">
        <v>0</v>
      </c>
      <c r="I1734" s="178"/>
      <c r="J1734" s="156"/>
      <c r="K1734" s="179" t="s">
        <v>823</v>
      </c>
      <c r="L1734" s="180" t="s">
        <v>219</v>
      </c>
      <c r="M1734" s="180">
        <v>1</v>
      </c>
      <c r="N1734" s="179">
        <v>30</v>
      </c>
      <c r="O1734" s="179">
        <v>30</v>
      </c>
      <c r="P1734" s="180"/>
      <c r="Q1734" s="181" t="str">
        <f>IF(PEDIDOS[[#This Row],[Valor do item pago]]=PEDIDOS[[#This Row],[Total Item ]],"PAGO", "")</f>
        <v/>
      </c>
      <c r="S1734"/>
      <c r="V1734"/>
      <c r="X1734"/>
      <c r="AB1734"/>
    </row>
    <row r="1735" spans="1:28" ht="39.950000000000003" customHeight="1" x14ac:dyDescent="0.25">
      <c r="A1735" s="100"/>
      <c r="B1735">
        <v>265</v>
      </c>
      <c r="C1735" s="104">
        <v>43258</v>
      </c>
      <c r="D1735" t="s">
        <v>823</v>
      </c>
      <c r="E1735" t="s">
        <v>368</v>
      </c>
      <c r="F1735" t="s">
        <v>574</v>
      </c>
      <c r="G1735" t="s">
        <v>817</v>
      </c>
      <c r="H1735" t="s">
        <v>532</v>
      </c>
      <c r="I1735" s="178" t="s">
        <v>675</v>
      </c>
      <c r="J1735" s="156"/>
      <c r="K1735" s="179" t="s">
        <v>823</v>
      </c>
      <c r="L1735" s="180" t="s">
        <v>219</v>
      </c>
      <c r="M1735" s="180">
        <v>1</v>
      </c>
      <c r="N1735" s="179">
        <v>30</v>
      </c>
      <c r="O1735" s="179">
        <v>30</v>
      </c>
      <c r="P1735" s="180"/>
      <c r="Q1735" s="180" t="str">
        <f>IF(PEDIDOS[[#This Row],[Valor do item pago]]=PEDIDOS[[#This Row],[Total Item ]],"PAGO", "")</f>
        <v/>
      </c>
      <c r="S1735"/>
      <c r="V1735"/>
      <c r="X1735"/>
      <c r="AB1735"/>
    </row>
    <row r="1736" spans="1:28" ht="39.950000000000003" customHeight="1" x14ac:dyDescent="0.25">
      <c r="A1736" s="100"/>
      <c r="B1736">
        <v>264</v>
      </c>
      <c r="C1736" s="104">
        <v>43258</v>
      </c>
      <c r="D1736" t="s">
        <v>823</v>
      </c>
      <c r="E1736" t="s">
        <v>578</v>
      </c>
      <c r="F1736" t="s">
        <v>573</v>
      </c>
      <c r="G1736" t="s">
        <v>621</v>
      </c>
      <c r="H1736" t="s">
        <v>582</v>
      </c>
      <c r="I1736" s="178" t="s">
        <v>674</v>
      </c>
      <c r="J1736" s="156"/>
      <c r="K1736" s="179" t="s">
        <v>823</v>
      </c>
      <c r="L1736" s="180" t="s">
        <v>219</v>
      </c>
      <c r="M1736" s="180">
        <v>1</v>
      </c>
      <c r="N1736" s="179">
        <v>30</v>
      </c>
      <c r="O1736" s="179">
        <v>30</v>
      </c>
      <c r="P1736" s="180"/>
      <c r="Q1736" s="180" t="str">
        <f>IF(PEDIDOS[[#This Row],[Valor do item pago]]=PEDIDOS[[#This Row],[Total Item ]],"PAGO", "")</f>
        <v/>
      </c>
      <c r="S1736"/>
      <c r="V1736"/>
      <c r="X1736"/>
      <c r="AB1736"/>
    </row>
    <row r="1737" spans="1:28" ht="39.950000000000003" customHeight="1" x14ac:dyDescent="0.25">
      <c r="A1737" s="100"/>
      <c r="B1737">
        <v>263</v>
      </c>
      <c r="C1737" s="104">
        <v>43258</v>
      </c>
      <c r="D1737" t="s">
        <v>823</v>
      </c>
      <c r="E1737" t="s">
        <v>825</v>
      </c>
      <c r="F1737" t="s">
        <v>623</v>
      </c>
      <c r="G1737" t="s">
        <v>815</v>
      </c>
      <c r="H1737" t="s">
        <v>52</v>
      </c>
      <c r="I1737" s="178" t="s">
        <v>816</v>
      </c>
      <c r="J1737" s="156"/>
      <c r="K1737" s="179" t="s">
        <v>823</v>
      </c>
      <c r="L1737" s="180" t="s">
        <v>219</v>
      </c>
      <c r="M1737" s="180">
        <v>1</v>
      </c>
      <c r="N1737" s="179">
        <v>30</v>
      </c>
      <c r="O1737" s="179">
        <v>30</v>
      </c>
      <c r="P1737" s="180"/>
      <c r="Q1737" s="180" t="str">
        <f>IF(PEDIDOS[[#This Row],[Valor do item pago]]=PEDIDOS[[#This Row],[Total Item ]],"PAGO", "")</f>
        <v/>
      </c>
      <c r="S1737"/>
      <c r="V1737"/>
      <c r="X1737"/>
      <c r="AB1737"/>
    </row>
    <row r="1738" spans="1:28" ht="39.950000000000003" customHeight="1" x14ac:dyDescent="0.25">
      <c r="A1738" s="100"/>
      <c r="B1738">
        <v>262</v>
      </c>
      <c r="C1738" s="104">
        <v>43258</v>
      </c>
      <c r="D1738" t="s">
        <v>804</v>
      </c>
      <c r="E1738" t="s">
        <v>804</v>
      </c>
      <c r="F1738" t="s">
        <v>803</v>
      </c>
      <c r="G1738">
        <v>0</v>
      </c>
      <c r="H1738">
        <v>0</v>
      </c>
      <c r="K1738" t="s">
        <v>804</v>
      </c>
      <c r="L1738" t="s">
        <v>3</v>
      </c>
      <c r="M1738" s="178">
        <v>2</v>
      </c>
      <c r="N1738" s="179">
        <v>30</v>
      </c>
      <c r="O1738" s="179">
        <v>60</v>
      </c>
      <c r="P1738" s="179"/>
      <c r="Q1738" s="181" t="str">
        <f>IF(PEDIDOS[[#This Row],[Valor do item pago]]=PEDIDOS[[#This Row],[Total Item ]],"PAGO", "")</f>
        <v/>
      </c>
      <c r="S1738"/>
      <c r="V1738"/>
      <c r="X1738"/>
      <c r="AB1738"/>
    </row>
    <row r="1739" spans="1:28" ht="39.950000000000003" customHeight="1" x14ac:dyDescent="0.25">
      <c r="A1739" s="100"/>
      <c r="B1739">
        <v>261</v>
      </c>
      <c r="C1739" s="104">
        <v>43258</v>
      </c>
      <c r="D1739" t="s">
        <v>584</v>
      </c>
      <c r="E1739" t="s">
        <v>584</v>
      </c>
      <c r="F1739" t="s">
        <v>585</v>
      </c>
      <c r="G1739">
        <v>0</v>
      </c>
      <c r="H1739">
        <v>0</v>
      </c>
      <c r="K1739" t="s">
        <v>584</v>
      </c>
      <c r="L1739" t="s">
        <v>219</v>
      </c>
      <c r="M1739" s="178">
        <v>6</v>
      </c>
      <c r="N1739" s="179">
        <v>30</v>
      </c>
      <c r="O1739" s="179">
        <v>180</v>
      </c>
      <c r="P1739" s="179"/>
      <c r="Q1739" s="181" t="str">
        <f>IF(PEDIDOS[[#This Row],[Valor do item pago]]=PEDIDOS[[#This Row],[Total Item ]],"PAGO", "")</f>
        <v/>
      </c>
      <c r="S1739"/>
      <c r="V1739"/>
      <c r="X1739"/>
      <c r="AB1739"/>
    </row>
    <row r="1740" spans="1:28" ht="39.950000000000003" customHeight="1" x14ac:dyDescent="0.25">
      <c r="A1740" s="100"/>
      <c r="B1740">
        <v>261</v>
      </c>
      <c r="C1740" s="104">
        <v>43258</v>
      </c>
      <c r="D1740" t="s">
        <v>584</v>
      </c>
      <c r="E1740" t="s">
        <v>584</v>
      </c>
      <c r="F1740" t="s">
        <v>585</v>
      </c>
      <c r="G1740">
        <v>0</v>
      </c>
      <c r="H1740">
        <v>0</v>
      </c>
      <c r="K1740" t="s">
        <v>584</v>
      </c>
      <c r="L1740" t="s">
        <v>1</v>
      </c>
      <c r="M1740" s="178">
        <v>2</v>
      </c>
      <c r="N1740" s="179">
        <v>30</v>
      </c>
      <c r="O1740" s="179">
        <v>60</v>
      </c>
      <c r="P1740" s="179"/>
      <c r="Q1740" s="181" t="str">
        <f>IF(PEDIDOS[[#This Row],[Valor do item pago]]=PEDIDOS[[#This Row],[Total Item ]],"PAGO", "")</f>
        <v/>
      </c>
      <c r="S1740"/>
      <c r="V1740"/>
      <c r="X1740"/>
      <c r="AB1740"/>
    </row>
    <row r="1741" spans="1:28" ht="39.950000000000003" customHeight="1" x14ac:dyDescent="0.25">
      <c r="A1741" s="100"/>
      <c r="B1741">
        <v>261</v>
      </c>
      <c r="C1741" s="104">
        <v>43258</v>
      </c>
      <c r="D1741" t="s">
        <v>584</v>
      </c>
      <c r="E1741" t="s">
        <v>584</v>
      </c>
      <c r="F1741" t="s">
        <v>585</v>
      </c>
      <c r="G1741">
        <v>0</v>
      </c>
      <c r="H1741">
        <v>0</v>
      </c>
      <c r="K1741" t="s">
        <v>584</v>
      </c>
      <c r="L1741" t="s">
        <v>0</v>
      </c>
      <c r="M1741" s="178">
        <v>1</v>
      </c>
      <c r="N1741" s="179">
        <v>30</v>
      </c>
      <c r="O1741" s="179">
        <v>30</v>
      </c>
      <c r="P1741" s="179"/>
      <c r="Q1741" s="181" t="str">
        <f>IF(PEDIDOS[[#This Row],[Valor do item pago]]=PEDIDOS[[#This Row],[Total Item ]],"PAGO", "")</f>
        <v/>
      </c>
      <c r="S1741"/>
      <c r="V1741"/>
      <c r="X1741"/>
      <c r="AB1741"/>
    </row>
    <row r="1742" spans="1:28" ht="39.950000000000003" customHeight="1" x14ac:dyDescent="0.25">
      <c r="A1742" s="100"/>
      <c r="B1742">
        <v>260</v>
      </c>
      <c r="C1742" s="104">
        <v>43258</v>
      </c>
      <c r="D1742" t="s">
        <v>229</v>
      </c>
      <c r="E1742" t="s">
        <v>50</v>
      </c>
      <c r="F1742">
        <v>0</v>
      </c>
      <c r="G1742">
        <v>0</v>
      </c>
      <c r="H1742">
        <v>0</v>
      </c>
      <c r="K1742" t="s">
        <v>229</v>
      </c>
      <c r="L1742" t="s">
        <v>3</v>
      </c>
      <c r="M1742" s="178">
        <v>3</v>
      </c>
      <c r="N1742" s="179">
        <v>30</v>
      </c>
      <c r="O1742" s="179">
        <v>90</v>
      </c>
      <c r="P1742" s="179"/>
      <c r="Q1742" s="181" t="str">
        <f>IF(PEDIDOS[[#This Row],[Valor do item pago]]=PEDIDOS[[#This Row],[Total Item ]],"PAGO", "")</f>
        <v/>
      </c>
      <c r="S1742"/>
      <c r="V1742"/>
      <c r="X1742"/>
      <c r="AB1742"/>
    </row>
    <row r="1743" spans="1:28" ht="39.950000000000003" customHeight="1" x14ac:dyDescent="0.25">
      <c r="A1743" s="100"/>
      <c r="B1743">
        <v>260</v>
      </c>
      <c r="C1743" s="104">
        <v>43258</v>
      </c>
      <c r="D1743" t="s">
        <v>229</v>
      </c>
      <c r="E1743" t="s">
        <v>50</v>
      </c>
      <c r="F1743">
        <v>0</v>
      </c>
      <c r="G1743">
        <v>0</v>
      </c>
      <c r="H1743">
        <v>0</v>
      </c>
      <c r="K1743" t="s">
        <v>229</v>
      </c>
      <c r="L1743" t="s">
        <v>219</v>
      </c>
      <c r="M1743" s="178">
        <v>3</v>
      </c>
      <c r="N1743" s="179">
        <v>30</v>
      </c>
      <c r="O1743" s="179">
        <v>90</v>
      </c>
      <c r="P1743" s="179"/>
      <c r="Q1743" s="181" t="str">
        <f>IF(PEDIDOS[[#This Row],[Valor do item pago]]=PEDIDOS[[#This Row],[Total Item ]],"PAGO", "")</f>
        <v/>
      </c>
      <c r="S1743"/>
      <c r="V1743"/>
      <c r="X1743"/>
      <c r="AB1743"/>
    </row>
    <row r="1744" spans="1:28" ht="39.950000000000003" customHeight="1" x14ac:dyDescent="0.25">
      <c r="A1744" s="100"/>
      <c r="B1744">
        <v>260</v>
      </c>
      <c r="C1744" s="104">
        <v>43258</v>
      </c>
      <c r="D1744" t="s">
        <v>229</v>
      </c>
      <c r="E1744" t="s">
        <v>50</v>
      </c>
      <c r="F1744">
        <v>0</v>
      </c>
      <c r="G1744">
        <v>0</v>
      </c>
      <c r="H1744">
        <v>0</v>
      </c>
      <c r="K1744" t="s">
        <v>229</v>
      </c>
      <c r="L1744" t="s">
        <v>1</v>
      </c>
      <c r="M1744" s="178">
        <v>4</v>
      </c>
      <c r="N1744" s="179">
        <v>30</v>
      </c>
      <c r="O1744" s="179">
        <v>120</v>
      </c>
      <c r="P1744" s="179"/>
      <c r="Q1744" s="181" t="str">
        <f>IF(PEDIDOS[[#This Row],[Valor do item pago]]=PEDIDOS[[#This Row],[Total Item ]],"PAGO", "")</f>
        <v/>
      </c>
      <c r="S1744"/>
      <c r="V1744"/>
      <c r="X1744"/>
      <c r="AB1744"/>
    </row>
    <row r="1745" spans="1:28" ht="39.950000000000003" customHeight="1" x14ac:dyDescent="0.25">
      <c r="A1745" s="100"/>
      <c r="B1745">
        <v>259</v>
      </c>
      <c r="C1745" s="104">
        <v>43258</v>
      </c>
      <c r="D1745" t="s">
        <v>24</v>
      </c>
      <c r="E1745" t="s">
        <v>25</v>
      </c>
      <c r="F1745" t="s">
        <v>291</v>
      </c>
      <c r="G1745" t="s">
        <v>330</v>
      </c>
      <c r="H1745" t="s">
        <v>406</v>
      </c>
      <c r="I1745" t="s">
        <v>329</v>
      </c>
      <c r="L1745" t="s">
        <v>219</v>
      </c>
      <c r="M1745" s="178">
        <v>1</v>
      </c>
      <c r="N1745" s="179">
        <v>30</v>
      </c>
      <c r="O1745" s="179">
        <v>30</v>
      </c>
      <c r="P1745" s="179"/>
      <c r="Q1745" s="180" t="str">
        <f>IF(PEDIDOS[[#This Row],[Valor do item pago]]=PEDIDOS[[#This Row],[Total Item ]],"PAGO", "")</f>
        <v/>
      </c>
      <c r="S1745"/>
      <c r="V1745"/>
      <c r="X1745"/>
      <c r="AB1745"/>
    </row>
    <row r="1746" spans="1:28" ht="39.950000000000003" customHeight="1" x14ac:dyDescent="0.25">
      <c r="A1746" s="100"/>
      <c r="B1746">
        <v>185</v>
      </c>
      <c r="C1746" s="104">
        <v>43196</v>
      </c>
      <c r="D1746" t="s">
        <v>40</v>
      </c>
      <c r="E1746" t="s">
        <v>649</v>
      </c>
      <c r="F1746" t="s">
        <v>310</v>
      </c>
      <c r="G1746" t="s">
        <v>650</v>
      </c>
      <c r="H1746" t="s">
        <v>651</v>
      </c>
      <c r="L1746" t="s">
        <v>219</v>
      </c>
      <c r="M1746" s="178">
        <v>1</v>
      </c>
      <c r="N1746" s="179">
        <v>30</v>
      </c>
      <c r="O1746" s="179">
        <v>30</v>
      </c>
      <c r="P1746" s="179"/>
      <c r="Q1746" s="181" t="str">
        <f>IF(PEDIDOS[[#This Row],[Valor do item pago]]=PEDIDOS[[#This Row],[Total Item ]],"PAGO", "")</f>
        <v/>
      </c>
      <c r="S1746"/>
      <c r="V1746"/>
      <c r="X1746"/>
      <c r="AB1746"/>
    </row>
    <row r="1747" spans="1:28" ht="39.950000000000003" customHeight="1" x14ac:dyDescent="0.25">
      <c r="A1747" s="100"/>
      <c r="B1747">
        <v>182</v>
      </c>
      <c r="C1747" s="104">
        <v>43196</v>
      </c>
      <c r="D1747" t="s">
        <v>40</v>
      </c>
      <c r="E1747" t="s">
        <v>13</v>
      </c>
      <c r="F1747">
        <v>0</v>
      </c>
      <c r="G1747">
        <v>0</v>
      </c>
      <c r="H1747">
        <v>0</v>
      </c>
      <c r="K1747" t="s">
        <v>40</v>
      </c>
      <c r="L1747" t="s">
        <v>219</v>
      </c>
      <c r="M1747" s="178">
        <v>2</v>
      </c>
      <c r="N1747" s="179">
        <v>30</v>
      </c>
      <c r="O1747" s="179">
        <v>60</v>
      </c>
      <c r="P1747" s="179"/>
      <c r="Q1747" s="181" t="str">
        <f>IF(PEDIDOS[[#This Row],[Valor do item pago]]=PEDIDOS[[#This Row],[Total Item ]],"PAGO", "")</f>
        <v/>
      </c>
      <c r="S1747"/>
      <c r="V1747"/>
      <c r="X1747"/>
      <c r="AB1747"/>
    </row>
    <row r="1748" spans="1:28" ht="39.950000000000003" customHeight="1" x14ac:dyDescent="0.25">
      <c r="A1748" s="100"/>
      <c r="B1748">
        <v>181</v>
      </c>
      <c r="C1748" s="104">
        <v>43196</v>
      </c>
      <c r="D1748" t="s">
        <v>40</v>
      </c>
      <c r="E1748" t="s">
        <v>204</v>
      </c>
      <c r="F1748" t="s">
        <v>279</v>
      </c>
      <c r="G1748">
        <v>0</v>
      </c>
      <c r="H1748">
        <v>0</v>
      </c>
      <c r="K1748" t="s">
        <v>40</v>
      </c>
      <c r="L1748" t="s">
        <v>3</v>
      </c>
      <c r="M1748" s="178">
        <v>2</v>
      </c>
      <c r="N1748" s="179">
        <v>30</v>
      </c>
      <c r="O1748" s="179">
        <v>60</v>
      </c>
      <c r="P1748" s="179"/>
      <c r="Q1748" s="181" t="str">
        <f>IF(PEDIDOS[[#This Row],[Valor do item pago]]=PEDIDOS[[#This Row],[Total Item ]],"PAGO", "")</f>
        <v/>
      </c>
      <c r="S1748"/>
      <c r="V1748"/>
      <c r="X1748"/>
      <c r="AB1748"/>
    </row>
    <row r="1749" spans="1:28" ht="39.950000000000003" customHeight="1" x14ac:dyDescent="0.25">
      <c r="A1749" s="100"/>
      <c r="B1749">
        <v>179</v>
      </c>
      <c r="C1749" s="104">
        <v>43196</v>
      </c>
      <c r="D1749" t="s">
        <v>40</v>
      </c>
      <c r="E1749" t="s">
        <v>635</v>
      </c>
      <c r="F1749" t="s">
        <v>636</v>
      </c>
      <c r="G1749" t="s">
        <v>637</v>
      </c>
      <c r="H1749" t="s">
        <v>639</v>
      </c>
      <c r="L1749" t="s">
        <v>219</v>
      </c>
      <c r="M1749" s="178">
        <v>1</v>
      </c>
      <c r="N1749" s="179">
        <v>30</v>
      </c>
      <c r="O1749" s="179">
        <v>30</v>
      </c>
      <c r="P1749" s="179"/>
      <c r="Q1749" s="181" t="str">
        <f>IF(PEDIDOS[[#This Row],[Valor do item pago]]=PEDIDOS[[#This Row],[Total Item ]],"PAGO", "")</f>
        <v/>
      </c>
      <c r="S1749"/>
      <c r="V1749"/>
      <c r="X1749"/>
      <c r="AB1749"/>
    </row>
    <row r="1750" spans="1:28" ht="39.950000000000003" customHeight="1" x14ac:dyDescent="0.25">
      <c r="A1750" s="100"/>
      <c r="B1750">
        <v>178</v>
      </c>
      <c r="C1750" s="104">
        <v>43196</v>
      </c>
      <c r="D1750" t="s">
        <v>40</v>
      </c>
      <c r="E1750" t="s">
        <v>640</v>
      </c>
      <c r="F1750">
        <v>0</v>
      </c>
      <c r="G1750" t="s">
        <v>633</v>
      </c>
      <c r="H1750" t="s">
        <v>461</v>
      </c>
      <c r="J1750" t="s">
        <v>646</v>
      </c>
      <c r="L1750" t="s">
        <v>219</v>
      </c>
      <c r="M1750" s="178">
        <v>1</v>
      </c>
      <c r="N1750" s="179">
        <v>30</v>
      </c>
      <c r="O1750" s="179">
        <v>30</v>
      </c>
      <c r="P1750" s="179"/>
      <c r="Q1750" s="181" t="str">
        <f>IF(PEDIDOS[[#This Row],[Valor do item pago]]=PEDIDOS[[#This Row],[Total Item ]],"PAGO", "")</f>
        <v/>
      </c>
      <c r="S1750"/>
      <c r="V1750"/>
      <c r="X1750"/>
      <c r="AB1750"/>
    </row>
    <row r="1751" spans="1:28" ht="39.950000000000003" customHeight="1" x14ac:dyDescent="0.25">
      <c r="A1751" s="100"/>
      <c r="B1751">
        <v>177</v>
      </c>
      <c r="C1751" s="104">
        <v>43196</v>
      </c>
      <c r="D1751" t="s">
        <v>40</v>
      </c>
      <c r="E1751" t="s">
        <v>632</v>
      </c>
      <c r="F1751" t="s">
        <v>641</v>
      </c>
      <c r="G1751" t="s">
        <v>633</v>
      </c>
      <c r="H1751" t="s">
        <v>461</v>
      </c>
      <c r="L1751" t="s">
        <v>3</v>
      </c>
      <c r="M1751" s="178">
        <v>1</v>
      </c>
      <c r="N1751" s="179">
        <v>30</v>
      </c>
      <c r="O1751" s="179">
        <v>30</v>
      </c>
      <c r="P1751" s="179"/>
      <c r="Q1751" s="181" t="str">
        <f>IF(PEDIDOS[[#This Row],[Valor do item pago]]=PEDIDOS[[#This Row],[Total Item ]],"PAGO", "")</f>
        <v/>
      </c>
      <c r="S1751"/>
      <c r="V1751"/>
      <c r="X1751"/>
      <c r="AB1751"/>
    </row>
    <row r="1752" spans="1:28" ht="39.950000000000003" customHeight="1" x14ac:dyDescent="0.25">
      <c r="A1752" s="100"/>
      <c r="B1752">
        <v>177</v>
      </c>
      <c r="C1752" s="104">
        <v>43196</v>
      </c>
      <c r="D1752" t="s">
        <v>40</v>
      </c>
      <c r="E1752" t="s">
        <v>632</v>
      </c>
      <c r="F1752" t="s">
        <v>641</v>
      </c>
      <c r="G1752" t="s">
        <v>633</v>
      </c>
      <c r="H1752" t="s">
        <v>461</v>
      </c>
      <c r="L1752" t="s">
        <v>0</v>
      </c>
      <c r="M1752" s="178">
        <v>1</v>
      </c>
      <c r="N1752" s="179">
        <v>30</v>
      </c>
      <c r="O1752" s="179">
        <v>30</v>
      </c>
      <c r="P1752" s="179"/>
      <c r="Q1752" s="181" t="str">
        <f>IF(PEDIDOS[[#This Row],[Valor do item pago]]=PEDIDOS[[#This Row],[Total Item ]],"PAGO", "")</f>
        <v/>
      </c>
      <c r="S1752"/>
      <c r="V1752"/>
      <c r="X1752"/>
      <c r="AB1752"/>
    </row>
    <row r="1753" spans="1:28" ht="39.950000000000003" customHeight="1" x14ac:dyDescent="0.25">
      <c r="A1753" s="100"/>
      <c r="B1753">
        <v>176</v>
      </c>
      <c r="C1753" s="104">
        <v>43196</v>
      </c>
      <c r="D1753" t="s">
        <v>40</v>
      </c>
      <c r="E1753" t="s">
        <v>630</v>
      </c>
      <c r="F1753" t="s">
        <v>312</v>
      </c>
      <c r="G1753">
        <v>0</v>
      </c>
      <c r="H1753">
        <v>0</v>
      </c>
      <c r="J1753" t="s">
        <v>631</v>
      </c>
      <c r="K1753" t="s">
        <v>49</v>
      </c>
      <c r="L1753" t="s">
        <v>1</v>
      </c>
      <c r="M1753" s="178">
        <v>4</v>
      </c>
      <c r="N1753" s="179">
        <v>30</v>
      </c>
      <c r="O1753" s="179">
        <v>120</v>
      </c>
      <c r="P1753" s="179">
        <v>120</v>
      </c>
      <c r="Q1753" s="181" t="str">
        <f>IF(PEDIDOS[[#This Row],[Valor do item pago]]=PEDIDOS[[#This Row],[Total Item ]],"PAGO", "")</f>
        <v>PAGO</v>
      </c>
      <c r="S1753"/>
      <c r="V1753"/>
      <c r="X1753"/>
      <c r="AB1753"/>
    </row>
    <row r="1754" spans="1:28" ht="39.950000000000003" customHeight="1" x14ac:dyDescent="0.25">
      <c r="A1754" s="100"/>
      <c r="B1754">
        <v>174</v>
      </c>
      <c r="C1754" s="104">
        <v>43196</v>
      </c>
      <c r="D1754" t="s">
        <v>36</v>
      </c>
      <c r="E1754" t="s">
        <v>622</v>
      </c>
      <c r="F1754" t="s">
        <v>623</v>
      </c>
      <c r="G1754" t="s">
        <v>625</v>
      </c>
      <c r="H1754" t="s">
        <v>520</v>
      </c>
      <c r="L1754" t="s">
        <v>219</v>
      </c>
      <c r="M1754" s="178">
        <v>1</v>
      </c>
      <c r="N1754" s="179">
        <v>30</v>
      </c>
      <c r="O1754" s="179">
        <v>30</v>
      </c>
      <c r="P1754" s="179"/>
      <c r="Q1754" s="181" t="str">
        <f>IF(PEDIDOS[[#This Row],[Valor do item pago]]=PEDIDOS[[#This Row],[Total Item ]],"PAGO", "")</f>
        <v/>
      </c>
      <c r="S1754"/>
      <c r="V1754"/>
      <c r="X1754"/>
      <c r="AB1754"/>
    </row>
    <row r="1755" spans="1:28" ht="39.950000000000003" customHeight="1" x14ac:dyDescent="0.25">
      <c r="A1755" s="100"/>
      <c r="B1755">
        <v>173</v>
      </c>
      <c r="C1755" s="104">
        <v>43196</v>
      </c>
      <c r="D1755" t="s">
        <v>36</v>
      </c>
      <c r="E1755" t="s">
        <v>626</v>
      </c>
      <c r="F1755" t="s">
        <v>627</v>
      </c>
      <c r="G1755" t="s">
        <v>628</v>
      </c>
      <c r="H1755" t="s">
        <v>629</v>
      </c>
      <c r="L1755" t="s">
        <v>3</v>
      </c>
      <c r="M1755" s="178">
        <v>1</v>
      </c>
      <c r="N1755" s="179">
        <v>30</v>
      </c>
      <c r="O1755" s="179">
        <v>30</v>
      </c>
      <c r="P1755" s="179"/>
      <c r="Q1755" s="181" t="str">
        <f>IF(PEDIDOS[[#This Row],[Valor do item pago]]=PEDIDOS[[#This Row],[Total Item ]],"PAGO", "")</f>
        <v/>
      </c>
      <c r="S1755"/>
      <c r="V1755"/>
      <c r="X1755"/>
      <c r="AB1755"/>
    </row>
    <row r="1756" spans="1:28" ht="39.950000000000003" customHeight="1" x14ac:dyDescent="0.25">
      <c r="A1756" s="100"/>
      <c r="B1756">
        <v>172</v>
      </c>
      <c r="C1756" s="104">
        <v>43196</v>
      </c>
      <c r="D1756" t="s">
        <v>36</v>
      </c>
      <c r="E1756" t="s">
        <v>578</v>
      </c>
      <c r="F1756" t="s">
        <v>573</v>
      </c>
      <c r="G1756" t="s">
        <v>621</v>
      </c>
      <c r="H1756" t="s">
        <v>582</v>
      </c>
      <c r="L1756" t="s">
        <v>219</v>
      </c>
      <c r="M1756" s="178">
        <v>1</v>
      </c>
      <c r="N1756" s="179">
        <v>30</v>
      </c>
      <c r="O1756" s="179">
        <v>30</v>
      </c>
      <c r="P1756" s="179"/>
      <c r="Q1756" s="181" t="str">
        <f>IF(PEDIDOS[[#This Row],[Valor do item pago]]=PEDIDOS[[#This Row],[Total Item ]],"PAGO", "")</f>
        <v/>
      </c>
      <c r="S1756"/>
      <c r="V1756"/>
      <c r="X1756"/>
      <c r="AB1756"/>
    </row>
    <row r="1757" spans="1:28" ht="39.950000000000003" customHeight="1" x14ac:dyDescent="0.25">
      <c r="A1757" s="100"/>
      <c r="B1757">
        <v>171</v>
      </c>
      <c r="C1757" s="104">
        <v>43196</v>
      </c>
      <c r="D1757" t="s">
        <v>36</v>
      </c>
      <c r="E1757" t="s">
        <v>35</v>
      </c>
      <c r="F1757">
        <v>0</v>
      </c>
      <c r="G1757">
        <v>0</v>
      </c>
      <c r="H1757">
        <v>0</v>
      </c>
      <c r="K1757" t="s">
        <v>36</v>
      </c>
      <c r="L1757" t="s">
        <v>219</v>
      </c>
      <c r="M1757" s="178">
        <v>1</v>
      </c>
      <c r="N1757" s="179">
        <v>30</v>
      </c>
      <c r="O1757" s="179">
        <v>30</v>
      </c>
      <c r="P1757" s="179"/>
      <c r="Q1757" s="181" t="str">
        <f>IF(PEDIDOS[[#This Row],[Valor do item pago]]=PEDIDOS[[#This Row],[Total Item ]],"PAGO", "")</f>
        <v/>
      </c>
      <c r="S1757"/>
      <c r="V1757"/>
      <c r="X1757"/>
      <c r="AB1757"/>
    </row>
    <row r="1758" spans="1:28" ht="39.950000000000003" customHeight="1" x14ac:dyDescent="0.25">
      <c r="A1758" s="100"/>
      <c r="B1758">
        <v>169</v>
      </c>
      <c r="C1758" s="104">
        <v>43196</v>
      </c>
      <c r="D1758" t="s">
        <v>36</v>
      </c>
      <c r="E1758" t="s">
        <v>618</v>
      </c>
      <c r="F1758" t="s">
        <v>619</v>
      </c>
      <c r="G1758" t="s">
        <v>620</v>
      </c>
      <c r="H1758" t="s">
        <v>84</v>
      </c>
      <c r="L1758" t="s">
        <v>1</v>
      </c>
      <c r="M1758" s="178">
        <v>1</v>
      </c>
      <c r="N1758" s="179">
        <v>30</v>
      </c>
      <c r="O1758" s="179">
        <v>30</v>
      </c>
      <c r="P1758" s="179"/>
      <c r="Q1758" s="181" t="str">
        <f>IF(PEDIDOS[[#This Row],[Valor do item pago]]=PEDIDOS[[#This Row],[Total Item ]],"PAGO", "")</f>
        <v/>
      </c>
      <c r="S1758"/>
      <c r="V1758"/>
      <c r="X1758"/>
      <c r="AB1758"/>
    </row>
    <row r="1759" spans="1:28" ht="39.950000000000003" customHeight="1" x14ac:dyDescent="0.25">
      <c r="A1759" s="100"/>
      <c r="B1759">
        <v>168</v>
      </c>
      <c r="C1759" s="104">
        <v>43196</v>
      </c>
      <c r="D1759" t="s">
        <v>36</v>
      </c>
      <c r="E1759" t="s">
        <v>577</v>
      </c>
      <c r="F1759" t="s">
        <v>572</v>
      </c>
      <c r="G1759" t="s">
        <v>580</v>
      </c>
      <c r="H1759" t="s">
        <v>581</v>
      </c>
      <c r="L1759" t="s">
        <v>219</v>
      </c>
      <c r="M1759" s="178">
        <v>1</v>
      </c>
      <c r="N1759" s="179">
        <v>30</v>
      </c>
      <c r="O1759" s="179">
        <v>30</v>
      </c>
      <c r="P1759" s="179"/>
      <c r="Q1759" s="181" t="str">
        <f>IF(PEDIDOS[[#This Row],[Valor do item pago]]=PEDIDOS[[#This Row],[Total Item ]],"PAGO", "")</f>
        <v/>
      </c>
      <c r="S1759"/>
      <c r="V1759"/>
      <c r="X1759"/>
      <c r="AB1759"/>
    </row>
    <row r="1760" spans="1:28" ht="39.950000000000003" customHeight="1" x14ac:dyDescent="0.25">
      <c r="A1760" s="100"/>
      <c r="B1760">
        <v>166</v>
      </c>
      <c r="C1760" s="104">
        <v>43196</v>
      </c>
      <c r="D1760" t="s">
        <v>49</v>
      </c>
      <c r="E1760" t="s">
        <v>615</v>
      </c>
      <c r="F1760" t="s">
        <v>324</v>
      </c>
      <c r="G1760" t="s">
        <v>616</v>
      </c>
      <c r="H1760" t="s">
        <v>523</v>
      </c>
      <c r="K1760" t="s">
        <v>49</v>
      </c>
      <c r="L1760" t="s">
        <v>3</v>
      </c>
      <c r="M1760" s="178">
        <v>1</v>
      </c>
      <c r="N1760" s="179">
        <v>30</v>
      </c>
      <c r="O1760" s="179">
        <v>30</v>
      </c>
      <c r="P1760" s="179">
        <v>30</v>
      </c>
      <c r="Q1760" s="181" t="str">
        <f>IF(PEDIDOS[[#This Row],[Valor do item pago]]=PEDIDOS[[#This Row],[Total Item ]],"PAGO", "")</f>
        <v>PAGO</v>
      </c>
      <c r="S1760"/>
      <c r="V1760"/>
      <c r="X1760"/>
      <c r="AB1760"/>
    </row>
    <row r="1761" spans="1:28" ht="39.950000000000003" customHeight="1" x14ac:dyDescent="0.25">
      <c r="A1761" s="100"/>
      <c r="B1761">
        <v>166</v>
      </c>
      <c r="C1761" s="104">
        <v>43196</v>
      </c>
      <c r="D1761" t="s">
        <v>49</v>
      </c>
      <c r="E1761" t="s">
        <v>615</v>
      </c>
      <c r="F1761" t="s">
        <v>324</v>
      </c>
      <c r="G1761" t="s">
        <v>616</v>
      </c>
      <c r="H1761" t="s">
        <v>523</v>
      </c>
      <c r="K1761" t="s">
        <v>49</v>
      </c>
      <c r="L1761" t="s">
        <v>219</v>
      </c>
      <c r="M1761" s="178">
        <v>1</v>
      </c>
      <c r="N1761" s="179">
        <v>30</v>
      </c>
      <c r="O1761" s="179">
        <v>30</v>
      </c>
      <c r="P1761" s="179">
        <v>30</v>
      </c>
      <c r="Q1761" s="181" t="str">
        <f>IF(PEDIDOS[[#This Row],[Valor do item pago]]=PEDIDOS[[#This Row],[Total Item ]],"PAGO", "")</f>
        <v>PAGO</v>
      </c>
      <c r="S1761"/>
      <c r="V1761"/>
      <c r="X1761"/>
      <c r="AB1761"/>
    </row>
    <row r="1762" spans="1:28" ht="39.950000000000003" customHeight="1" x14ac:dyDescent="0.25">
      <c r="A1762" s="100"/>
      <c r="B1762">
        <v>166</v>
      </c>
      <c r="C1762" s="104">
        <v>43196</v>
      </c>
      <c r="D1762" t="s">
        <v>49</v>
      </c>
      <c r="E1762" t="s">
        <v>615</v>
      </c>
      <c r="F1762" t="s">
        <v>324</v>
      </c>
      <c r="G1762" t="s">
        <v>616</v>
      </c>
      <c r="H1762" t="s">
        <v>523</v>
      </c>
      <c r="K1762" t="s">
        <v>49</v>
      </c>
      <c r="L1762" t="s">
        <v>1</v>
      </c>
      <c r="M1762" s="178">
        <v>1</v>
      </c>
      <c r="N1762" s="179">
        <v>30</v>
      </c>
      <c r="O1762" s="179">
        <v>30</v>
      </c>
      <c r="P1762" s="179">
        <v>30</v>
      </c>
      <c r="Q1762" s="181" t="str">
        <f>IF(PEDIDOS[[#This Row],[Valor do item pago]]=PEDIDOS[[#This Row],[Total Item ]],"PAGO", "")</f>
        <v>PAGO</v>
      </c>
      <c r="S1762"/>
      <c r="V1762"/>
      <c r="X1762"/>
      <c r="AB1762"/>
    </row>
    <row r="1763" spans="1:28" ht="39.950000000000003" customHeight="1" x14ac:dyDescent="0.25">
      <c r="A1763" s="100"/>
      <c r="B1763">
        <v>163</v>
      </c>
      <c r="C1763" s="104">
        <v>43196</v>
      </c>
      <c r="D1763" t="s">
        <v>48</v>
      </c>
      <c r="E1763" t="s">
        <v>607</v>
      </c>
      <c r="F1763" t="s">
        <v>606</v>
      </c>
      <c r="G1763" t="s">
        <v>608</v>
      </c>
      <c r="H1763" t="s">
        <v>609</v>
      </c>
      <c r="L1763" t="s">
        <v>3</v>
      </c>
      <c r="M1763" s="178">
        <v>1</v>
      </c>
      <c r="N1763" s="179">
        <v>30</v>
      </c>
      <c r="O1763" s="179">
        <v>30</v>
      </c>
      <c r="P1763" s="179"/>
      <c r="Q1763" s="181" t="str">
        <f>IF(PEDIDOS[[#This Row],[Valor do item pago]]=PEDIDOS[[#This Row],[Total Item ]],"PAGO", "")</f>
        <v/>
      </c>
      <c r="S1763"/>
      <c r="V1763"/>
      <c r="X1763"/>
      <c r="AB1763"/>
    </row>
    <row r="1764" spans="1:28" ht="39.950000000000003" customHeight="1" x14ac:dyDescent="0.25">
      <c r="A1764" s="100"/>
      <c r="B1764">
        <v>158</v>
      </c>
      <c r="C1764" s="104">
        <v>43196</v>
      </c>
      <c r="D1764" t="s">
        <v>600</v>
      </c>
      <c r="E1764" t="s">
        <v>600</v>
      </c>
      <c r="F1764" t="s">
        <v>603</v>
      </c>
      <c r="G1764" t="s">
        <v>601</v>
      </c>
      <c r="H1764" t="s">
        <v>602</v>
      </c>
      <c r="L1764" t="s">
        <v>3</v>
      </c>
      <c r="M1764" s="178">
        <v>1</v>
      </c>
      <c r="N1764" s="179">
        <v>30</v>
      </c>
      <c r="O1764" s="179">
        <v>30</v>
      </c>
      <c r="P1764" s="179"/>
      <c r="Q1764" s="181" t="str">
        <f>IF(PEDIDOS[[#This Row],[Valor do item pago]]=PEDIDOS[[#This Row],[Total Item ]],"PAGO", "")</f>
        <v/>
      </c>
      <c r="S1764"/>
      <c r="V1764"/>
      <c r="X1764"/>
      <c r="AB1764"/>
    </row>
    <row r="1765" spans="1:28" ht="39.950000000000003" customHeight="1" x14ac:dyDescent="0.25">
      <c r="A1765" s="100"/>
      <c r="B1765">
        <v>157</v>
      </c>
      <c r="C1765" s="104">
        <v>43196</v>
      </c>
      <c r="D1765" t="s">
        <v>44</v>
      </c>
      <c r="E1765" t="s">
        <v>374</v>
      </c>
      <c r="F1765" t="s">
        <v>313</v>
      </c>
      <c r="G1765" t="s">
        <v>107</v>
      </c>
      <c r="H1765" t="s">
        <v>402</v>
      </c>
      <c r="L1765" t="s">
        <v>1</v>
      </c>
      <c r="M1765" s="178">
        <v>1</v>
      </c>
      <c r="N1765" s="179">
        <v>30</v>
      </c>
      <c r="O1765" s="179">
        <v>30</v>
      </c>
      <c r="P1765" s="179"/>
      <c r="Q1765" s="181" t="str">
        <f>IF(PEDIDOS[[#This Row],[Valor do item pago]]=PEDIDOS[[#This Row],[Total Item ]],"PAGO", "")</f>
        <v/>
      </c>
      <c r="S1765"/>
      <c r="V1765"/>
      <c r="X1765"/>
      <c r="AB1765"/>
    </row>
    <row r="1766" spans="1:28" ht="39.950000000000003" customHeight="1" x14ac:dyDescent="0.25">
      <c r="A1766" s="100"/>
      <c r="B1766">
        <v>157</v>
      </c>
      <c r="C1766" s="104">
        <v>43196</v>
      </c>
      <c r="D1766" t="s">
        <v>44</v>
      </c>
      <c r="E1766" t="s">
        <v>374</v>
      </c>
      <c r="F1766" t="s">
        <v>313</v>
      </c>
      <c r="G1766" t="s">
        <v>107</v>
      </c>
      <c r="H1766" t="s">
        <v>402</v>
      </c>
      <c r="L1766" t="s">
        <v>0</v>
      </c>
      <c r="M1766" s="178">
        <v>1</v>
      </c>
      <c r="N1766" s="179">
        <v>30</v>
      </c>
      <c r="O1766" s="179">
        <v>30</v>
      </c>
      <c r="P1766" s="179"/>
      <c r="Q1766" s="181" t="str">
        <f>IF(PEDIDOS[[#This Row],[Valor do item pago]]=PEDIDOS[[#This Row],[Total Item ]],"PAGO", "")</f>
        <v/>
      </c>
      <c r="S1766"/>
      <c r="V1766"/>
      <c r="X1766"/>
      <c r="AB1766"/>
    </row>
    <row r="1767" spans="1:28" ht="39.950000000000003" customHeight="1" x14ac:dyDescent="0.25">
      <c r="A1767" s="100"/>
      <c r="B1767">
        <v>156</v>
      </c>
      <c r="C1767" s="104">
        <v>43196</v>
      </c>
      <c r="D1767" t="s">
        <v>44</v>
      </c>
      <c r="E1767" t="s">
        <v>380</v>
      </c>
      <c r="F1767">
        <v>0</v>
      </c>
      <c r="G1767">
        <v>0</v>
      </c>
      <c r="H1767">
        <v>0</v>
      </c>
      <c r="K1767" t="s">
        <v>44</v>
      </c>
      <c r="L1767" t="s">
        <v>1</v>
      </c>
      <c r="M1767" s="178">
        <v>1</v>
      </c>
      <c r="N1767" s="179">
        <v>30</v>
      </c>
      <c r="O1767" s="179">
        <v>30</v>
      </c>
      <c r="P1767" s="179"/>
      <c r="Q1767" s="181" t="str">
        <f>IF(PEDIDOS[[#This Row],[Valor do item pago]]=PEDIDOS[[#This Row],[Total Item ]],"PAGO", "")</f>
        <v/>
      </c>
      <c r="S1767"/>
      <c r="V1767"/>
      <c r="X1767"/>
      <c r="AB1767"/>
    </row>
    <row r="1768" spans="1:28" ht="39.950000000000003" customHeight="1" x14ac:dyDescent="0.25">
      <c r="A1768" s="100"/>
      <c r="B1768">
        <v>153</v>
      </c>
      <c r="C1768" s="104">
        <v>43196</v>
      </c>
      <c r="D1768" t="s">
        <v>24</v>
      </c>
      <c r="E1768" t="s">
        <v>23</v>
      </c>
      <c r="F1768">
        <v>0</v>
      </c>
      <c r="G1768">
        <v>0</v>
      </c>
      <c r="H1768">
        <v>0</v>
      </c>
      <c r="K1768" t="s">
        <v>40</v>
      </c>
      <c r="L1768" t="s">
        <v>1</v>
      </c>
      <c r="M1768" s="178">
        <v>1</v>
      </c>
      <c r="N1768" s="179">
        <v>30</v>
      </c>
      <c r="O1768" s="179">
        <v>30</v>
      </c>
      <c r="P1768" s="179"/>
      <c r="Q1768" s="181" t="str">
        <f>IF(PEDIDOS[[#This Row],[Valor do item pago]]=PEDIDOS[[#This Row],[Total Item ]],"PAGO", "")</f>
        <v/>
      </c>
      <c r="S1768"/>
      <c r="V1768"/>
      <c r="X1768"/>
      <c r="AB1768"/>
    </row>
    <row r="1769" spans="1:28" ht="39.950000000000003" customHeight="1" x14ac:dyDescent="0.25">
      <c r="A1769" s="100"/>
      <c r="B1769">
        <v>152</v>
      </c>
      <c r="C1769" s="104">
        <v>43196</v>
      </c>
      <c r="D1769" t="s">
        <v>24</v>
      </c>
      <c r="E1769" t="s">
        <v>23</v>
      </c>
      <c r="F1769">
        <v>0</v>
      </c>
      <c r="G1769">
        <v>0</v>
      </c>
      <c r="H1769">
        <v>0</v>
      </c>
      <c r="K1769" t="s">
        <v>40</v>
      </c>
      <c r="L1769" t="s">
        <v>219</v>
      </c>
      <c r="M1769" s="178">
        <v>2</v>
      </c>
      <c r="N1769" s="179">
        <v>30</v>
      </c>
      <c r="O1769" s="179">
        <v>60</v>
      </c>
      <c r="P1769" s="179"/>
      <c r="Q1769" s="181" t="str">
        <f>IF(PEDIDOS[[#This Row],[Valor do item pago]]=PEDIDOS[[#This Row],[Total Item ]],"PAGO", "")</f>
        <v/>
      </c>
      <c r="S1769"/>
      <c r="V1769"/>
      <c r="X1769"/>
      <c r="AB1769"/>
    </row>
    <row r="1770" spans="1:28" ht="39.950000000000003" customHeight="1" x14ac:dyDescent="0.25">
      <c r="A1770" s="100"/>
      <c r="B1770">
        <v>150</v>
      </c>
      <c r="C1770" s="104">
        <v>43196</v>
      </c>
      <c r="D1770" t="s">
        <v>24</v>
      </c>
      <c r="E1770" t="s">
        <v>598</v>
      </c>
      <c r="F1770">
        <v>0</v>
      </c>
      <c r="G1770">
        <v>0</v>
      </c>
      <c r="H1770">
        <v>0</v>
      </c>
      <c r="J1770" t="s">
        <v>599</v>
      </c>
      <c r="L1770" t="s">
        <v>219</v>
      </c>
      <c r="M1770" s="178">
        <v>1</v>
      </c>
      <c r="N1770" s="179">
        <v>30</v>
      </c>
      <c r="O1770" s="179">
        <v>30</v>
      </c>
      <c r="P1770" s="179"/>
      <c r="Q1770" s="181" t="str">
        <f>IF(PEDIDOS[[#This Row],[Valor do item pago]]=PEDIDOS[[#This Row],[Total Item ]],"PAGO", "")</f>
        <v/>
      </c>
      <c r="S1770"/>
      <c r="V1770"/>
      <c r="X1770"/>
      <c r="AB1770"/>
    </row>
    <row r="1771" spans="1:28" ht="39.950000000000003" customHeight="1" x14ac:dyDescent="0.25">
      <c r="A1771" s="100"/>
      <c r="B1771">
        <v>150</v>
      </c>
      <c r="C1771" s="104">
        <v>43196</v>
      </c>
      <c r="D1771" t="s">
        <v>24</v>
      </c>
      <c r="E1771" t="s">
        <v>598</v>
      </c>
      <c r="F1771">
        <v>0</v>
      </c>
      <c r="G1771">
        <v>0</v>
      </c>
      <c r="H1771">
        <v>0</v>
      </c>
      <c r="J1771" t="s">
        <v>599</v>
      </c>
      <c r="L1771" t="s">
        <v>1</v>
      </c>
      <c r="M1771" s="178">
        <v>1</v>
      </c>
      <c r="N1771" s="179">
        <v>30</v>
      </c>
      <c r="O1771" s="179">
        <v>30</v>
      </c>
      <c r="P1771" s="179"/>
      <c r="Q1771" s="181" t="str">
        <f>IF(PEDIDOS[[#This Row],[Valor do item pago]]=PEDIDOS[[#This Row],[Total Item ]],"PAGO", "")</f>
        <v/>
      </c>
      <c r="S1771"/>
      <c r="V1771"/>
      <c r="X1771"/>
      <c r="AB1771"/>
    </row>
    <row r="1772" spans="1:28" ht="39.950000000000003" customHeight="1" x14ac:dyDescent="0.25">
      <c r="A1772" s="100"/>
      <c r="B1772">
        <v>149</v>
      </c>
      <c r="C1772" s="104">
        <v>43196</v>
      </c>
      <c r="D1772" t="s">
        <v>231</v>
      </c>
      <c r="E1772" t="s">
        <v>356</v>
      </c>
      <c r="F1772">
        <v>0</v>
      </c>
      <c r="G1772">
        <v>0</v>
      </c>
      <c r="H1772" t="s">
        <v>40</v>
      </c>
      <c r="K1772" t="s">
        <v>40</v>
      </c>
      <c r="L1772" t="s">
        <v>219</v>
      </c>
      <c r="M1772" s="178">
        <v>1</v>
      </c>
      <c r="N1772" s="179">
        <v>30</v>
      </c>
      <c r="O1772" s="179">
        <v>30</v>
      </c>
      <c r="P1772" s="179"/>
      <c r="Q1772" s="181" t="str">
        <f>IF(PEDIDOS[[#This Row],[Valor do item pago]]=PEDIDOS[[#This Row],[Total Item ]],"PAGO", "")</f>
        <v/>
      </c>
      <c r="S1772"/>
      <c r="V1772"/>
      <c r="X1772"/>
      <c r="AB1772"/>
    </row>
    <row r="1773" spans="1:28" ht="39.950000000000003" customHeight="1" x14ac:dyDescent="0.25">
      <c r="A1773" s="100"/>
      <c r="B1773">
        <v>147</v>
      </c>
      <c r="C1773" s="104">
        <v>43196</v>
      </c>
      <c r="D1773" t="s">
        <v>231</v>
      </c>
      <c r="E1773" t="s">
        <v>370</v>
      </c>
      <c r="F1773">
        <v>0</v>
      </c>
      <c r="G1773">
        <v>0</v>
      </c>
      <c r="H1773" t="s">
        <v>40</v>
      </c>
      <c r="K1773" t="s">
        <v>40</v>
      </c>
      <c r="L1773" t="s">
        <v>219</v>
      </c>
      <c r="M1773" s="178">
        <v>1</v>
      </c>
      <c r="N1773" s="179">
        <v>30</v>
      </c>
      <c r="O1773" s="179">
        <v>30</v>
      </c>
      <c r="P1773" s="179"/>
      <c r="Q1773" s="181" t="str">
        <f>IF(PEDIDOS[[#This Row],[Valor do item pago]]=PEDIDOS[[#This Row],[Total Item ]],"PAGO", "")</f>
        <v/>
      </c>
      <c r="S1773"/>
      <c r="V1773"/>
      <c r="X1773"/>
      <c r="AB1773"/>
    </row>
    <row r="1774" spans="1:28" ht="39.950000000000003" customHeight="1" x14ac:dyDescent="0.25">
      <c r="A1774" s="100"/>
      <c r="B1774">
        <v>147</v>
      </c>
      <c r="C1774" s="104">
        <v>43196</v>
      </c>
      <c r="D1774" t="s">
        <v>231</v>
      </c>
      <c r="E1774" t="s">
        <v>370</v>
      </c>
      <c r="F1774">
        <v>0</v>
      </c>
      <c r="G1774">
        <v>0</v>
      </c>
      <c r="H1774" t="s">
        <v>40</v>
      </c>
      <c r="K1774" t="s">
        <v>40</v>
      </c>
      <c r="L1774" t="s">
        <v>0</v>
      </c>
      <c r="M1774" s="178">
        <v>1</v>
      </c>
      <c r="N1774" s="179">
        <v>30</v>
      </c>
      <c r="O1774" s="179">
        <v>30</v>
      </c>
      <c r="P1774" s="179"/>
      <c r="Q1774" s="181" t="str">
        <f>IF(PEDIDOS[[#This Row],[Valor do item pago]]=PEDIDOS[[#This Row],[Total Item ]],"PAGO", "")</f>
        <v/>
      </c>
      <c r="S1774"/>
      <c r="V1774"/>
      <c r="X1774"/>
      <c r="AB1774"/>
    </row>
    <row r="1775" spans="1:28" ht="39.950000000000003" customHeight="1" x14ac:dyDescent="0.25">
      <c r="A1775" s="100"/>
      <c r="B1775">
        <v>146</v>
      </c>
      <c r="C1775" s="104">
        <v>43196</v>
      </c>
      <c r="D1775" t="s">
        <v>231</v>
      </c>
      <c r="E1775" t="s">
        <v>375</v>
      </c>
      <c r="F1775">
        <v>0</v>
      </c>
      <c r="G1775">
        <v>0</v>
      </c>
      <c r="H1775" t="s">
        <v>40</v>
      </c>
      <c r="K1775" t="s">
        <v>40</v>
      </c>
      <c r="L1775" t="s">
        <v>3</v>
      </c>
      <c r="M1775" s="178">
        <v>2</v>
      </c>
      <c r="N1775" s="179">
        <v>30</v>
      </c>
      <c r="O1775" s="179">
        <v>60</v>
      </c>
      <c r="P1775" s="179"/>
      <c r="Q1775" s="181" t="str">
        <f>IF(PEDIDOS[[#This Row],[Valor do item pago]]=PEDIDOS[[#This Row],[Total Item ]],"PAGO", "")</f>
        <v/>
      </c>
      <c r="S1775"/>
      <c r="V1775"/>
      <c r="X1775"/>
      <c r="AB1775"/>
    </row>
    <row r="1776" spans="1:28" ht="39.950000000000003" customHeight="1" x14ac:dyDescent="0.25">
      <c r="A1776" s="100"/>
      <c r="B1776">
        <v>146</v>
      </c>
      <c r="C1776" s="104">
        <v>43196</v>
      </c>
      <c r="D1776" t="s">
        <v>231</v>
      </c>
      <c r="E1776" t="s">
        <v>375</v>
      </c>
      <c r="F1776">
        <v>0</v>
      </c>
      <c r="G1776">
        <v>0</v>
      </c>
      <c r="H1776" t="s">
        <v>40</v>
      </c>
      <c r="K1776" t="s">
        <v>40</v>
      </c>
      <c r="L1776" t="s">
        <v>1</v>
      </c>
      <c r="M1776" s="178">
        <v>2</v>
      </c>
      <c r="N1776" s="179">
        <v>30</v>
      </c>
      <c r="O1776" s="179">
        <v>60</v>
      </c>
      <c r="P1776" s="179"/>
      <c r="Q1776" s="181" t="str">
        <f>IF(PEDIDOS[[#This Row],[Valor do item pago]]=PEDIDOS[[#This Row],[Total Item ]],"PAGO", "")</f>
        <v/>
      </c>
      <c r="S1776"/>
      <c r="V1776"/>
      <c r="X1776"/>
      <c r="AB1776"/>
    </row>
    <row r="1777" spans="1:28" ht="39.950000000000003" customHeight="1" x14ac:dyDescent="0.25">
      <c r="A1777" s="100"/>
      <c r="B1777">
        <v>145</v>
      </c>
      <c r="C1777" s="104">
        <v>43196</v>
      </c>
      <c r="D1777" t="s">
        <v>231</v>
      </c>
      <c r="E1777" t="s">
        <v>597</v>
      </c>
      <c r="F1777">
        <v>0</v>
      </c>
      <c r="G1777" t="s">
        <v>596</v>
      </c>
      <c r="H1777" t="s">
        <v>84</v>
      </c>
      <c r="L1777" t="s">
        <v>219</v>
      </c>
      <c r="M1777" s="178">
        <v>1</v>
      </c>
      <c r="N1777" s="179">
        <v>30</v>
      </c>
      <c r="O1777" s="179">
        <v>30</v>
      </c>
      <c r="P1777" s="179"/>
      <c r="Q1777" s="181" t="str">
        <f>IF(PEDIDOS[[#This Row],[Valor do item pago]]=PEDIDOS[[#This Row],[Total Item ]],"PAGO", "")</f>
        <v/>
      </c>
      <c r="S1777"/>
      <c r="V1777"/>
      <c r="X1777"/>
      <c r="AB1777"/>
    </row>
    <row r="1778" spans="1:28" ht="39.950000000000003" customHeight="1" x14ac:dyDescent="0.25">
      <c r="A1778" s="100"/>
      <c r="B1778">
        <v>144</v>
      </c>
      <c r="C1778" s="104">
        <v>43196</v>
      </c>
      <c r="D1778" t="s">
        <v>231</v>
      </c>
      <c r="E1778" t="s">
        <v>90</v>
      </c>
      <c r="F1778">
        <v>0</v>
      </c>
      <c r="G1778">
        <v>0</v>
      </c>
      <c r="H1778" t="s">
        <v>40</v>
      </c>
      <c r="K1778" t="s">
        <v>90</v>
      </c>
      <c r="L1778" t="s">
        <v>219</v>
      </c>
      <c r="M1778" s="178">
        <v>2</v>
      </c>
      <c r="N1778" s="179">
        <v>30</v>
      </c>
      <c r="O1778" s="179">
        <v>60</v>
      </c>
      <c r="P1778" s="179"/>
      <c r="Q1778" s="181" t="str">
        <f>IF(PEDIDOS[[#This Row],[Valor do item pago]]=PEDIDOS[[#This Row],[Total Item ]],"PAGO", "")</f>
        <v/>
      </c>
      <c r="S1778"/>
      <c r="V1778"/>
      <c r="X1778"/>
      <c r="AB1778"/>
    </row>
    <row r="1779" spans="1:28" ht="39.950000000000003" customHeight="1" x14ac:dyDescent="0.25">
      <c r="A1779" s="100"/>
      <c r="B1779">
        <v>143</v>
      </c>
      <c r="C1779" s="104">
        <v>43196</v>
      </c>
      <c r="D1779" t="s">
        <v>231</v>
      </c>
      <c r="E1779" t="s">
        <v>346</v>
      </c>
      <c r="F1779" t="s">
        <v>286</v>
      </c>
      <c r="G1779" t="s">
        <v>595</v>
      </c>
      <c r="H1779" t="s">
        <v>512</v>
      </c>
      <c r="L1779" t="s">
        <v>219</v>
      </c>
      <c r="M1779" s="178">
        <v>1</v>
      </c>
      <c r="N1779" s="179">
        <v>30</v>
      </c>
      <c r="O1779" s="179">
        <v>30</v>
      </c>
      <c r="P1779" s="179"/>
      <c r="Q1779" s="181" t="str">
        <f>IF(PEDIDOS[[#This Row],[Valor do item pago]]=PEDIDOS[[#This Row],[Total Item ]],"PAGO", "")</f>
        <v/>
      </c>
      <c r="S1779"/>
      <c r="V1779"/>
      <c r="X1779"/>
      <c r="AB1779"/>
    </row>
    <row r="1780" spans="1:28" ht="39.950000000000003" customHeight="1" x14ac:dyDescent="0.25">
      <c r="A1780" s="100"/>
      <c r="B1780">
        <v>140</v>
      </c>
      <c r="C1780" s="104">
        <v>43196</v>
      </c>
      <c r="D1780" t="s">
        <v>473</v>
      </c>
      <c r="E1780" t="s">
        <v>473</v>
      </c>
      <c r="F1780" t="s">
        <v>315</v>
      </c>
      <c r="G1780">
        <v>0</v>
      </c>
      <c r="H1780">
        <v>0</v>
      </c>
      <c r="K1780" t="s">
        <v>473</v>
      </c>
      <c r="L1780" t="s">
        <v>3</v>
      </c>
      <c r="M1780" s="178">
        <v>1</v>
      </c>
      <c r="N1780" s="179">
        <v>30</v>
      </c>
      <c r="O1780" s="179">
        <v>30</v>
      </c>
      <c r="P1780" s="179"/>
      <c r="Q1780" s="181" t="str">
        <f>IF(PEDIDOS[[#This Row],[Valor do item pago]]=PEDIDOS[[#This Row],[Total Item ]],"PAGO", "")</f>
        <v/>
      </c>
      <c r="S1780"/>
      <c r="V1780"/>
      <c r="X1780"/>
      <c r="AB1780"/>
    </row>
    <row r="1781" spans="1:28" ht="39.950000000000003" customHeight="1" x14ac:dyDescent="0.25">
      <c r="A1781" s="100"/>
      <c r="B1781">
        <v>140</v>
      </c>
      <c r="C1781" s="104">
        <v>43196</v>
      </c>
      <c r="D1781" t="s">
        <v>473</v>
      </c>
      <c r="E1781" t="s">
        <v>473</v>
      </c>
      <c r="F1781" t="s">
        <v>315</v>
      </c>
      <c r="G1781">
        <v>0</v>
      </c>
      <c r="H1781">
        <v>0</v>
      </c>
      <c r="K1781" t="s">
        <v>473</v>
      </c>
      <c r="L1781" t="s">
        <v>219</v>
      </c>
      <c r="M1781" s="178">
        <v>2</v>
      </c>
      <c r="N1781" s="179">
        <v>30</v>
      </c>
      <c r="O1781" s="179">
        <v>60</v>
      </c>
      <c r="P1781" s="179"/>
      <c r="Q1781" s="181" t="str">
        <f>IF(PEDIDOS[[#This Row],[Valor do item pago]]=PEDIDOS[[#This Row],[Total Item ]],"PAGO", "")</f>
        <v/>
      </c>
      <c r="S1781"/>
      <c r="V1781"/>
      <c r="X1781"/>
      <c r="AB1781"/>
    </row>
    <row r="1782" spans="1:28" ht="39.950000000000003" customHeight="1" x14ac:dyDescent="0.25">
      <c r="A1782" s="100"/>
      <c r="B1782">
        <v>140</v>
      </c>
      <c r="C1782" s="104">
        <v>43196</v>
      </c>
      <c r="D1782" t="s">
        <v>473</v>
      </c>
      <c r="E1782" t="s">
        <v>473</v>
      </c>
      <c r="F1782" t="s">
        <v>315</v>
      </c>
      <c r="G1782">
        <v>0</v>
      </c>
      <c r="H1782">
        <v>0</v>
      </c>
      <c r="K1782" t="s">
        <v>473</v>
      </c>
      <c r="L1782" t="s">
        <v>1</v>
      </c>
      <c r="M1782" s="178">
        <v>2</v>
      </c>
      <c r="N1782" s="179">
        <v>30</v>
      </c>
      <c r="O1782" s="179">
        <v>60</v>
      </c>
      <c r="P1782" s="179"/>
      <c r="Q1782" s="181" t="str">
        <f>IF(PEDIDOS[[#This Row],[Valor do item pago]]=PEDIDOS[[#This Row],[Total Item ]],"PAGO", "")</f>
        <v/>
      </c>
      <c r="S1782"/>
      <c r="V1782"/>
      <c r="X1782"/>
      <c r="AB1782"/>
    </row>
    <row r="1783" spans="1:28" ht="39.950000000000003" customHeight="1" x14ac:dyDescent="0.25">
      <c r="A1783" s="100"/>
      <c r="B1783">
        <v>137</v>
      </c>
      <c r="C1783" s="104">
        <v>43196</v>
      </c>
      <c r="D1783" t="s">
        <v>234</v>
      </c>
      <c r="E1783" t="s">
        <v>591</v>
      </c>
      <c r="F1783" t="s">
        <v>590</v>
      </c>
      <c r="G1783" t="s">
        <v>592</v>
      </c>
      <c r="H1783" t="s">
        <v>593</v>
      </c>
      <c r="L1783" t="s">
        <v>3</v>
      </c>
      <c r="M1783" s="178">
        <v>1</v>
      </c>
      <c r="N1783" s="179">
        <v>30</v>
      </c>
      <c r="O1783" s="179">
        <v>30</v>
      </c>
      <c r="P1783" s="179">
        <v>30</v>
      </c>
      <c r="Q1783" s="181" t="str">
        <f>IF(PEDIDOS[[#This Row],[Valor do item pago]]=PEDIDOS[[#This Row],[Total Item ]],"PAGO", "")</f>
        <v>PAGO</v>
      </c>
      <c r="S1783"/>
      <c r="V1783"/>
      <c r="X1783"/>
      <c r="AB1783"/>
    </row>
    <row r="1784" spans="1:28" s="227" customFormat="1" ht="39.950000000000003" customHeight="1" x14ac:dyDescent="0.25">
      <c r="A1784" s="226"/>
      <c r="B1784">
        <v>136</v>
      </c>
      <c r="C1784" s="104">
        <v>43196</v>
      </c>
      <c r="D1784" t="s">
        <v>234</v>
      </c>
      <c r="E1784" t="s">
        <v>588</v>
      </c>
      <c r="F1784" t="s">
        <v>587</v>
      </c>
      <c r="G1784" t="s">
        <v>586</v>
      </c>
      <c r="H1784" t="s">
        <v>544</v>
      </c>
      <c r="I1784"/>
      <c r="J1784"/>
      <c r="K1784"/>
      <c r="L1784" t="s">
        <v>3</v>
      </c>
      <c r="M1784" s="178">
        <v>1</v>
      </c>
      <c r="N1784" s="179">
        <v>30</v>
      </c>
      <c r="O1784" s="179">
        <v>30</v>
      </c>
      <c r="P1784" s="179"/>
      <c r="Q1784" s="181" t="str">
        <f>IF(PEDIDOS[[#This Row],[Valor do item pago]]=PEDIDOS[[#This Row],[Total Item ]],"PAGO", "")</f>
        <v/>
      </c>
    </row>
    <row r="1785" spans="1:28" ht="39.950000000000003" customHeight="1" x14ac:dyDescent="0.25">
      <c r="A1785" s="100"/>
      <c r="B1785">
        <v>135</v>
      </c>
      <c r="C1785" s="104">
        <v>43196</v>
      </c>
      <c r="D1785" t="s">
        <v>229</v>
      </c>
      <c r="E1785" t="s">
        <v>50</v>
      </c>
      <c r="F1785">
        <v>0</v>
      </c>
      <c r="G1785">
        <v>0</v>
      </c>
      <c r="H1785">
        <v>0</v>
      </c>
      <c r="K1785" t="s">
        <v>229</v>
      </c>
      <c r="L1785" t="s">
        <v>3</v>
      </c>
      <c r="M1785" s="178">
        <v>3</v>
      </c>
      <c r="N1785" s="179">
        <v>30</v>
      </c>
      <c r="O1785" s="179">
        <v>90</v>
      </c>
      <c r="P1785" s="179"/>
      <c r="Q1785" s="181" t="str">
        <f>IF(PEDIDOS[[#This Row],[Valor do item pago]]=PEDIDOS[[#This Row],[Total Item ]],"PAGO", "")</f>
        <v/>
      </c>
      <c r="S1785"/>
      <c r="V1785"/>
      <c r="X1785"/>
      <c r="AB1785"/>
    </row>
    <row r="1786" spans="1:28" ht="39.950000000000003" customHeight="1" x14ac:dyDescent="0.25">
      <c r="A1786" s="100"/>
      <c r="B1786">
        <v>135</v>
      </c>
      <c r="C1786" s="104">
        <v>43196</v>
      </c>
      <c r="D1786" t="s">
        <v>229</v>
      </c>
      <c r="E1786" t="s">
        <v>50</v>
      </c>
      <c r="F1786">
        <v>0</v>
      </c>
      <c r="G1786">
        <v>0</v>
      </c>
      <c r="H1786">
        <v>0</v>
      </c>
      <c r="K1786" t="s">
        <v>229</v>
      </c>
      <c r="L1786" t="s">
        <v>219</v>
      </c>
      <c r="M1786" s="178">
        <v>3</v>
      </c>
      <c r="N1786" s="179">
        <v>30</v>
      </c>
      <c r="O1786" s="179">
        <v>90</v>
      </c>
      <c r="P1786" s="179"/>
      <c r="Q1786" s="181" t="str">
        <f>IF(PEDIDOS[[#This Row],[Valor do item pago]]=PEDIDOS[[#This Row],[Total Item ]],"PAGO", "")</f>
        <v/>
      </c>
      <c r="S1786"/>
      <c r="V1786"/>
      <c r="X1786"/>
      <c r="AB1786"/>
    </row>
    <row r="1787" spans="1:28" ht="39.950000000000003" customHeight="1" x14ac:dyDescent="0.25">
      <c r="A1787" s="100"/>
      <c r="B1787">
        <v>135</v>
      </c>
      <c r="C1787" s="104">
        <v>43196</v>
      </c>
      <c r="D1787" t="s">
        <v>229</v>
      </c>
      <c r="E1787" t="s">
        <v>50</v>
      </c>
      <c r="F1787">
        <v>0</v>
      </c>
      <c r="G1787">
        <v>0</v>
      </c>
      <c r="H1787">
        <v>0</v>
      </c>
      <c r="K1787" t="s">
        <v>229</v>
      </c>
      <c r="L1787" t="s">
        <v>1</v>
      </c>
      <c r="M1787" s="178">
        <v>6</v>
      </c>
      <c r="N1787" s="179">
        <v>30</v>
      </c>
      <c r="O1787" s="179">
        <v>180</v>
      </c>
      <c r="P1787" s="179"/>
      <c r="Q1787" s="181" t="str">
        <f>IF(PEDIDOS[[#This Row],[Valor do item pago]]=PEDIDOS[[#This Row],[Total Item ]],"PAGO", "")</f>
        <v/>
      </c>
      <c r="S1787"/>
      <c r="V1787"/>
      <c r="X1787"/>
      <c r="AB1787"/>
    </row>
    <row r="1788" spans="1:28" ht="39.950000000000003" customHeight="1" x14ac:dyDescent="0.25">
      <c r="A1788" s="100"/>
      <c r="B1788">
        <v>134</v>
      </c>
      <c r="C1788" s="104">
        <v>43196</v>
      </c>
      <c r="D1788" t="s">
        <v>60</v>
      </c>
      <c r="E1788" t="s">
        <v>60</v>
      </c>
      <c r="F1788">
        <v>0</v>
      </c>
      <c r="G1788">
        <v>0</v>
      </c>
      <c r="H1788">
        <v>0</v>
      </c>
      <c r="K1788" t="s">
        <v>60</v>
      </c>
      <c r="L1788" t="s">
        <v>3</v>
      </c>
      <c r="M1788" s="178">
        <v>1</v>
      </c>
      <c r="N1788" s="179">
        <v>30</v>
      </c>
      <c r="O1788" s="179">
        <v>30</v>
      </c>
      <c r="P1788" s="179"/>
      <c r="Q1788" s="181" t="str">
        <f>IF(PEDIDOS[[#This Row],[Valor do item pago]]=PEDIDOS[[#This Row],[Total Item ]],"PAGO", "")</f>
        <v/>
      </c>
      <c r="S1788"/>
      <c r="V1788"/>
      <c r="X1788"/>
      <c r="AB1788"/>
    </row>
    <row r="1789" spans="1:28" ht="39.950000000000003" customHeight="1" x14ac:dyDescent="0.25">
      <c r="A1789" s="100"/>
      <c r="B1789">
        <v>134</v>
      </c>
      <c r="C1789" s="104">
        <v>43196</v>
      </c>
      <c r="D1789" t="s">
        <v>60</v>
      </c>
      <c r="E1789" t="s">
        <v>60</v>
      </c>
      <c r="F1789">
        <v>0</v>
      </c>
      <c r="G1789">
        <v>0</v>
      </c>
      <c r="H1789">
        <v>0</v>
      </c>
      <c r="K1789" t="s">
        <v>60</v>
      </c>
      <c r="L1789" t="s">
        <v>1</v>
      </c>
      <c r="M1789" s="178">
        <v>1</v>
      </c>
      <c r="N1789" s="179">
        <v>30</v>
      </c>
      <c r="O1789" s="179">
        <v>30</v>
      </c>
      <c r="P1789" s="179"/>
      <c r="Q1789" s="181" t="str">
        <f>IF(PEDIDOS[[#This Row],[Valor do item pago]]=PEDIDOS[[#This Row],[Total Item ]],"PAGO", "")</f>
        <v/>
      </c>
      <c r="S1789"/>
      <c r="V1789"/>
      <c r="X1789"/>
      <c r="AB1789"/>
    </row>
    <row r="1790" spans="1:28" ht="39.950000000000003" customHeight="1" x14ac:dyDescent="0.25">
      <c r="A1790" s="100"/>
      <c r="B1790">
        <v>133</v>
      </c>
      <c r="C1790" s="104">
        <v>43196</v>
      </c>
      <c r="D1790" t="s">
        <v>584</v>
      </c>
      <c r="E1790" t="s">
        <v>584</v>
      </c>
      <c r="F1790" t="s">
        <v>585</v>
      </c>
      <c r="G1790">
        <v>0</v>
      </c>
      <c r="H1790">
        <v>0</v>
      </c>
      <c r="K1790" t="s">
        <v>584</v>
      </c>
      <c r="L1790" t="s">
        <v>219</v>
      </c>
      <c r="M1790" s="178">
        <v>1</v>
      </c>
      <c r="N1790" s="179">
        <v>30</v>
      </c>
      <c r="O1790" s="179">
        <v>30</v>
      </c>
      <c r="P1790" s="179"/>
      <c r="Q1790" s="181" t="str">
        <f>IF(PEDIDOS[[#This Row],[Valor do item pago]]=PEDIDOS[[#This Row],[Total Item ]],"PAGO", "")</f>
        <v/>
      </c>
      <c r="S1790"/>
      <c r="V1790"/>
      <c r="X1790"/>
      <c r="AB1790"/>
    </row>
    <row r="1791" spans="1:28" ht="39.950000000000003" customHeight="1" x14ac:dyDescent="0.25">
      <c r="A1791" s="100"/>
      <c r="B1791">
        <v>133</v>
      </c>
      <c r="C1791" s="104">
        <v>43196</v>
      </c>
      <c r="D1791" t="s">
        <v>584</v>
      </c>
      <c r="E1791" t="s">
        <v>584</v>
      </c>
      <c r="F1791" t="s">
        <v>585</v>
      </c>
      <c r="G1791">
        <v>0</v>
      </c>
      <c r="H1791">
        <v>0</v>
      </c>
      <c r="K1791" t="s">
        <v>584</v>
      </c>
      <c r="L1791" t="s">
        <v>1</v>
      </c>
      <c r="M1791" s="178">
        <v>2</v>
      </c>
      <c r="N1791" s="179">
        <v>30</v>
      </c>
      <c r="O1791" s="179">
        <v>60</v>
      </c>
      <c r="P1791" s="179"/>
      <c r="Q1791" s="181" t="str">
        <f>IF(PEDIDOS[[#This Row],[Valor do item pago]]=PEDIDOS[[#This Row],[Total Item ]],"PAGO", "")</f>
        <v/>
      </c>
      <c r="S1791"/>
      <c r="V1791"/>
      <c r="X1791"/>
      <c r="AB1791"/>
    </row>
    <row r="1792" spans="1:28" ht="39.950000000000003" customHeight="1" x14ac:dyDescent="0.25">
      <c r="A1792" s="100"/>
      <c r="B1792">
        <v>132</v>
      </c>
      <c r="C1792" s="104">
        <v>43196</v>
      </c>
      <c r="D1792" t="s">
        <v>463</v>
      </c>
      <c r="E1792" t="s">
        <v>202</v>
      </c>
      <c r="F1792" t="s">
        <v>281</v>
      </c>
      <c r="G1792">
        <v>0</v>
      </c>
      <c r="H1792">
        <v>0</v>
      </c>
      <c r="L1792" t="s">
        <v>1</v>
      </c>
      <c r="M1792" s="178">
        <v>1</v>
      </c>
      <c r="N1792" s="179">
        <v>30</v>
      </c>
      <c r="O1792" s="179">
        <v>30</v>
      </c>
      <c r="P1792" s="179"/>
      <c r="Q1792" s="181" t="str">
        <f>IF(PEDIDOS[[#This Row],[Valor do item pago]]=PEDIDOS[[#This Row],[Total Item ]],"PAGO", "")</f>
        <v/>
      </c>
      <c r="S1792"/>
      <c r="V1792"/>
      <c r="X1792"/>
      <c r="AB1792"/>
    </row>
    <row r="1793" spans="1:28" ht="39.950000000000003" customHeight="1" x14ac:dyDescent="0.25">
      <c r="A1793" s="100"/>
      <c r="B1793">
        <v>131</v>
      </c>
      <c r="C1793" s="104">
        <v>43196</v>
      </c>
      <c r="D1793" t="s">
        <v>40</v>
      </c>
      <c r="E1793" t="s">
        <v>562</v>
      </c>
      <c r="F1793" t="s">
        <v>563</v>
      </c>
      <c r="G1793" t="s">
        <v>565</v>
      </c>
      <c r="H1793" t="s">
        <v>566</v>
      </c>
      <c r="L1793" t="s">
        <v>1</v>
      </c>
      <c r="M1793" s="178">
        <v>1</v>
      </c>
      <c r="N1793" s="179">
        <v>30</v>
      </c>
      <c r="O1793" s="179">
        <v>30</v>
      </c>
      <c r="P1793" s="179"/>
      <c r="Q1793" s="181" t="str">
        <f>IF(PEDIDOS[[#This Row],[Valor do item pago]]=PEDIDOS[[#This Row],[Total Item ]],"PAGO", "")</f>
        <v/>
      </c>
      <c r="S1793"/>
      <c r="V1793"/>
      <c r="X1793"/>
      <c r="AB1793"/>
    </row>
    <row r="1794" spans="1:28" ht="39.950000000000003" customHeight="1" x14ac:dyDescent="0.25">
      <c r="A1794" s="100"/>
      <c r="B1794">
        <v>130</v>
      </c>
      <c r="C1794" s="104">
        <v>43196</v>
      </c>
      <c r="D1794" t="s">
        <v>185</v>
      </c>
      <c r="E1794" t="s">
        <v>559</v>
      </c>
      <c r="F1794" t="s">
        <v>560</v>
      </c>
      <c r="G1794" t="s">
        <v>561</v>
      </c>
      <c r="H1794" t="s">
        <v>536</v>
      </c>
      <c r="L1794" t="s">
        <v>219</v>
      </c>
      <c r="M1794" s="178">
        <v>1</v>
      </c>
      <c r="N1794" s="179">
        <v>30</v>
      </c>
      <c r="O1794" s="179">
        <v>30</v>
      </c>
      <c r="P1794" s="179"/>
      <c r="Q1794" s="181" t="str">
        <f>IF(PEDIDOS[[#This Row],[Valor do item pago]]=PEDIDOS[[#This Row],[Total Item ]],"PAGO", "")</f>
        <v/>
      </c>
      <c r="S1794"/>
      <c r="V1794"/>
      <c r="X1794"/>
      <c r="AB1794"/>
    </row>
    <row r="1795" spans="1:28" ht="39.950000000000003" customHeight="1" x14ac:dyDescent="0.25">
      <c r="A1795" s="100"/>
      <c r="B1795">
        <v>129</v>
      </c>
      <c r="C1795" s="104">
        <v>43196</v>
      </c>
      <c r="D1795" t="s">
        <v>185</v>
      </c>
      <c r="E1795" t="s">
        <v>556</v>
      </c>
      <c r="F1795" t="s">
        <v>557</v>
      </c>
      <c r="G1795" t="s">
        <v>558</v>
      </c>
      <c r="H1795" t="s">
        <v>544</v>
      </c>
      <c r="L1795" t="s">
        <v>3</v>
      </c>
      <c r="M1795" s="178">
        <v>1</v>
      </c>
      <c r="N1795" s="179">
        <v>30</v>
      </c>
      <c r="O1795" s="179">
        <v>30</v>
      </c>
      <c r="P1795" s="179"/>
      <c r="Q1795" s="181" t="str">
        <f>IF(PEDIDOS[[#This Row],[Valor do item pago]]=PEDIDOS[[#This Row],[Total Item ]],"PAGO", "")</f>
        <v/>
      </c>
      <c r="S1795"/>
      <c r="V1795"/>
      <c r="X1795"/>
      <c r="AB1795"/>
    </row>
    <row r="1796" spans="1:28" ht="39.950000000000003" customHeight="1" x14ac:dyDescent="0.25">
      <c r="A1796" s="100"/>
      <c r="B1796">
        <v>128</v>
      </c>
      <c r="C1796" s="104">
        <v>43196</v>
      </c>
      <c r="D1796" t="s">
        <v>185</v>
      </c>
      <c r="E1796" t="s">
        <v>553</v>
      </c>
      <c r="F1796" t="s">
        <v>554</v>
      </c>
      <c r="G1796" t="s">
        <v>555</v>
      </c>
      <c r="H1796" t="s">
        <v>523</v>
      </c>
      <c r="L1796" t="s">
        <v>3</v>
      </c>
      <c r="M1796" s="178">
        <v>1</v>
      </c>
      <c r="N1796" s="179">
        <v>30</v>
      </c>
      <c r="O1796" s="179">
        <v>30</v>
      </c>
      <c r="P1796" s="179"/>
      <c r="Q1796" s="181" t="str">
        <f>IF(PEDIDOS[[#This Row],[Valor do item pago]]=PEDIDOS[[#This Row],[Total Item ]],"PAGO", "")</f>
        <v/>
      </c>
      <c r="S1796"/>
      <c r="V1796"/>
      <c r="X1796"/>
      <c r="AB1796"/>
    </row>
    <row r="1797" spans="1:28" ht="39.950000000000003" customHeight="1" x14ac:dyDescent="0.25">
      <c r="A1797" s="100"/>
      <c r="B1797">
        <v>128</v>
      </c>
      <c r="C1797" s="104">
        <v>43196</v>
      </c>
      <c r="D1797" t="s">
        <v>185</v>
      </c>
      <c r="E1797" t="s">
        <v>553</v>
      </c>
      <c r="F1797" t="s">
        <v>554</v>
      </c>
      <c r="G1797" t="s">
        <v>555</v>
      </c>
      <c r="H1797" t="s">
        <v>523</v>
      </c>
      <c r="L1797" t="s">
        <v>1</v>
      </c>
      <c r="M1797" s="178">
        <v>1</v>
      </c>
      <c r="N1797" s="179">
        <v>30</v>
      </c>
      <c r="O1797" s="179">
        <v>30</v>
      </c>
      <c r="P1797" s="179"/>
      <c r="Q1797" s="181" t="str">
        <f>IF(PEDIDOS[[#This Row],[Valor do item pago]]=PEDIDOS[[#This Row],[Total Item ]],"PAGO", "")</f>
        <v/>
      </c>
      <c r="S1797"/>
      <c r="V1797"/>
      <c r="X1797"/>
      <c r="AB1797"/>
    </row>
    <row r="1798" spans="1:28" ht="39.950000000000003" customHeight="1" x14ac:dyDescent="0.25">
      <c r="A1798" s="100"/>
      <c r="B1798">
        <v>127</v>
      </c>
      <c r="C1798" s="104">
        <v>43196</v>
      </c>
      <c r="D1798" t="s">
        <v>185</v>
      </c>
      <c r="E1798" t="s">
        <v>552</v>
      </c>
      <c r="F1798">
        <v>0</v>
      </c>
      <c r="G1798" t="s">
        <v>550</v>
      </c>
      <c r="H1798" t="s">
        <v>544</v>
      </c>
      <c r="L1798" t="s">
        <v>1</v>
      </c>
      <c r="M1798" s="178">
        <v>1</v>
      </c>
      <c r="N1798" s="179">
        <v>30</v>
      </c>
      <c r="O1798" s="179">
        <v>30</v>
      </c>
      <c r="P1798" s="179"/>
      <c r="Q1798" s="181" t="str">
        <f>IF(PEDIDOS[[#This Row],[Valor do item pago]]=PEDIDOS[[#This Row],[Total Item ]],"PAGO", "")</f>
        <v/>
      </c>
      <c r="S1798"/>
      <c r="V1798"/>
      <c r="X1798"/>
      <c r="AB1798"/>
    </row>
    <row r="1799" spans="1:28" ht="39.950000000000003" customHeight="1" x14ac:dyDescent="0.25">
      <c r="A1799" s="100"/>
      <c r="B1799">
        <v>126</v>
      </c>
      <c r="C1799" s="104">
        <v>43196</v>
      </c>
      <c r="D1799" t="s">
        <v>185</v>
      </c>
      <c r="E1799" t="s">
        <v>546</v>
      </c>
      <c r="F1799" t="s">
        <v>545</v>
      </c>
      <c r="G1799" t="s">
        <v>548</v>
      </c>
      <c r="H1799" t="s">
        <v>549</v>
      </c>
      <c r="L1799" t="s">
        <v>3</v>
      </c>
      <c r="M1799" s="178">
        <v>1</v>
      </c>
      <c r="N1799" s="179">
        <v>30</v>
      </c>
      <c r="O1799" s="179">
        <v>30</v>
      </c>
      <c r="P1799" s="179"/>
      <c r="Q1799" s="181" t="str">
        <f>IF(PEDIDOS[[#This Row],[Valor do item pago]]=PEDIDOS[[#This Row],[Total Item ]],"PAGO", "")</f>
        <v/>
      </c>
      <c r="S1799"/>
      <c r="V1799"/>
      <c r="X1799"/>
      <c r="AB1799"/>
    </row>
    <row r="1800" spans="1:28" ht="39.950000000000003" customHeight="1" x14ac:dyDescent="0.25">
      <c r="A1800" s="100"/>
      <c r="B1800">
        <v>125</v>
      </c>
      <c r="C1800" s="104">
        <v>43195</v>
      </c>
      <c r="D1800" t="s">
        <v>477</v>
      </c>
      <c r="E1800" t="s">
        <v>540</v>
      </c>
      <c r="F1800" t="s">
        <v>539</v>
      </c>
      <c r="G1800" t="s">
        <v>543</v>
      </c>
      <c r="H1800" t="s">
        <v>544</v>
      </c>
      <c r="L1800" t="s">
        <v>219</v>
      </c>
      <c r="M1800" s="178">
        <v>1</v>
      </c>
      <c r="N1800" s="179">
        <v>30</v>
      </c>
      <c r="O1800" s="179">
        <v>30</v>
      </c>
      <c r="P1800" s="179">
        <v>30</v>
      </c>
      <c r="Q1800" s="181" t="str">
        <f>IF(PEDIDOS[[#This Row],[Valor do item pago]]=PEDIDOS[[#This Row],[Total Item ]],"PAGO", "")</f>
        <v>PAGO</v>
      </c>
      <c r="S1800"/>
      <c r="V1800"/>
      <c r="X1800"/>
      <c r="AB1800"/>
    </row>
    <row r="1801" spans="1:28" ht="39.950000000000003" customHeight="1" x14ac:dyDescent="0.25">
      <c r="A1801" s="100"/>
      <c r="B1801">
        <v>124</v>
      </c>
      <c r="C1801" s="104">
        <v>43195</v>
      </c>
      <c r="D1801" t="s">
        <v>477</v>
      </c>
      <c r="E1801" t="s">
        <v>538</v>
      </c>
      <c r="F1801" t="s">
        <v>537</v>
      </c>
      <c r="G1801" t="s">
        <v>541</v>
      </c>
      <c r="H1801" t="s">
        <v>542</v>
      </c>
      <c r="L1801" t="s">
        <v>219</v>
      </c>
      <c r="M1801" s="178">
        <v>1</v>
      </c>
      <c r="N1801" s="179">
        <v>30</v>
      </c>
      <c r="O1801" s="179">
        <v>30</v>
      </c>
      <c r="P1801" s="179">
        <v>30</v>
      </c>
      <c r="Q1801" s="181" t="str">
        <f>IF(PEDIDOS[[#This Row],[Valor do item pago]]=PEDIDOS[[#This Row],[Total Item ]],"PAGO", "")</f>
        <v>PAGO</v>
      </c>
      <c r="S1801"/>
      <c r="V1801"/>
      <c r="X1801"/>
      <c r="AB1801"/>
    </row>
    <row r="1802" spans="1:28" ht="39.950000000000003" customHeight="1" x14ac:dyDescent="0.25">
      <c r="A1802" s="100"/>
      <c r="B1802">
        <v>123</v>
      </c>
      <c r="C1802" s="104">
        <v>43195</v>
      </c>
      <c r="D1802" t="s">
        <v>477</v>
      </c>
      <c r="E1802" t="s">
        <v>357</v>
      </c>
      <c r="F1802" t="s">
        <v>295</v>
      </c>
      <c r="G1802" t="s">
        <v>535</v>
      </c>
      <c r="H1802" t="s">
        <v>536</v>
      </c>
      <c r="L1802" t="s">
        <v>219</v>
      </c>
      <c r="M1802" s="178">
        <v>1</v>
      </c>
      <c r="N1802" s="179">
        <v>30</v>
      </c>
      <c r="O1802" s="179">
        <v>30</v>
      </c>
      <c r="P1802" s="179"/>
      <c r="Q1802" s="181" t="str">
        <f>IF(PEDIDOS[[#This Row],[Valor do item pago]]=PEDIDOS[[#This Row],[Total Item ]],"PAGO", "")</f>
        <v/>
      </c>
      <c r="S1802"/>
      <c r="V1802"/>
      <c r="X1802"/>
      <c r="AB1802"/>
    </row>
    <row r="1803" spans="1:28" ht="39.950000000000003" customHeight="1" x14ac:dyDescent="0.25">
      <c r="A1803" s="100"/>
      <c r="B1803">
        <v>122</v>
      </c>
      <c r="C1803" s="104">
        <v>43195</v>
      </c>
      <c r="D1803" t="s">
        <v>477</v>
      </c>
      <c r="E1803" t="s">
        <v>534</v>
      </c>
      <c r="F1803">
        <v>0</v>
      </c>
      <c r="G1803">
        <v>0</v>
      </c>
      <c r="H1803">
        <v>0</v>
      </c>
      <c r="J1803" t="s">
        <v>516</v>
      </c>
      <c r="K1803" t="s">
        <v>477</v>
      </c>
      <c r="L1803" t="s">
        <v>219</v>
      </c>
      <c r="M1803" s="178">
        <v>1</v>
      </c>
      <c r="N1803" s="179">
        <v>30</v>
      </c>
      <c r="O1803" s="179">
        <v>30</v>
      </c>
      <c r="P1803" s="179"/>
      <c r="Q1803" s="181" t="str">
        <f>IF(PEDIDOS[[#This Row],[Valor do item pago]]=PEDIDOS[[#This Row],[Total Item ]],"PAGO", "")</f>
        <v/>
      </c>
      <c r="S1803"/>
      <c r="V1803"/>
      <c r="X1803"/>
      <c r="AB1803"/>
    </row>
    <row r="1804" spans="1:28" ht="39.950000000000003" customHeight="1" x14ac:dyDescent="0.25">
      <c r="A1804" s="100"/>
      <c r="B1804">
        <v>121</v>
      </c>
      <c r="C1804" s="104">
        <v>43195</v>
      </c>
      <c r="D1804" t="s">
        <v>477</v>
      </c>
      <c r="E1804" t="s">
        <v>528</v>
      </c>
      <c r="F1804" t="s">
        <v>527</v>
      </c>
      <c r="G1804" t="s">
        <v>529</v>
      </c>
      <c r="H1804" t="s">
        <v>530</v>
      </c>
      <c r="J1804" t="s">
        <v>526</v>
      </c>
      <c r="L1804" t="s">
        <v>219</v>
      </c>
      <c r="M1804" s="178">
        <v>3</v>
      </c>
      <c r="N1804" s="179">
        <v>30</v>
      </c>
      <c r="O1804" s="179">
        <v>90</v>
      </c>
      <c r="P1804" s="179"/>
      <c r="Q1804" s="181" t="str">
        <f>IF(PEDIDOS[[#This Row],[Valor do item pago]]=PEDIDOS[[#This Row],[Total Item ]],"PAGO", "")</f>
        <v/>
      </c>
      <c r="S1804"/>
      <c r="V1804"/>
      <c r="X1804"/>
      <c r="AB1804"/>
    </row>
    <row r="1805" spans="1:28" ht="39.950000000000003" customHeight="1" x14ac:dyDescent="0.25">
      <c r="A1805" s="100"/>
      <c r="B1805">
        <v>119</v>
      </c>
      <c r="C1805" s="104">
        <v>43195</v>
      </c>
      <c r="D1805" t="s">
        <v>477</v>
      </c>
      <c r="E1805" t="s">
        <v>524</v>
      </c>
      <c r="F1805" t="s">
        <v>521</v>
      </c>
      <c r="G1805" t="s">
        <v>522</v>
      </c>
      <c r="H1805" t="s">
        <v>523</v>
      </c>
      <c r="L1805" t="s">
        <v>235</v>
      </c>
      <c r="M1805" s="178">
        <v>1</v>
      </c>
      <c r="N1805" s="179">
        <v>30</v>
      </c>
      <c r="O1805" s="179">
        <v>30</v>
      </c>
      <c r="P1805" s="179"/>
      <c r="Q1805" s="181" t="str">
        <f>IF(PEDIDOS[[#This Row],[Valor do item pago]]=PEDIDOS[[#This Row],[Total Item ]],"PAGO", "")</f>
        <v/>
      </c>
      <c r="S1805"/>
      <c r="V1805"/>
      <c r="X1805"/>
      <c r="AB1805"/>
    </row>
    <row r="1806" spans="1:28" ht="39.950000000000003" customHeight="1" x14ac:dyDescent="0.25">
      <c r="A1806" s="100"/>
      <c r="B1806">
        <v>116</v>
      </c>
      <c r="C1806" s="104">
        <v>43195</v>
      </c>
      <c r="D1806" t="s">
        <v>477</v>
      </c>
      <c r="E1806" t="s">
        <v>518</v>
      </c>
      <c r="F1806" t="s">
        <v>517</v>
      </c>
      <c r="G1806" t="s">
        <v>519</v>
      </c>
      <c r="H1806" t="s">
        <v>520</v>
      </c>
      <c r="L1806" t="s">
        <v>219</v>
      </c>
      <c r="M1806" s="178">
        <v>1</v>
      </c>
      <c r="N1806" s="179">
        <v>30</v>
      </c>
      <c r="O1806" s="179">
        <v>30</v>
      </c>
      <c r="P1806" s="179"/>
      <c r="Q1806" s="181" t="str">
        <f>IF(PEDIDOS[[#This Row],[Valor do item pago]]=PEDIDOS[[#This Row],[Total Item ]],"PAGO", "")</f>
        <v/>
      </c>
      <c r="S1806"/>
      <c r="V1806"/>
      <c r="X1806"/>
      <c r="AB1806"/>
    </row>
    <row r="1807" spans="1:28" ht="39.950000000000003" customHeight="1" x14ac:dyDescent="0.25">
      <c r="A1807" s="100"/>
      <c r="B1807">
        <v>113</v>
      </c>
      <c r="C1807" s="104">
        <v>43195</v>
      </c>
      <c r="D1807" t="s">
        <v>477</v>
      </c>
      <c r="E1807" t="s">
        <v>513</v>
      </c>
      <c r="F1807" t="s">
        <v>514</v>
      </c>
      <c r="G1807" t="s">
        <v>515</v>
      </c>
      <c r="H1807" t="s">
        <v>183</v>
      </c>
      <c r="L1807" t="s">
        <v>219</v>
      </c>
      <c r="M1807" s="178">
        <v>1</v>
      </c>
      <c r="N1807" s="179">
        <v>30</v>
      </c>
      <c r="O1807" s="179">
        <v>30</v>
      </c>
      <c r="P1807" s="179"/>
      <c r="Q1807" s="181" t="str">
        <f>IF(PEDIDOS[[#This Row],[Valor do item pago]]=PEDIDOS[[#This Row],[Total Item ]],"PAGO", "")</f>
        <v/>
      </c>
      <c r="S1807"/>
      <c r="V1807"/>
      <c r="X1807"/>
      <c r="AB1807"/>
    </row>
    <row r="1808" spans="1:28" ht="39.950000000000003" customHeight="1" x14ac:dyDescent="0.25">
      <c r="A1808" s="100"/>
      <c r="B1808">
        <v>113</v>
      </c>
      <c r="C1808" s="104">
        <v>43195</v>
      </c>
      <c r="D1808" t="s">
        <v>477</v>
      </c>
      <c r="E1808" t="s">
        <v>513</v>
      </c>
      <c r="F1808" t="s">
        <v>514</v>
      </c>
      <c r="G1808" t="s">
        <v>515</v>
      </c>
      <c r="H1808" t="s">
        <v>183</v>
      </c>
      <c r="L1808" t="s">
        <v>1</v>
      </c>
      <c r="M1808" s="178">
        <v>1</v>
      </c>
      <c r="N1808" s="179">
        <v>30</v>
      </c>
      <c r="O1808" s="179">
        <v>30</v>
      </c>
      <c r="P1808" s="179"/>
      <c r="Q1808" s="181" t="str">
        <f>IF(PEDIDOS[[#This Row],[Valor do item pago]]=PEDIDOS[[#This Row],[Total Item ]],"PAGO", "")</f>
        <v/>
      </c>
      <c r="S1808"/>
      <c r="V1808"/>
      <c r="X1808"/>
      <c r="AB1808"/>
    </row>
    <row r="1809" spans="1:28" ht="39.950000000000003" customHeight="1" x14ac:dyDescent="0.25">
      <c r="A1809" s="100"/>
      <c r="B1809">
        <v>112</v>
      </c>
      <c r="C1809" s="104">
        <v>43195</v>
      </c>
      <c r="D1809" t="s">
        <v>477</v>
      </c>
      <c r="E1809" t="s">
        <v>367</v>
      </c>
      <c r="F1809" t="s">
        <v>323</v>
      </c>
      <c r="G1809" t="s">
        <v>151</v>
      </c>
      <c r="H1809" t="s">
        <v>392</v>
      </c>
      <c r="L1809" t="s">
        <v>0</v>
      </c>
      <c r="M1809" s="178">
        <v>1</v>
      </c>
      <c r="N1809" s="179">
        <v>30</v>
      </c>
      <c r="O1809" s="179">
        <v>30</v>
      </c>
      <c r="P1809" s="179"/>
      <c r="Q1809" s="181" t="str">
        <f>IF(PEDIDOS[[#This Row],[Valor do item pago]]=PEDIDOS[[#This Row],[Total Item ]],"PAGO", "")</f>
        <v/>
      </c>
      <c r="S1809"/>
      <c r="V1809"/>
      <c r="X1809"/>
      <c r="AB1809"/>
    </row>
    <row r="1810" spans="1:28" ht="39.950000000000003" customHeight="1" x14ac:dyDescent="0.25">
      <c r="A1810" s="100"/>
      <c r="B1810">
        <v>111</v>
      </c>
      <c r="C1810" s="104">
        <v>43195</v>
      </c>
      <c r="D1810" t="s">
        <v>477</v>
      </c>
      <c r="E1810" t="s">
        <v>364</v>
      </c>
      <c r="F1810">
        <v>0</v>
      </c>
      <c r="G1810">
        <v>0</v>
      </c>
      <c r="H1810">
        <v>0</v>
      </c>
      <c r="K1810" t="s">
        <v>477</v>
      </c>
      <c r="L1810" t="s">
        <v>0</v>
      </c>
      <c r="M1810" s="178">
        <v>1</v>
      </c>
      <c r="N1810" s="179">
        <v>30</v>
      </c>
      <c r="O1810" s="179">
        <v>30</v>
      </c>
      <c r="P1810" s="179"/>
      <c r="Q1810" s="181" t="str">
        <f>IF(PEDIDOS[[#This Row],[Valor do item pago]]=PEDIDOS[[#This Row],[Total Item ]],"PAGO", "")</f>
        <v/>
      </c>
      <c r="S1810"/>
      <c r="V1810"/>
      <c r="X1810"/>
      <c r="AB1810"/>
    </row>
    <row r="1811" spans="1:28" ht="39.950000000000003" customHeight="1" x14ac:dyDescent="0.25">
      <c r="A1811" s="100"/>
      <c r="B1811">
        <v>110</v>
      </c>
      <c r="C1811" s="104">
        <v>43195</v>
      </c>
      <c r="D1811" t="s">
        <v>477</v>
      </c>
      <c r="E1811" t="s">
        <v>510</v>
      </c>
      <c r="F1811" t="s">
        <v>508</v>
      </c>
      <c r="G1811" t="s">
        <v>511</v>
      </c>
      <c r="H1811" t="s">
        <v>512</v>
      </c>
      <c r="L1811" t="s">
        <v>219</v>
      </c>
      <c r="M1811" s="178">
        <v>1</v>
      </c>
      <c r="N1811" s="179">
        <v>30</v>
      </c>
      <c r="O1811" s="179">
        <v>30</v>
      </c>
      <c r="P1811" s="179"/>
      <c r="Q1811" s="181" t="str">
        <f>IF(PEDIDOS[[#This Row],[Valor do item pago]]=PEDIDOS[[#This Row],[Total Item ]],"PAGO", "")</f>
        <v/>
      </c>
      <c r="S1811"/>
      <c r="V1811"/>
      <c r="X1811"/>
      <c r="AB1811"/>
    </row>
    <row r="1812" spans="1:28" ht="39.950000000000003" customHeight="1" x14ac:dyDescent="0.25">
      <c r="A1812" s="100"/>
      <c r="B1812">
        <v>109</v>
      </c>
      <c r="C1812" s="104">
        <v>43195</v>
      </c>
      <c r="D1812" t="s">
        <v>477</v>
      </c>
      <c r="E1812" t="s">
        <v>363</v>
      </c>
      <c r="F1812">
        <v>0</v>
      </c>
      <c r="G1812">
        <v>0</v>
      </c>
      <c r="H1812">
        <v>0</v>
      </c>
      <c r="K1812" t="s">
        <v>40</v>
      </c>
      <c r="L1812" t="s">
        <v>1</v>
      </c>
      <c r="M1812" s="178">
        <v>1</v>
      </c>
      <c r="N1812" s="179">
        <v>30</v>
      </c>
      <c r="O1812" s="179">
        <v>30</v>
      </c>
      <c r="P1812" s="179"/>
      <c r="Q1812" s="181" t="str">
        <f>IF(PEDIDOS[[#This Row],[Valor do item pago]]=PEDIDOS[[#This Row],[Total Item ]],"PAGO", "")</f>
        <v/>
      </c>
      <c r="S1812"/>
      <c r="V1812"/>
      <c r="X1812"/>
      <c r="AB1812"/>
    </row>
    <row r="1813" spans="1:28" ht="39.950000000000003" customHeight="1" x14ac:dyDescent="0.25">
      <c r="A1813" s="100"/>
      <c r="B1813">
        <v>108</v>
      </c>
      <c r="C1813" s="104">
        <v>43195</v>
      </c>
      <c r="D1813" t="s">
        <v>477</v>
      </c>
      <c r="E1813" t="s">
        <v>11</v>
      </c>
      <c r="F1813">
        <v>0</v>
      </c>
      <c r="G1813">
        <v>0</v>
      </c>
      <c r="H1813">
        <v>0</v>
      </c>
      <c r="K1813" t="s">
        <v>477</v>
      </c>
      <c r="L1813" t="s">
        <v>1</v>
      </c>
      <c r="M1813" s="178">
        <v>2</v>
      </c>
      <c r="N1813" s="179">
        <v>30</v>
      </c>
      <c r="O1813" s="179">
        <v>60</v>
      </c>
      <c r="P1813" s="179"/>
      <c r="Q1813" s="181" t="str">
        <f>IF(PEDIDOS[[#This Row],[Valor do item pago]]=PEDIDOS[[#This Row],[Total Item ]],"PAGO", "")</f>
        <v/>
      </c>
      <c r="S1813"/>
      <c r="V1813"/>
      <c r="X1813"/>
      <c r="AB1813"/>
    </row>
    <row r="1814" spans="1:28" ht="39.950000000000003" customHeight="1" x14ac:dyDescent="0.25">
      <c r="A1814" s="100"/>
      <c r="B1814">
        <v>107</v>
      </c>
      <c r="C1814" s="104">
        <v>43195</v>
      </c>
      <c r="D1814" t="s">
        <v>477</v>
      </c>
      <c r="E1814" t="s">
        <v>506</v>
      </c>
      <c r="F1814" t="s">
        <v>503</v>
      </c>
      <c r="G1814" t="s">
        <v>504</v>
      </c>
      <c r="H1814" t="s">
        <v>505</v>
      </c>
      <c r="L1814" t="s">
        <v>1</v>
      </c>
      <c r="M1814" s="178">
        <v>1</v>
      </c>
      <c r="N1814" s="179">
        <v>30</v>
      </c>
      <c r="O1814" s="179">
        <v>30</v>
      </c>
      <c r="P1814" s="179"/>
      <c r="Q1814" s="181" t="str">
        <f>IF(PEDIDOS[[#This Row],[Valor do item pago]]=PEDIDOS[[#This Row],[Total Item ]],"PAGO", "")</f>
        <v/>
      </c>
      <c r="S1814"/>
      <c r="V1814"/>
      <c r="X1814"/>
      <c r="AB1814"/>
    </row>
    <row r="1815" spans="1:28" ht="39.950000000000003" customHeight="1" x14ac:dyDescent="0.25">
      <c r="A1815" s="100"/>
      <c r="B1815">
        <v>104</v>
      </c>
      <c r="C1815" s="104">
        <v>43195</v>
      </c>
      <c r="D1815" t="s">
        <v>477</v>
      </c>
      <c r="E1815" t="s">
        <v>498</v>
      </c>
      <c r="F1815" t="s">
        <v>497</v>
      </c>
      <c r="G1815" t="s">
        <v>499</v>
      </c>
      <c r="H1815" t="s">
        <v>461</v>
      </c>
      <c r="L1815" t="s">
        <v>1</v>
      </c>
      <c r="M1815" s="178">
        <v>1</v>
      </c>
      <c r="N1815" s="179">
        <v>30</v>
      </c>
      <c r="O1815" s="179">
        <v>30</v>
      </c>
      <c r="P1815" s="179"/>
      <c r="Q1815" s="181" t="str">
        <f>IF(PEDIDOS[[#This Row],[Valor do item pago]]=PEDIDOS[[#This Row],[Total Item ]],"PAGO", "")</f>
        <v/>
      </c>
      <c r="S1815"/>
      <c r="V1815"/>
      <c r="X1815"/>
      <c r="AB1815"/>
    </row>
    <row r="1816" spans="1:28" ht="39.950000000000003" customHeight="1" x14ac:dyDescent="0.25">
      <c r="A1816" s="100"/>
      <c r="B1816">
        <v>102</v>
      </c>
      <c r="C1816" s="104">
        <v>43195</v>
      </c>
      <c r="D1816" t="s">
        <v>477</v>
      </c>
      <c r="E1816" t="s">
        <v>353</v>
      </c>
      <c r="F1816">
        <v>0</v>
      </c>
      <c r="G1816">
        <v>0</v>
      </c>
      <c r="H1816">
        <v>0</v>
      </c>
      <c r="K1816" t="s">
        <v>477</v>
      </c>
      <c r="L1816" t="s">
        <v>235</v>
      </c>
      <c r="M1816" s="178">
        <v>1</v>
      </c>
      <c r="N1816" s="179">
        <v>30</v>
      </c>
      <c r="O1816" s="179">
        <v>30</v>
      </c>
      <c r="P1816" s="179"/>
      <c r="Q1816" s="181" t="str">
        <f>IF(PEDIDOS[[#This Row],[Valor do item pago]]=PEDIDOS[[#This Row],[Total Item ]],"PAGO", "")</f>
        <v/>
      </c>
      <c r="S1816"/>
      <c r="V1816"/>
      <c r="X1816"/>
      <c r="AB1816"/>
    </row>
    <row r="1817" spans="1:28" ht="39.950000000000003" customHeight="1" x14ac:dyDescent="0.25">
      <c r="A1817" s="100"/>
      <c r="B1817">
        <v>101</v>
      </c>
      <c r="C1817" s="104">
        <v>43195</v>
      </c>
      <c r="D1817" t="s">
        <v>477</v>
      </c>
      <c r="E1817" t="s">
        <v>343</v>
      </c>
      <c r="F1817">
        <v>0</v>
      </c>
      <c r="G1817">
        <v>0</v>
      </c>
      <c r="H1817">
        <v>0</v>
      </c>
      <c r="J1817" t="s">
        <v>495</v>
      </c>
      <c r="K1817" t="s">
        <v>477</v>
      </c>
      <c r="L1817" t="s">
        <v>1</v>
      </c>
      <c r="M1817" s="178">
        <v>1</v>
      </c>
      <c r="N1817" s="179">
        <v>30</v>
      </c>
      <c r="O1817" s="179">
        <v>30</v>
      </c>
      <c r="P1817" s="179"/>
      <c r="Q1817" s="181" t="str">
        <f>IF(PEDIDOS[[#This Row],[Valor do item pago]]=PEDIDOS[[#This Row],[Total Item ]],"PAGO", "")</f>
        <v/>
      </c>
      <c r="S1817"/>
      <c r="V1817"/>
      <c r="X1817"/>
      <c r="AB1817"/>
    </row>
    <row r="1818" spans="1:28" ht="39.950000000000003" customHeight="1" x14ac:dyDescent="0.25">
      <c r="A1818" s="100"/>
      <c r="B1818">
        <v>60</v>
      </c>
      <c r="C1818" s="104">
        <v>43101</v>
      </c>
      <c r="D1818" t="s">
        <v>477</v>
      </c>
      <c r="E1818" t="s">
        <v>367</v>
      </c>
      <c r="F1818" t="s">
        <v>323</v>
      </c>
      <c r="G1818" t="s">
        <v>151</v>
      </c>
      <c r="H1818" t="s">
        <v>392</v>
      </c>
      <c r="L1818" t="s">
        <v>0</v>
      </c>
      <c r="M1818" s="156">
        <v>1</v>
      </c>
      <c r="N1818" s="180">
        <v>30</v>
      </c>
      <c r="O1818" s="180">
        <v>30</v>
      </c>
      <c r="P1818" s="180"/>
      <c r="Q1818" s="181" t="str">
        <f>IF(PEDIDOS[[#This Row],[Valor do item pago]]=PEDIDOS[[#This Row],[Total Item ]],"PAGO", "")</f>
        <v/>
      </c>
      <c r="S1818"/>
      <c r="V1818"/>
      <c r="X1818"/>
      <c r="AB1818"/>
    </row>
    <row r="1819" spans="1:28" ht="39.950000000000003" customHeight="1" x14ac:dyDescent="0.25">
      <c r="A1819" s="100"/>
      <c r="B1819">
        <v>58</v>
      </c>
      <c r="C1819" s="104">
        <v>43101</v>
      </c>
      <c r="D1819" t="s">
        <v>477</v>
      </c>
      <c r="E1819" t="s">
        <v>343</v>
      </c>
      <c r="F1819">
        <v>0</v>
      </c>
      <c r="G1819">
        <v>0</v>
      </c>
      <c r="H1819">
        <v>0</v>
      </c>
      <c r="K1819" t="s">
        <v>477</v>
      </c>
      <c r="L1819" t="s">
        <v>219</v>
      </c>
      <c r="M1819" s="156">
        <v>1</v>
      </c>
      <c r="N1819" s="180">
        <v>30</v>
      </c>
      <c r="O1819" s="180">
        <v>30</v>
      </c>
      <c r="P1819" s="180"/>
      <c r="Q1819" s="181" t="str">
        <f>IF(PEDIDOS[[#This Row],[Valor do item pago]]=PEDIDOS[[#This Row],[Total Item ]],"PAGO", "")</f>
        <v/>
      </c>
      <c r="S1819"/>
      <c r="V1819"/>
      <c r="X1819"/>
      <c r="AB1819"/>
    </row>
    <row r="1820" spans="1:28" ht="39.950000000000003" customHeight="1" x14ac:dyDescent="0.25">
      <c r="A1820" s="100"/>
      <c r="B1820">
        <v>57</v>
      </c>
      <c r="C1820" s="104">
        <v>43101</v>
      </c>
      <c r="D1820" t="s">
        <v>477</v>
      </c>
      <c r="E1820" t="s">
        <v>364</v>
      </c>
      <c r="F1820">
        <v>0</v>
      </c>
      <c r="G1820">
        <v>0</v>
      </c>
      <c r="H1820">
        <v>0</v>
      </c>
      <c r="K1820" t="s">
        <v>477</v>
      </c>
      <c r="L1820" t="s">
        <v>0</v>
      </c>
      <c r="M1820" s="156">
        <v>1</v>
      </c>
      <c r="N1820" s="180">
        <v>30</v>
      </c>
      <c r="O1820" s="180">
        <v>30</v>
      </c>
      <c r="P1820" s="180"/>
      <c r="Q1820" s="181" t="str">
        <f>IF(PEDIDOS[[#This Row],[Valor do item pago]]=PEDIDOS[[#This Row],[Total Item ]],"PAGO", "")</f>
        <v/>
      </c>
      <c r="S1820"/>
      <c r="V1820"/>
      <c r="X1820"/>
      <c r="AB1820"/>
    </row>
    <row r="1821" spans="1:28" ht="39.950000000000003" customHeight="1" x14ac:dyDescent="0.25">
      <c r="A1821" s="100"/>
      <c r="B1821">
        <v>54</v>
      </c>
      <c r="C1821" s="104">
        <v>43101</v>
      </c>
      <c r="D1821" t="s">
        <v>477</v>
      </c>
      <c r="E1821" t="s">
        <v>353</v>
      </c>
      <c r="F1821">
        <v>0</v>
      </c>
      <c r="G1821">
        <v>0</v>
      </c>
      <c r="H1821">
        <v>0</v>
      </c>
      <c r="K1821" t="s">
        <v>477</v>
      </c>
      <c r="L1821" t="s">
        <v>219</v>
      </c>
      <c r="M1821" s="156">
        <v>1</v>
      </c>
      <c r="N1821" s="180">
        <v>30</v>
      </c>
      <c r="O1821" s="180">
        <v>30</v>
      </c>
      <c r="P1821" s="180"/>
      <c r="Q1821" s="181" t="str">
        <f>IF(PEDIDOS[[#This Row],[Valor do item pago]]=PEDIDOS[[#This Row],[Total Item ]],"PAGO", "")</f>
        <v/>
      </c>
      <c r="S1821"/>
      <c r="V1821"/>
      <c r="X1821"/>
      <c r="AB1821"/>
    </row>
    <row r="1822" spans="1:28" ht="39.950000000000003" customHeight="1" x14ac:dyDescent="0.25">
      <c r="A1822" s="100"/>
      <c r="B1822">
        <v>52</v>
      </c>
      <c r="C1822" s="104">
        <v>43101</v>
      </c>
      <c r="D1822" t="s">
        <v>477</v>
      </c>
      <c r="E1822" t="s">
        <v>339</v>
      </c>
      <c r="F1822" t="s">
        <v>277</v>
      </c>
      <c r="G1822">
        <v>0</v>
      </c>
      <c r="H1822">
        <v>0</v>
      </c>
      <c r="J1822" t="s">
        <v>471</v>
      </c>
      <c r="L1822" t="s">
        <v>219</v>
      </c>
      <c r="M1822" s="156">
        <v>1</v>
      </c>
      <c r="N1822" s="180">
        <v>30</v>
      </c>
      <c r="O1822" s="180">
        <v>30</v>
      </c>
      <c r="P1822" s="180">
        <v>30</v>
      </c>
      <c r="Q1822" s="181" t="str">
        <f>IF(PEDIDOS[[#This Row],[Valor do item pago]]=PEDIDOS[[#This Row],[Total Item ]],"PAGO", "")</f>
        <v>PAGO</v>
      </c>
      <c r="S1822"/>
      <c r="V1822"/>
      <c r="X1822"/>
      <c r="AB1822"/>
    </row>
    <row r="1823" spans="1:28" ht="39.950000000000003" customHeight="1" x14ac:dyDescent="0.25">
      <c r="A1823" s="100"/>
      <c r="B1823">
        <v>47</v>
      </c>
      <c r="C1823" s="104">
        <v>43101</v>
      </c>
      <c r="D1823" t="s">
        <v>60</v>
      </c>
      <c r="E1823" t="s">
        <v>60</v>
      </c>
      <c r="F1823">
        <v>0</v>
      </c>
      <c r="G1823">
        <v>0</v>
      </c>
      <c r="H1823">
        <v>0</v>
      </c>
      <c r="J1823" t="s">
        <v>12</v>
      </c>
      <c r="K1823" t="s">
        <v>60</v>
      </c>
      <c r="L1823" t="s">
        <v>1</v>
      </c>
      <c r="M1823" s="156">
        <v>1</v>
      </c>
      <c r="N1823" s="180">
        <v>30</v>
      </c>
      <c r="O1823" s="180">
        <v>30</v>
      </c>
      <c r="P1823" s="180"/>
      <c r="Q1823" s="181" t="str">
        <f>IF(PEDIDOS[[#This Row],[Valor do item pago]]=PEDIDOS[[#This Row],[Total Item ]],"PAGO", "")</f>
        <v/>
      </c>
      <c r="S1823"/>
      <c r="V1823"/>
      <c r="X1823"/>
      <c r="AB1823"/>
    </row>
    <row r="1824" spans="1:28" ht="39.950000000000003" customHeight="1" x14ac:dyDescent="0.25">
      <c r="A1824" s="100"/>
      <c r="B1824">
        <v>47</v>
      </c>
      <c r="C1824" s="104">
        <v>43101</v>
      </c>
      <c r="D1824" t="s">
        <v>60</v>
      </c>
      <c r="E1824" t="s">
        <v>60</v>
      </c>
      <c r="F1824">
        <v>0</v>
      </c>
      <c r="G1824">
        <v>0</v>
      </c>
      <c r="H1824">
        <v>0</v>
      </c>
      <c r="J1824" t="s">
        <v>12</v>
      </c>
      <c r="K1824" t="s">
        <v>60</v>
      </c>
      <c r="L1824" t="s">
        <v>0</v>
      </c>
      <c r="M1824" s="156">
        <v>1</v>
      </c>
      <c r="N1824" s="180">
        <v>30</v>
      </c>
      <c r="O1824" s="180">
        <v>30</v>
      </c>
      <c r="P1824" s="180"/>
      <c r="Q1824" s="181" t="str">
        <f>IF(PEDIDOS[[#This Row],[Valor do item pago]]=PEDIDOS[[#This Row],[Total Item ]],"PAGO", "")</f>
        <v/>
      </c>
      <c r="S1824"/>
      <c r="V1824"/>
      <c r="X1824"/>
      <c r="AB1824"/>
    </row>
    <row r="1825" spans="1:28" ht="39.950000000000003" customHeight="1" x14ac:dyDescent="0.25">
      <c r="A1825" s="100"/>
      <c r="B1825">
        <v>47</v>
      </c>
      <c r="C1825" s="104">
        <v>43101</v>
      </c>
      <c r="D1825" t="s">
        <v>60</v>
      </c>
      <c r="E1825" t="s">
        <v>60</v>
      </c>
      <c r="F1825">
        <v>0</v>
      </c>
      <c r="G1825">
        <v>0</v>
      </c>
      <c r="H1825">
        <v>0</v>
      </c>
      <c r="J1825" t="s">
        <v>12</v>
      </c>
      <c r="K1825" t="s">
        <v>60</v>
      </c>
      <c r="L1825" t="s">
        <v>219</v>
      </c>
      <c r="M1825" s="156">
        <v>1</v>
      </c>
      <c r="N1825" s="180">
        <v>30</v>
      </c>
      <c r="O1825" s="180">
        <v>30</v>
      </c>
      <c r="P1825" s="180"/>
      <c r="Q1825" s="181" t="str">
        <f>IF(PEDIDOS[[#This Row],[Valor do item pago]]=PEDIDOS[[#This Row],[Total Item ]],"PAGO", "")</f>
        <v/>
      </c>
      <c r="S1825"/>
      <c r="V1825"/>
      <c r="X1825"/>
      <c r="AB1825"/>
    </row>
    <row r="1826" spans="1:28" ht="39.950000000000003" customHeight="1" x14ac:dyDescent="0.25">
      <c r="A1826" s="100"/>
      <c r="B1826">
        <v>47</v>
      </c>
      <c r="C1826" s="104">
        <v>43101</v>
      </c>
      <c r="D1826" t="s">
        <v>60</v>
      </c>
      <c r="E1826" t="s">
        <v>60</v>
      </c>
      <c r="F1826">
        <v>0</v>
      </c>
      <c r="G1826">
        <v>0</v>
      </c>
      <c r="H1826">
        <v>0</v>
      </c>
      <c r="J1826" t="s">
        <v>12</v>
      </c>
      <c r="K1826" t="s">
        <v>60</v>
      </c>
      <c r="L1826" t="s">
        <v>3</v>
      </c>
      <c r="M1826" s="156">
        <v>1</v>
      </c>
      <c r="N1826" s="180">
        <v>30</v>
      </c>
      <c r="O1826" s="180">
        <v>30</v>
      </c>
      <c r="P1826" s="180"/>
      <c r="Q1826" s="181" t="str">
        <f>IF(PEDIDOS[[#This Row],[Valor do item pago]]=PEDIDOS[[#This Row],[Total Item ]],"PAGO", "")</f>
        <v/>
      </c>
      <c r="S1826"/>
      <c r="V1826"/>
      <c r="X1826"/>
      <c r="AB1826"/>
    </row>
    <row r="1827" spans="1:28" ht="39.950000000000003" customHeight="1" x14ac:dyDescent="0.25">
      <c r="A1827" s="100"/>
      <c r="B1827">
        <v>39</v>
      </c>
      <c r="C1827" s="104">
        <v>43101</v>
      </c>
      <c r="D1827" t="s">
        <v>40</v>
      </c>
      <c r="E1827" t="s">
        <v>210</v>
      </c>
      <c r="F1827" t="s">
        <v>292</v>
      </c>
      <c r="G1827">
        <v>0</v>
      </c>
      <c r="H1827">
        <v>0</v>
      </c>
      <c r="J1827" t="s">
        <v>12</v>
      </c>
      <c r="L1827" t="s">
        <v>219</v>
      </c>
      <c r="M1827" s="156">
        <v>3</v>
      </c>
      <c r="N1827" s="180">
        <v>30</v>
      </c>
      <c r="O1827" s="180">
        <v>90</v>
      </c>
      <c r="P1827" s="180"/>
      <c r="Q1827" s="181" t="str">
        <f>IF(PEDIDOS[[#This Row],[Valor do item pago]]=PEDIDOS[[#This Row],[Total Item ]],"PAGO", "")</f>
        <v/>
      </c>
      <c r="S1827"/>
      <c r="V1827"/>
      <c r="X1827"/>
      <c r="AB1827"/>
    </row>
    <row r="1828" spans="1:28" ht="39.950000000000003" customHeight="1" x14ac:dyDescent="0.25">
      <c r="A1828" s="100"/>
      <c r="B1828">
        <v>36</v>
      </c>
      <c r="C1828" s="104">
        <v>43101</v>
      </c>
      <c r="D1828" t="s">
        <v>40</v>
      </c>
      <c r="E1828" t="s">
        <v>473</v>
      </c>
      <c r="F1828" t="s">
        <v>315</v>
      </c>
      <c r="G1828">
        <v>0</v>
      </c>
      <c r="H1828">
        <v>0</v>
      </c>
      <c r="J1828" t="s">
        <v>18</v>
      </c>
      <c r="L1828" t="s">
        <v>1</v>
      </c>
      <c r="M1828" s="156">
        <v>1</v>
      </c>
      <c r="N1828" s="180">
        <v>30</v>
      </c>
      <c r="O1828" s="180">
        <v>30</v>
      </c>
      <c r="P1828" s="180"/>
      <c r="Q1828" s="181" t="str">
        <f>IF(PEDIDOS[[#This Row],[Valor do item pago]]=PEDIDOS[[#This Row],[Total Item ]],"PAGO", "")</f>
        <v/>
      </c>
      <c r="S1828"/>
      <c r="V1828"/>
      <c r="X1828"/>
      <c r="AB1828"/>
    </row>
    <row r="1829" spans="1:28" ht="39.950000000000003" customHeight="1" x14ac:dyDescent="0.25">
      <c r="A1829" s="100"/>
      <c r="B1829">
        <v>33</v>
      </c>
      <c r="C1829" s="104">
        <v>43101</v>
      </c>
      <c r="D1829" t="s">
        <v>40</v>
      </c>
      <c r="E1829" t="s">
        <v>205</v>
      </c>
      <c r="F1829" t="s">
        <v>312</v>
      </c>
      <c r="G1829">
        <v>0</v>
      </c>
      <c r="H1829">
        <v>0</v>
      </c>
      <c r="J1829" t="s">
        <v>12</v>
      </c>
      <c r="K1829" t="s">
        <v>40</v>
      </c>
      <c r="L1829" t="s">
        <v>1</v>
      </c>
      <c r="M1829" s="156">
        <v>4</v>
      </c>
      <c r="N1829" s="180">
        <v>30</v>
      </c>
      <c r="O1829" s="180">
        <v>120</v>
      </c>
      <c r="P1829" s="180">
        <v>120</v>
      </c>
      <c r="Q1829" s="181" t="str">
        <f>IF(PEDIDOS[[#This Row],[Valor do item pago]]=PEDIDOS[[#This Row],[Total Item ]],"PAGO", "")</f>
        <v>PAGO</v>
      </c>
      <c r="S1829"/>
      <c r="V1829"/>
      <c r="X1829"/>
      <c r="AB1829"/>
    </row>
    <row r="1830" spans="1:28" ht="39.950000000000003" customHeight="1" x14ac:dyDescent="0.25">
      <c r="A1830" s="100"/>
      <c r="B1830">
        <v>32</v>
      </c>
      <c r="C1830" s="104">
        <v>43101</v>
      </c>
      <c r="D1830" t="s">
        <v>40</v>
      </c>
      <c r="E1830" t="s">
        <v>13</v>
      </c>
      <c r="F1830">
        <v>0</v>
      </c>
      <c r="G1830">
        <v>0</v>
      </c>
      <c r="H1830">
        <v>0</v>
      </c>
      <c r="J1830" t="s">
        <v>12</v>
      </c>
      <c r="K1830" t="s">
        <v>40</v>
      </c>
      <c r="L1830" t="s">
        <v>219</v>
      </c>
      <c r="M1830" s="156">
        <v>2</v>
      </c>
      <c r="N1830" s="180">
        <v>30</v>
      </c>
      <c r="O1830" s="180">
        <v>60</v>
      </c>
      <c r="P1830" s="180"/>
      <c r="Q1830" s="181" t="str">
        <f>IF(PEDIDOS[[#This Row],[Valor do item pago]]=PEDIDOS[[#This Row],[Total Item ]],"PAGO", "")</f>
        <v/>
      </c>
      <c r="S1830"/>
      <c r="V1830"/>
      <c r="X1830"/>
      <c r="AB1830"/>
    </row>
    <row r="1831" spans="1:28" ht="39.950000000000003" customHeight="1" x14ac:dyDescent="0.25">
      <c r="A1831" s="100"/>
      <c r="B1831">
        <v>31</v>
      </c>
      <c r="C1831" s="104">
        <v>43101</v>
      </c>
      <c r="D1831" t="s">
        <v>40</v>
      </c>
      <c r="E1831" t="s">
        <v>204</v>
      </c>
      <c r="F1831" t="s">
        <v>279</v>
      </c>
      <c r="G1831">
        <v>0</v>
      </c>
      <c r="H1831">
        <v>0</v>
      </c>
      <c r="J1831" t="s">
        <v>12</v>
      </c>
      <c r="K1831" t="s">
        <v>40</v>
      </c>
      <c r="L1831" t="s">
        <v>3</v>
      </c>
      <c r="M1831" s="156">
        <v>2</v>
      </c>
      <c r="N1831" s="180">
        <v>30</v>
      </c>
      <c r="O1831" s="180">
        <v>60</v>
      </c>
      <c r="P1831" s="180"/>
      <c r="Q1831" s="181" t="str">
        <f>IF(PEDIDOS[[#This Row],[Valor do item pago]]=PEDIDOS[[#This Row],[Total Item ]],"PAGO", "")</f>
        <v/>
      </c>
      <c r="S1831"/>
      <c r="V1831"/>
      <c r="X1831"/>
      <c r="AB1831"/>
    </row>
    <row r="1832" spans="1:28" ht="39.950000000000003" customHeight="1" x14ac:dyDescent="0.25">
      <c r="A1832" s="100"/>
      <c r="B1832">
        <v>27</v>
      </c>
      <c r="C1832" s="104">
        <v>43101</v>
      </c>
      <c r="D1832" t="s">
        <v>231</v>
      </c>
      <c r="E1832" t="s">
        <v>356</v>
      </c>
      <c r="F1832">
        <v>0</v>
      </c>
      <c r="G1832">
        <v>0</v>
      </c>
      <c r="H1832">
        <v>0</v>
      </c>
      <c r="K1832" t="s">
        <v>231</v>
      </c>
      <c r="L1832" t="s">
        <v>219</v>
      </c>
      <c r="M1832" s="156">
        <v>1</v>
      </c>
      <c r="N1832" s="180">
        <v>30</v>
      </c>
      <c r="O1832" s="180">
        <v>30</v>
      </c>
      <c r="P1832" s="180">
        <v>30</v>
      </c>
      <c r="Q1832" s="181" t="str">
        <f>IF(PEDIDOS[[#This Row],[Valor do item pago]]=PEDIDOS[[#This Row],[Total Item ]],"PAGO", "")</f>
        <v>PAGO</v>
      </c>
      <c r="S1832"/>
      <c r="V1832"/>
      <c r="X1832"/>
      <c r="AB1832"/>
    </row>
    <row r="1833" spans="1:28" ht="39.950000000000003" customHeight="1" x14ac:dyDescent="0.25">
      <c r="A1833" s="100"/>
      <c r="B1833">
        <v>26</v>
      </c>
      <c r="C1833" s="104">
        <v>43101</v>
      </c>
      <c r="D1833" t="s">
        <v>231</v>
      </c>
      <c r="E1833" t="s">
        <v>382</v>
      </c>
      <c r="F1833">
        <v>0</v>
      </c>
      <c r="G1833">
        <v>0</v>
      </c>
      <c r="H1833">
        <v>0</v>
      </c>
      <c r="J1833" t="s">
        <v>471</v>
      </c>
      <c r="L1833" t="s">
        <v>219</v>
      </c>
      <c r="M1833" s="156">
        <v>1</v>
      </c>
      <c r="N1833" s="180">
        <v>30</v>
      </c>
      <c r="O1833" s="180">
        <v>30</v>
      </c>
      <c r="P1833" s="180"/>
      <c r="Q1833" s="181" t="str">
        <f>IF(PEDIDOS[[#This Row],[Valor do item pago]]=PEDIDOS[[#This Row],[Total Item ]],"PAGO", "")</f>
        <v/>
      </c>
      <c r="S1833"/>
      <c r="V1833"/>
      <c r="X1833"/>
      <c r="AB1833"/>
    </row>
    <row r="1834" spans="1:28" ht="39.950000000000003" customHeight="1" x14ac:dyDescent="0.25">
      <c r="A1834" s="100"/>
      <c r="B1834">
        <v>25</v>
      </c>
      <c r="C1834" s="104">
        <v>43101</v>
      </c>
      <c r="D1834" t="s">
        <v>231</v>
      </c>
      <c r="E1834" t="s">
        <v>370</v>
      </c>
      <c r="F1834">
        <v>0</v>
      </c>
      <c r="G1834">
        <v>0</v>
      </c>
      <c r="H1834">
        <v>0</v>
      </c>
      <c r="K1834" t="s">
        <v>231</v>
      </c>
      <c r="L1834" t="s">
        <v>3</v>
      </c>
      <c r="M1834" s="156">
        <v>1</v>
      </c>
      <c r="N1834" s="180">
        <v>30</v>
      </c>
      <c r="O1834" s="180">
        <v>30</v>
      </c>
      <c r="P1834" s="180"/>
      <c r="Q1834" s="181" t="str">
        <f>IF(PEDIDOS[[#This Row],[Valor do item pago]]=PEDIDOS[[#This Row],[Total Item ]],"PAGO", "")</f>
        <v/>
      </c>
      <c r="S1834"/>
      <c r="V1834"/>
      <c r="X1834"/>
      <c r="AB1834"/>
    </row>
    <row r="1835" spans="1:28" ht="39.950000000000003" customHeight="1" x14ac:dyDescent="0.25">
      <c r="A1835" s="100"/>
      <c r="B1835">
        <v>25</v>
      </c>
      <c r="C1835" s="104">
        <v>43101</v>
      </c>
      <c r="D1835" t="s">
        <v>231</v>
      </c>
      <c r="E1835" t="s">
        <v>370</v>
      </c>
      <c r="F1835">
        <v>0</v>
      </c>
      <c r="G1835">
        <v>0</v>
      </c>
      <c r="H1835">
        <v>0</v>
      </c>
      <c r="K1835" t="s">
        <v>231</v>
      </c>
      <c r="L1835" t="s">
        <v>219</v>
      </c>
      <c r="M1835" s="156">
        <v>1</v>
      </c>
      <c r="N1835" s="180">
        <v>30</v>
      </c>
      <c r="O1835" s="180">
        <v>30</v>
      </c>
      <c r="P1835" s="180"/>
      <c r="Q1835" s="181" t="str">
        <f>IF(PEDIDOS[[#This Row],[Valor do item pago]]=PEDIDOS[[#This Row],[Total Item ]],"PAGO", "")</f>
        <v/>
      </c>
      <c r="S1835"/>
      <c r="V1835"/>
      <c r="X1835"/>
      <c r="AB1835"/>
    </row>
    <row r="1836" spans="1:28" ht="39.950000000000003" customHeight="1" x14ac:dyDescent="0.25">
      <c r="A1836" s="100"/>
      <c r="B1836">
        <v>24</v>
      </c>
      <c r="C1836" s="104">
        <v>43101</v>
      </c>
      <c r="D1836" t="s">
        <v>231</v>
      </c>
      <c r="E1836" t="s">
        <v>375</v>
      </c>
      <c r="F1836">
        <v>0</v>
      </c>
      <c r="G1836">
        <v>0</v>
      </c>
      <c r="H1836">
        <v>0</v>
      </c>
      <c r="J1836" t="s">
        <v>471</v>
      </c>
      <c r="L1836" t="s">
        <v>1</v>
      </c>
      <c r="M1836" s="156">
        <v>2</v>
      </c>
      <c r="N1836" s="180">
        <v>30</v>
      </c>
      <c r="O1836" s="180">
        <v>60</v>
      </c>
      <c r="P1836" s="180"/>
      <c r="Q1836" s="181" t="str">
        <f>IF(PEDIDOS[[#This Row],[Valor do item pago]]=PEDIDOS[[#This Row],[Total Item ]],"PAGO", "")</f>
        <v/>
      </c>
      <c r="S1836"/>
      <c r="V1836"/>
      <c r="X1836"/>
      <c r="AB1836"/>
    </row>
    <row r="1837" spans="1:28" ht="39.950000000000003" customHeight="1" x14ac:dyDescent="0.25">
      <c r="A1837" s="100"/>
      <c r="B1837">
        <v>24</v>
      </c>
      <c r="C1837" s="104">
        <v>43101</v>
      </c>
      <c r="D1837" t="s">
        <v>231</v>
      </c>
      <c r="E1837" t="s">
        <v>375</v>
      </c>
      <c r="F1837">
        <v>0</v>
      </c>
      <c r="G1837">
        <v>0</v>
      </c>
      <c r="H1837">
        <v>0</v>
      </c>
      <c r="J1837" t="s">
        <v>471</v>
      </c>
      <c r="L1837" t="s">
        <v>3</v>
      </c>
      <c r="M1837" s="156">
        <v>2</v>
      </c>
      <c r="N1837" s="180">
        <v>30</v>
      </c>
      <c r="O1837" s="180">
        <v>60</v>
      </c>
      <c r="P1837" s="180"/>
      <c r="Q1837" s="181" t="str">
        <f>IF(PEDIDOS[[#This Row],[Valor do item pago]]=PEDIDOS[[#This Row],[Total Item ]],"PAGO", "")</f>
        <v/>
      </c>
      <c r="S1837"/>
      <c r="V1837"/>
      <c r="X1837"/>
      <c r="AB1837"/>
    </row>
    <row r="1838" spans="1:28" ht="39.950000000000003" customHeight="1" x14ac:dyDescent="0.25">
      <c r="A1838" s="100"/>
      <c r="B1838">
        <v>23</v>
      </c>
      <c r="C1838" s="104">
        <v>43101</v>
      </c>
      <c r="D1838" t="s">
        <v>231</v>
      </c>
      <c r="E1838" t="s">
        <v>345</v>
      </c>
      <c r="F1838" t="s">
        <v>285</v>
      </c>
      <c r="G1838">
        <v>0</v>
      </c>
      <c r="H1838">
        <v>0</v>
      </c>
      <c r="K1838" t="s">
        <v>231</v>
      </c>
      <c r="L1838" t="s">
        <v>1</v>
      </c>
      <c r="M1838" s="156">
        <v>1</v>
      </c>
      <c r="N1838" s="180">
        <v>30</v>
      </c>
      <c r="O1838" s="180">
        <v>30</v>
      </c>
      <c r="P1838" s="180">
        <v>30</v>
      </c>
      <c r="Q1838" s="181" t="str">
        <f>IF(PEDIDOS[[#This Row],[Valor do item pago]]=PEDIDOS[[#This Row],[Total Item ]],"PAGO", "")</f>
        <v>PAGO</v>
      </c>
      <c r="S1838"/>
      <c r="V1838"/>
      <c r="X1838"/>
      <c r="AB1838"/>
    </row>
    <row r="1839" spans="1:28" ht="39.950000000000003" customHeight="1" x14ac:dyDescent="0.25">
      <c r="A1839" s="100"/>
      <c r="B1839">
        <v>23</v>
      </c>
      <c r="C1839" s="104">
        <v>43101</v>
      </c>
      <c r="D1839" t="s">
        <v>231</v>
      </c>
      <c r="E1839" t="s">
        <v>345</v>
      </c>
      <c r="F1839" t="s">
        <v>285</v>
      </c>
      <c r="G1839">
        <v>0</v>
      </c>
      <c r="H1839">
        <v>0</v>
      </c>
      <c r="K1839" t="s">
        <v>231</v>
      </c>
      <c r="L1839" t="s">
        <v>0</v>
      </c>
      <c r="M1839" s="156">
        <v>1</v>
      </c>
      <c r="N1839" s="180">
        <v>30</v>
      </c>
      <c r="O1839" s="180">
        <v>30</v>
      </c>
      <c r="P1839" s="180">
        <v>30</v>
      </c>
      <c r="Q1839" s="181" t="str">
        <f>IF(PEDIDOS[[#This Row],[Valor do item pago]]=PEDIDOS[[#This Row],[Total Item ]],"PAGO", "")</f>
        <v>PAGO</v>
      </c>
      <c r="S1839"/>
      <c r="V1839"/>
      <c r="X1839"/>
      <c r="AB1839"/>
    </row>
    <row r="1840" spans="1:28" ht="39.950000000000003" customHeight="1" x14ac:dyDescent="0.25">
      <c r="A1840" s="100"/>
      <c r="B1840">
        <v>22</v>
      </c>
      <c r="C1840" s="104">
        <v>43101</v>
      </c>
      <c r="D1840" t="s">
        <v>231</v>
      </c>
      <c r="E1840" t="s">
        <v>381</v>
      </c>
      <c r="F1840">
        <v>0</v>
      </c>
      <c r="G1840">
        <v>0</v>
      </c>
      <c r="H1840">
        <v>0</v>
      </c>
      <c r="K1840" t="s">
        <v>231</v>
      </c>
      <c r="L1840" t="s">
        <v>1</v>
      </c>
      <c r="M1840" s="156">
        <v>1</v>
      </c>
      <c r="N1840" s="180">
        <v>30</v>
      </c>
      <c r="O1840" s="180">
        <v>30</v>
      </c>
      <c r="P1840" s="180">
        <v>30</v>
      </c>
      <c r="Q1840" s="181" t="str">
        <f>IF(PEDIDOS[[#This Row],[Valor do item pago]]=PEDIDOS[[#This Row],[Total Item ]],"PAGO", "")</f>
        <v>PAGO</v>
      </c>
      <c r="S1840"/>
      <c r="V1840"/>
      <c r="X1840"/>
      <c r="AB1840"/>
    </row>
    <row r="1841" spans="1:28" ht="39.950000000000003" customHeight="1" x14ac:dyDescent="0.25">
      <c r="A1841" s="100"/>
      <c r="B1841">
        <v>21</v>
      </c>
      <c r="C1841" s="104">
        <v>43101</v>
      </c>
      <c r="D1841" t="s">
        <v>231</v>
      </c>
      <c r="E1841" t="s">
        <v>90</v>
      </c>
      <c r="F1841">
        <v>0</v>
      </c>
      <c r="G1841">
        <v>0</v>
      </c>
      <c r="H1841">
        <v>0</v>
      </c>
      <c r="J1841" t="s">
        <v>471</v>
      </c>
      <c r="L1841" t="s">
        <v>219</v>
      </c>
      <c r="M1841" s="156">
        <v>2</v>
      </c>
      <c r="N1841" s="180">
        <v>30</v>
      </c>
      <c r="O1841" s="180">
        <v>60</v>
      </c>
      <c r="P1841" s="180"/>
      <c r="Q1841" s="181" t="str">
        <f>IF(PEDIDOS[[#This Row],[Valor do item pago]]=PEDIDOS[[#This Row],[Total Item ]],"PAGO", "")</f>
        <v/>
      </c>
      <c r="S1841"/>
      <c r="V1841"/>
      <c r="X1841"/>
      <c r="AB1841"/>
    </row>
    <row r="1842" spans="1:28" ht="39.950000000000003" customHeight="1" x14ac:dyDescent="0.25">
      <c r="A1842" s="100"/>
      <c r="B1842">
        <v>20</v>
      </c>
      <c r="C1842" s="104">
        <v>43101</v>
      </c>
      <c r="D1842" t="s">
        <v>231</v>
      </c>
      <c r="E1842" t="s">
        <v>377</v>
      </c>
      <c r="F1842">
        <v>0</v>
      </c>
      <c r="G1842">
        <v>0</v>
      </c>
      <c r="H1842">
        <v>0</v>
      </c>
      <c r="K1842" t="s">
        <v>231</v>
      </c>
      <c r="L1842" t="s">
        <v>219</v>
      </c>
      <c r="M1842" s="156">
        <v>1</v>
      </c>
      <c r="N1842" s="180">
        <v>30</v>
      </c>
      <c r="O1842" s="180">
        <v>30</v>
      </c>
      <c r="P1842" s="180">
        <v>30</v>
      </c>
      <c r="Q1842" s="181" t="str">
        <f>IF(PEDIDOS[[#This Row],[Valor do item pago]]=PEDIDOS[[#This Row],[Total Item ]],"PAGO", "")</f>
        <v>PAGO</v>
      </c>
      <c r="S1842"/>
      <c r="V1842"/>
      <c r="X1842"/>
      <c r="AB1842"/>
    </row>
    <row r="1843" spans="1:28" ht="39.950000000000003" customHeight="1" x14ac:dyDescent="0.25">
      <c r="A1843" s="100"/>
      <c r="B1843">
        <v>19</v>
      </c>
      <c r="C1843" s="104">
        <v>43101</v>
      </c>
      <c r="D1843" t="s">
        <v>231</v>
      </c>
      <c r="E1843" t="s">
        <v>346</v>
      </c>
      <c r="F1843" t="s">
        <v>286</v>
      </c>
      <c r="G1843">
        <v>0</v>
      </c>
      <c r="H1843">
        <v>0</v>
      </c>
      <c r="K1843" t="s">
        <v>231</v>
      </c>
      <c r="L1843" t="s">
        <v>219</v>
      </c>
      <c r="M1843" s="156">
        <v>1</v>
      </c>
      <c r="N1843" s="180">
        <v>30</v>
      </c>
      <c r="O1843" s="180">
        <v>30</v>
      </c>
      <c r="P1843" s="180">
        <v>30</v>
      </c>
      <c r="Q1843" s="181" t="str">
        <f>IF(PEDIDOS[[#This Row],[Valor do item pago]]=PEDIDOS[[#This Row],[Total Item ]],"PAGO", "")</f>
        <v>PAGO</v>
      </c>
      <c r="S1843"/>
      <c r="V1843"/>
      <c r="X1843"/>
      <c r="AB1843"/>
    </row>
    <row r="1844" spans="1:28" ht="39.950000000000003" customHeight="1" x14ac:dyDescent="0.25">
      <c r="A1844" s="100"/>
      <c r="B1844">
        <v>18</v>
      </c>
      <c r="C1844" s="104">
        <v>43101</v>
      </c>
      <c r="D1844" t="s">
        <v>44</v>
      </c>
      <c r="E1844" t="s">
        <v>374</v>
      </c>
      <c r="F1844" t="s">
        <v>313</v>
      </c>
      <c r="G1844" t="s">
        <v>107</v>
      </c>
      <c r="H1844" t="s">
        <v>402</v>
      </c>
      <c r="K1844" t="s">
        <v>44</v>
      </c>
      <c r="L1844" t="s">
        <v>1</v>
      </c>
      <c r="M1844" s="156">
        <v>1</v>
      </c>
      <c r="N1844" s="180">
        <v>30</v>
      </c>
      <c r="O1844" s="180">
        <v>30</v>
      </c>
      <c r="P1844" s="180"/>
      <c r="Q1844" s="181" t="str">
        <f>IF(PEDIDOS[[#This Row],[Valor do item pago]]=PEDIDOS[[#This Row],[Total Item ]],"PAGO", "")</f>
        <v/>
      </c>
      <c r="S1844"/>
      <c r="V1844"/>
      <c r="X1844"/>
      <c r="AB1844"/>
    </row>
    <row r="1845" spans="1:28" ht="39.950000000000003" customHeight="1" x14ac:dyDescent="0.25">
      <c r="A1845" s="100"/>
      <c r="B1845">
        <v>18</v>
      </c>
      <c r="C1845" s="104">
        <v>43101</v>
      </c>
      <c r="D1845" t="s">
        <v>44</v>
      </c>
      <c r="E1845" t="s">
        <v>374</v>
      </c>
      <c r="F1845" t="s">
        <v>313</v>
      </c>
      <c r="G1845" t="s">
        <v>107</v>
      </c>
      <c r="H1845" t="s">
        <v>402</v>
      </c>
      <c r="K1845" t="s">
        <v>44</v>
      </c>
      <c r="L1845" t="s">
        <v>0</v>
      </c>
      <c r="M1845" s="156">
        <v>1</v>
      </c>
      <c r="N1845" s="180">
        <v>30</v>
      </c>
      <c r="O1845" s="180">
        <v>30</v>
      </c>
      <c r="P1845" s="180"/>
      <c r="Q1845" s="181" t="str">
        <f>IF(PEDIDOS[[#This Row],[Valor do item pago]]=PEDIDOS[[#This Row],[Total Item ]],"PAGO", "")</f>
        <v/>
      </c>
      <c r="S1845"/>
      <c r="V1845"/>
      <c r="X1845"/>
      <c r="AB1845"/>
    </row>
    <row r="1846" spans="1:28" ht="39.950000000000003" customHeight="1" x14ac:dyDescent="0.25">
      <c r="A1846" s="100"/>
      <c r="B1846">
        <v>15</v>
      </c>
      <c r="C1846" s="104">
        <v>43101</v>
      </c>
      <c r="D1846" t="s">
        <v>44</v>
      </c>
      <c r="E1846" t="s">
        <v>380</v>
      </c>
      <c r="F1846">
        <v>0</v>
      </c>
      <c r="G1846">
        <v>0</v>
      </c>
      <c r="H1846">
        <v>0</v>
      </c>
      <c r="K1846" t="s">
        <v>34</v>
      </c>
      <c r="L1846" t="s">
        <v>1</v>
      </c>
      <c r="M1846" s="156">
        <v>1</v>
      </c>
      <c r="N1846" s="180">
        <v>30</v>
      </c>
      <c r="O1846" s="180">
        <v>30</v>
      </c>
      <c r="P1846" s="180"/>
      <c r="Q1846" s="181" t="str">
        <f>IF(PEDIDOS[[#This Row],[Valor do item pago]]=PEDIDOS[[#This Row],[Total Item ]],"PAGO", "")</f>
        <v/>
      </c>
      <c r="S1846"/>
      <c r="V1846"/>
      <c r="X1846"/>
      <c r="AB1846"/>
    </row>
    <row r="1847" spans="1:28" ht="39.950000000000003" customHeight="1" x14ac:dyDescent="0.25">
      <c r="A1847" s="100"/>
      <c r="B1847">
        <v>13</v>
      </c>
      <c r="C1847" s="104">
        <v>43101</v>
      </c>
      <c r="D1847" t="s">
        <v>45</v>
      </c>
      <c r="E1847" t="s">
        <v>359</v>
      </c>
      <c r="F1847" t="s">
        <v>297</v>
      </c>
      <c r="G1847">
        <v>0</v>
      </c>
      <c r="H1847">
        <v>0</v>
      </c>
      <c r="J1847" t="s">
        <v>18</v>
      </c>
      <c r="K1847" t="s">
        <v>45</v>
      </c>
      <c r="L1847" t="s">
        <v>219</v>
      </c>
      <c r="M1847" s="156">
        <v>1</v>
      </c>
      <c r="N1847" s="180">
        <v>30</v>
      </c>
      <c r="O1847" s="180">
        <v>30</v>
      </c>
      <c r="P1847" s="180"/>
      <c r="Q1847" s="181" t="str">
        <f>IF(PEDIDOS[[#This Row],[Valor do item pago]]=PEDIDOS[[#This Row],[Total Item ]],"PAGO", "")</f>
        <v/>
      </c>
      <c r="S1847"/>
      <c r="V1847"/>
      <c r="X1847"/>
      <c r="AB1847"/>
    </row>
    <row r="1848" spans="1:28" ht="39.950000000000003" customHeight="1" x14ac:dyDescent="0.25">
      <c r="A1848" s="100"/>
      <c r="B1848">
        <v>12</v>
      </c>
      <c r="C1848" s="104">
        <v>43101</v>
      </c>
      <c r="D1848" t="s">
        <v>229</v>
      </c>
      <c r="E1848" t="s">
        <v>50</v>
      </c>
      <c r="F1848">
        <v>0</v>
      </c>
      <c r="G1848">
        <v>0</v>
      </c>
      <c r="H1848">
        <v>0</v>
      </c>
      <c r="J1848" t="s">
        <v>18</v>
      </c>
      <c r="K1848" t="s">
        <v>229</v>
      </c>
      <c r="L1848" t="s">
        <v>1</v>
      </c>
      <c r="M1848" s="156">
        <v>3</v>
      </c>
      <c r="N1848" s="180">
        <v>30</v>
      </c>
      <c r="O1848" s="180">
        <v>90</v>
      </c>
      <c r="P1848" s="180"/>
      <c r="Q1848" s="181" t="str">
        <f>IF(PEDIDOS[[#This Row],[Valor do item pago]]=PEDIDOS[[#This Row],[Total Item ]],"PAGO", "")</f>
        <v/>
      </c>
      <c r="S1848"/>
      <c r="V1848"/>
      <c r="X1848"/>
      <c r="AB1848"/>
    </row>
    <row r="1849" spans="1:28" ht="39.950000000000003" customHeight="1" x14ac:dyDescent="0.25">
      <c r="A1849" s="100"/>
      <c r="B1849">
        <v>12</v>
      </c>
      <c r="C1849" s="104">
        <v>43101</v>
      </c>
      <c r="D1849" t="s">
        <v>229</v>
      </c>
      <c r="E1849" t="s">
        <v>50</v>
      </c>
      <c r="F1849">
        <v>0</v>
      </c>
      <c r="G1849">
        <v>0</v>
      </c>
      <c r="H1849">
        <v>0</v>
      </c>
      <c r="J1849" t="s">
        <v>18</v>
      </c>
      <c r="K1849" t="s">
        <v>229</v>
      </c>
      <c r="L1849" t="s">
        <v>219</v>
      </c>
      <c r="M1849" s="156">
        <v>2</v>
      </c>
      <c r="N1849" s="180">
        <v>30</v>
      </c>
      <c r="O1849" s="180">
        <v>60</v>
      </c>
      <c r="P1849" s="180"/>
      <c r="Q1849" s="181" t="str">
        <f>IF(PEDIDOS[[#This Row],[Valor do item pago]]=PEDIDOS[[#This Row],[Total Item ]],"PAGO", "")</f>
        <v/>
      </c>
      <c r="S1849"/>
      <c r="V1849"/>
      <c r="X1849"/>
      <c r="AB1849"/>
    </row>
    <row r="1850" spans="1:28" ht="39.950000000000003" customHeight="1" x14ac:dyDescent="0.25">
      <c r="A1850" s="100"/>
      <c r="B1850">
        <v>12</v>
      </c>
      <c r="C1850" s="104">
        <v>43101</v>
      </c>
      <c r="D1850" t="s">
        <v>229</v>
      </c>
      <c r="E1850" t="s">
        <v>50</v>
      </c>
      <c r="F1850">
        <v>0</v>
      </c>
      <c r="G1850">
        <v>0</v>
      </c>
      <c r="H1850">
        <v>0</v>
      </c>
      <c r="J1850" t="s">
        <v>18</v>
      </c>
      <c r="K1850" t="s">
        <v>229</v>
      </c>
      <c r="L1850" t="s">
        <v>3</v>
      </c>
      <c r="M1850" s="156">
        <v>2</v>
      </c>
      <c r="N1850" s="180">
        <v>30</v>
      </c>
      <c r="O1850" s="180">
        <v>60</v>
      </c>
      <c r="P1850" s="180"/>
      <c r="Q1850" s="181" t="str">
        <f>IF(PEDIDOS[[#This Row],[Valor do item pago]]=PEDIDOS[[#This Row],[Total Item ]],"PAGO", "")</f>
        <v/>
      </c>
      <c r="S1850"/>
      <c r="V1850"/>
      <c r="X1850"/>
      <c r="AB1850"/>
    </row>
    <row r="1851" spans="1:28" ht="39.950000000000003" customHeight="1" x14ac:dyDescent="0.25">
      <c r="A1851" s="100"/>
      <c r="B1851">
        <v>9</v>
      </c>
      <c r="C1851" s="104">
        <v>43101</v>
      </c>
      <c r="D1851" t="s">
        <v>24</v>
      </c>
      <c r="E1851" t="s">
        <v>23</v>
      </c>
      <c r="F1851">
        <v>0</v>
      </c>
      <c r="G1851">
        <v>0</v>
      </c>
      <c r="H1851">
        <v>0</v>
      </c>
      <c r="J1851" t="s">
        <v>18</v>
      </c>
      <c r="K1851" t="s">
        <v>24</v>
      </c>
      <c r="L1851" t="s">
        <v>219</v>
      </c>
      <c r="M1851" s="156">
        <v>2</v>
      </c>
      <c r="N1851" s="180">
        <v>30</v>
      </c>
      <c r="O1851" s="180">
        <v>60</v>
      </c>
      <c r="P1851" s="180"/>
      <c r="Q1851" s="181" t="str">
        <f>IF(PEDIDOS[[#This Row],[Valor do item pago]]=PEDIDOS[[#This Row],[Total Item ]],"PAGO", "")</f>
        <v/>
      </c>
      <c r="S1851"/>
      <c r="V1851"/>
      <c r="X1851"/>
      <c r="AB1851"/>
    </row>
    <row r="1852" spans="1:28" ht="39.950000000000003" customHeight="1" x14ac:dyDescent="0.25">
      <c r="A1852" s="100"/>
      <c r="B1852">
        <v>7</v>
      </c>
      <c r="C1852" s="104">
        <v>43101</v>
      </c>
      <c r="D1852" t="s">
        <v>35</v>
      </c>
      <c r="E1852" t="s">
        <v>368</v>
      </c>
      <c r="F1852">
        <v>0</v>
      </c>
      <c r="G1852">
        <v>0</v>
      </c>
      <c r="H1852">
        <v>0</v>
      </c>
      <c r="K1852" t="s">
        <v>35</v>
      </c>
      <c r="L1852" t="s">
        <v>219</v>
      </c>
      <c r="M1852" s="156">
        <v>2</v>
      </c>
      <c r="N1852" s="180">
        <v>30</v>
      </c>
      <c r="O1852" s="180">
        <v>60</v>
      </c>
      <c r="P1852" s="180"/>
      <c r="Q1852" s="181" t="str">
        <f>IF(PEDIDOS[[#This Row],[Valor do item pago]]=PEDIDOS[[#This Row],[Total Item ]],"PAGO", "")</f>
        <v/>
      </c>
      <c r="S1852"/>
      <c r="V1852"/>
      <c r="X1852"/>
      <c r="AB1852"/>
    </row>
    <row r="1853" spans="1:28" ht="39.950000000000003" customHeight="1" x14ac:dyDescent="0.25">
      <c r="A1853" s="100"/>
      <c r="B1853">
        <v>6</v>
      </c>
      <c r="C1853" s="104">
        <v>43101</v>
      </c>
      <c r="D1853" t="s">
        <v>35</v>
      </c>
      <c r="E1853" t="s">
        <v>35</v>
      </c>
      <c r="F1853">
        <v>0</v>
      </c>
      <c r="G1853">
        <v>0</v>
      </c>
      <c r="H1853">
        <v>0</v>
      </c>
      <c r="J1853" t="s">
        <v>18</v>
      </c>
      <c r="K1853" t="s">
        <v>35</v>
      </c>
      <c r="L1853" t="s">
        <v>219</v>
      </c>
      <c r="M1853" s="156">
        <v>2</v>
      </c>
      <c r="N1853" s="180">
        <v>30</v>
      </c>
      <c r="O1853" s="180">
        <v>60</v>
      </c>
      <c r="P1853" s="180"/>
      <c r="Q1853" s="181" t="str">
        <f>IF(PEDIDOS[[#This Row],[Valor do item pago]]=PEDIDOS[[#This Row],[Total Item ]],"PAGO", "")</f>
        <v/>
      </c>
      <c r="S1853"/>
      <c r="V1853"/>
      <c r="X1853"/>
      <c r="AB1853"/>
    </row>
    <row r="1854" spans="1:28" ht="39.950000000000003" customHeight="1" x14ac:dyDescent="0.25">
      <c r="A1854" s="100"/>
      <c r="B1854">
        <v>5</v>
      </c>
      <c r="C1854" s="104">
        <v>43101</v>
      </c>
      <c r="D1854" t="s">
        <v>49</v>
      </c>
      <c r="E1854" t="s">
        <v>358</v>
      </c>
      <c r="F1854" t="s">
        <v>296</v>
      </c>
      <c r="G1854" t="s">
        <v>76</v>
      </c>
      <c r="H1854" t="s">
        <v>84</v>
      </c>
      <c r="K1854" t="s">
        <v>49</v>
      </c>
      <c r="L1854" t="s">
        <v>1</v>
      </c>
      <c r="M1854" s="156">
        <v>1</v>
      </c>
      <c r="N1854" s="180">
        <v>30</v>
      </c>
      <c r="O1854" s="180">
        <v>30</v>
      </c>
      <c r="P1854" s="180"/>
      <c r="Q1854" s="181" t="str">
        <f>IF(PEDIDOS[[#This Row],[Valor do item pago]]=PEDIDOS[[#This Row],[Total Item ]],"PAGO", "")</f>
        <v/>
      </c>
      <c r="S1854"/>
      <c r="V1854"/>
      <c r="X1854"/>
      <c r="AB1854"/>
    </row>
    <row r="1855" spans="1:28" ht="39.950000000000003" customHeight="1" x14ac:dyDescent="0.25">
      <c r="A1855" s="100"/>
      <c r="B1855">
        <v>5</v>
      </c>
      <c r="C1855" s="104">
        <v>43101</v>
      </c>
      <c r="D1855" t="s">
        <v>49</v>
      </c>
      <c r="E1855" t="s">
        <v>358</v>
      </c>
      <c r="F1855" t="s">
        <v>296</v>
      </c>
      <c r="G1855" t="s">
        <v>76</v>
      </c>
      <c r="H1855" t="s">
        <v>84</v>
      </c>
      <c r="K1855" t="s">
        <v>49</v>
      </c>
      <c r="L1855" t="s">
        <v>0</v>
      </c>
      <c r="M1855" s="156">
        <v>1</v>
      </c>
      <c r="N1855" s="180">
        <v>30</v>
      </c>
      <c r="O1855" s="180">
        <v>30</v>
      </c>
      <c r="P1855" s="180"/>
      <c r="Q1855" s="181" t="str">
        <f>IF(PEDIDOS[[#This Row],[Valor do item pago]]=PEDIDOS[[#This Row],[Total Item ]],"PAGO", "")</f>
        <v/>
      </c>
      <c r="S1855"/>
      <c r="V1855"/>
      <c r="X1855"/>
      <c r="AB1855"/>
    </row>
    <row r="1856" spans="1:28" ht="39.950000000000003" customHeight="1" x14ac:dyDescent="0.25">
      <c r="A1856" s="100"/>
      <c r="B1856">
        <v>4</v>
      </c>
      <c r="C1856" s="104">
        <v>43101</v>
      </c>
      <c r="D1856" t="s">
        <v>49</v>
      </c>
      <c r="E1856" t="s">
        <v>372</v>
      </c>
      <c r="F1856" t="s">
        <v>324</v>
      </c>
      <c r="G1856">
        <v>0</v>
      </c>
      <c r="H1856">
        <v>0</v>
      </c>
      <c r="J1856" t="s">
        <v>410</v>
      </c>
      <c r="K1856" t="s">
        <v>49</v>
      </c>
      <c r="L1856" t="s">
        <v>1</v>
      </c>
      <c r="M1856" s="156">
        <v>1</v>
      </c>
      <c r="N1856" s="180">
        <v>30</v>
      </c>
      <c r="O1856" s="180">
        <v>30</v>
      </c>
      <c r="P1856" s="180"/>
      <c r="Q1856" s="181" t="str">
        <f>IF(PEDIDOS[[#This Row],[Valor do item pago]]=PEDIDOS[[#This Row],[Total Item ]],"PAGO", "")</f>
        <v/>
      </c>
      <c r="S1856"/>
      <c r="V1856"/>
      <c r="X1856"/>
      <c r="AB1856"/>
    </row>
    <row r="1857" spans="1:28" ht="39.950000000000003" customHeight="1" x14ac:dyDescent="0.25">
      <c r="A1857" s="100"/>
      <c r="B1857">
        <v>4</v>
      </c>
      <c r="C1857" s="104">
        <v>43101</v>
      </c>
      <c r="D1857" t="s">
        <v>49</v>
      </c>
      <c r="E1857" t="s">
        <v>372</v>
      </c>
      <c r="F1857" t="s">
        <v>324</v>
      </c>
      <c r="G1857">
        <v>0</v>
      </c>
      <c r="H1857">
        <v>0</v>
      </c>
      <c r="J1857" t="s">
        <v>410</v>
      </c>
      <c r="K1857" t="s">
        <v>49</v>
      </c>
      <c r="L1857" t="s">
        <v>219</v>
      </c>
      <c r="M1857" s="156">
        <v>1</v>
      </c>
      <c r="N1857" s="180">
        <v>30</v>
      </c>
      <c r="O1857" s="180">
        <v>30</v>
      </c>
      <c r="P1857" s="180"/>
      <c r="Q1857" s="181" t="str">
        <f>IF(PEDIDOS[[#This Row],[Valor do item pago]]=PEDIDOS[[#This Row],[Total Item ]],"PAGO", "")</f>
        <v/>
      </c>
      <c r="S1857"/>
      <c r="V1857"/>
      <c r="X1857"/>
      <c r="AB1857"/>
    </row>
    <row r="1858" spans="1:28" ht="39.950000000000003" customHeight="1" x14ac:dyDescent="0.25">
      <c r="A1858" s="100"/>
      <c r="B1858">
        <v>4</v>
      </c>
      <c r="C1858" s="104">
        <v>43101</v>
      </c>
      <c r="D1858" t="s">
        <v>49</v>
      </c>
      <c r="E1858" t="s">
        <v>372</v>
      </c>
      <c r="F1858" t="s">
        <v>324</v>
      </c>
      <c r="G1858">
        <v>0</v>
      </c>
      <c r="H1858">
        <v>0</v>
      </c>
      <c r="J1858" t="s">
        <v>410</v>
      </c>
      <c r="K1858" t="s">
        <v>49</v>
      </c>
      <c r="L1858" t="s">
        <v>3</v>
      </c>
      <c r="M1858" s="156">
        <v>1</v>
      </c>
      <c r="N1858" s="180">
        <v>30</v>
      </c>
      <c r="O1858" s="180">
        <v>30</v>
      </c>
      <c r="P1858" s="180"/>
      <c r="Q1858" s="181" t="str">
        <f>IF(PEDIDOS[[#This Row],[Valor do item pago]]=PEDIDOS[[#This Row],[Total Item ]],"PAGO", "")</f>
        <v/>
      </c>
      <c r="S1858"/>
      <c r="V1858"/>
      <c r="X1858"/>
      <c r="AB1858"/>
    </row>
    <row r="1859" spans="1:28" ht="39.950000000000003" customHeight="1" x14ac:dyDescent="0.25">
      <c r="A1859" s="100"/>
      <c r="B1859">
        <v>3</v>
      </c>
      <c r="C1859" s="104">
        <v>43101</v>
      </c>
      <c r="D1859" t="s">
        <v>49</v>
      </c>
      <c r="E1859" t="s">
        <v>349</v>
      </c>
      <c r="F1859" t="s">
        <v>289</v>
      </c>
      <c r="G1859" t="s">
        <v>72</v>
      </c>
      <c r="H1859" t="s">
        <v>393</v>
      </c>
      <c r="K1859" t="s">
        <v>49</v>
      </c>
      <c r="L1859" t="s">
        <v>1</v>
      </c>
      <c r="M1859" s="156">
        <v>1</v>
      </c>
      <c r="N1859" s="180">
        <v>30</v>
      </c>
      <c r="O1859" s="180">
        <v>30</v>
      </c>
      <c r="P1859" s="180"/>
      <c r="Q1859" s="181" t="str">
        <f>IF(PEDIDOS[[#This Row],[Valor do item pago]]=PEDIDOS[[#This Row],[Total Item ]],"PAGO", "")</f>
        <v/>
      </c>
      <c r="S1859"/>
      <c r="V1859"/>
      <c r="X1859"/>
      <c r="AB1859"/>
    </row>
    <row r="1860" spans="1:28" ht="39.950000000000003" customHeight="1" x14ac:dyDescent="0.25">
      <c r="A1860" s="100"/>
      <c r="B1860">
        <v>3</v>
      </c>
      <c r="C1860" s="104">
        <v>43101</v>
      </c>
      <c r="D1860" t="s">
        <v>49</v>
      </c>
      <c r="E1860" t="s">
        <v>349</v>
      </c>
      <c r="F1860" t="s">
        <v>289</v>
      </c>
      <c r="G1860" t="s">
        <v>72</v>
      </c>
      <c r="H1860" t="s">
        <v>393</v>
      </c>
      <c r="K1860" t="s">
        <v>49</v>
      </c>
      <c r="L1860" t="s">
        <v>219</v>
      </c>
      <c r="M1860" s="156">
        <v>1</v>
      </c>
      <c r="N1860" s="180">
        <v>30</v>
      </c>
      <c r="O1860" s="180">
        <v>30</v>
      </c>
      <c r="P1860" s="180"/>
      <c r="Q1860" s="181" t="str">
        <f>IF(PEDIDOS[[#This Row],[Valor do item pago]]=PEDIDOS[[#This Row],[Total Item ]],"PAGO", "")</f>
        <v/>
      </c>
      <c r="S1860"/>
      <c r="V1860"/>
      <c r="X1860"/>
      <c r="AB1860"/>
    </row>
    <row r="1861" spans="1:28" ht="39.950000000000003" customHeight="1" x14ac:dyDescent="0.25">
      <c r="A1861" s="100"/>
      <c r="B1861">
        <v>258</v>
      </c>
      <c r="C1861" s="104">
        <v>43258</v>
      </c>
      <c r="D1861" t="s">
        <v>24</v>
      </c>
      <c r="E1861" t="s">
        <v>23</v>
      </c>
      <c r="F1861">
        <v>0</v>
      </c>
      <c r="G1861">
        <v>0</v>
      </c>
      <c r="H1861">
        <v>0</v>
      </c>
      <c r="K1861" t="s">
        <v>24</v>
      </c>
      <c r="L1861" t="s">
        <v>219</v>
      </c>
      <c r="M1861" s="178">
        <v>3</v>
      </c>
      <c r="N1861" s="179">
        <v>30</v>
      </c>
      <c r="O1861" s="179">
        <v>90</v>
      </c>
      <c r="P1861" s="179"/>
      <c r="Q1861" s="180" t="str">
        <f>IF(PEDIDOS[[#This Row],[Valor do item pago]]=PEDIDOS[[#This Row],[Total Item ]],"PAGO", "")</f>
        <v/>
      </c>
      <c r="S1861"/>
      <c r="V1861"/>
      <c r="X1861"/>
      <c r="AB1861"/>
    </row>
    <row r="1862" spans="1:28" ht="39.950000000000003" customHeight="1" x14ac:dyDescent="0.25">
      <c r="A1862" s="100"/>
      <c r="B1862">
        <v>257</v>
      </c>
      <c r="C1862" s="104">
        <v>43258</v>
      </c>
      <c r="D1862" t="s">
        <v>47</v>
      </c>
      <c r="E1862" t="s">
        <v>37</v>
      </c>
      <c r="F1862" t="s">
        <v>321</v>
      </c>
      <c r="G1862" t="s">
        <v>15</v>
      </c>
      <c r="H1862" t="s">
        <v>459</v>
      </c>
      <c r="I1862" t="s">
        <v>458</v>
      </c>
      <c r="K1862" t="s">
        <v>47</v>
      </c>
      <c r="L1862" t="s">
        <v>3</v>
      </c>
      <c r="M1862" s="178">
        <v>1</v>
      </c>
      <c r="N1862" s="179">
        <v>30</v>
      </c>
      <c r="O1862" s="179">
        <v>30</v>
      </c>
      <c r="P1862" s="179"/>
      <c r="Q1862" s="180" t="str">
        <f>IF(PEDIDOS[[#This Row],[Valor do item pago]]=PEDIDOS[[#This Row],[Total Item ]],"PAGO", "")</f>
        <v/>
      </c>
      <c r="S1862"/>
      <c r="V1862"/>
      <c r="X1862"/>
      <c r="AB1862"/>
    </row>
    <row r="1863" spans="1:28" ht="39.950000000000003" customHeight="1" x14ac:dyDescent="0.25">
      <c r="A1863" s="100"/>
      <c r="B1863">
        <v>256</v>
      </c>
      <c r="C1863" s="104">
        <v>43258</v>
      </c>
      <c r="D1863" t="s">
        <v>60</v>
      </c>
      <c r="E1863" t="s">
        <v>799</v>
      </c>
      <c r="F1863" t="s">
        <v>800</v>
      </c>
      <c r="G1863" t="s">
        <v>801</v>
      </c>
      <c r="H1863" t="s">
        <v>544</v>
      </c>
      <c r="I1863" t="s">
        <v>802</v>
      </c>
      <c r="K1863" t="s">
        <v>60</v>
      </c>
      <c r="L1863" t="s">
        <v>219</v>
      </c>
      <c r="M1863" s="178">
        <v>1</v>
      </c>
      <c r="N1863" s="179">
        <v>30</v>
      </c>
      <c r="O1863" s="179">
        <v>30</v>
      </c>
      <c r="P1863" s="179"/>
      <c r="Q1863" s="180" t="str">
        <f>IF(PEDIDOS[[#This Row],[Valor do item pago]]=PEDIDOS[[#This Row],[Total Item ]],"PAGO", "")</f>
        <v/>
      </c>
      <c r="S1863"/>
      <c r="V1863"/>
      <c r="X1863"/>
      <c r="AB1863"/>
    </row>
    <row r="1864" spans="1:28" ht="39.950000000000003" customHeight="1" x14ac:dyDescent="0.25">
      <c r="A1864" s="100"/>
      <c r="B1864">
        <v>255</v>
      </c>
      <c r="C1864" s="104">
        <v>43258</v>
      </c>
      <c r="D1864" t="s">
        <v>60</v>
      </c>
      <c r="E1864" t="s">
        <v>758</v>
      </c>
      <c r="F1864">
        <v>0</v>
      </c>
      <c r="G1864" t="s">
        <v>763</v>
      </c>
      <c r="H1864">
        <v>0</v>
      </c>
      <c r="K1864" t="s">
        <v>60</v>
      </c>
      <c r="L1864" t="s">
        <v>3</v>
      </c>
      <c r="M1864" s="178">
        <v>1</v>
      </c>
      <c r="N1864" s="179">
        <v>30</v>
      </c>
      <c r="O1864" s="179">
        <v>30</v>
      </c>
      <c r="P1864" s="179"/>
      <c r="Q1864" s="180" t="str">
        <f>IF(PEDIDOS[[#This Row],[Valor do item pago]]=PEDIDOS[[#This Row],[Total Item ]],"PAGO", "")</f>
        <v/>
      </c>
      <c r="S1864"/>
      <c r="V1864"/>
      <c r="X1864"/>
      <c r="AB1864"/>
    </row>
    <row r="1865" spans="1:28" ht="39.950000000000003" customHeight="1" x14ac:dyDescent="0.25">
      <c r="A1865" s="100"/>
      <c r="B1865">
        <v>45</v>
      </c>
      <c r="C1865" s="104">
        <v>43101</v>
      </c>
      <c r="D1865" t="s">
        <v>48</v>
      </c>
      <c r="E1865" t="s">
        <v>215</v>
      </c>
      <c r="F1865" t="s">
        <v>320</v>
      </c>
      <c r="G1865" t="s">
        <v>124</v>
      </c>
      <c r="H1865" t="s">
        <v>402</v>
      </c>
      <c r="I1865" t="s">
        <v>457</v>
      </c>
      <c r="L1865" t="s">
        <v>219</v>
      </c>
      <c r="M1865" s="156">
        <v>1</v>
      </c>
      <c r="N1865" s="180">
        <v>30</v>
      </c>
      <c r="O1865" s="180">
        <v>30</v>
      </c>
      <c r="P1865" s="180">
        <v>30</v>
      </c>
      <c r="Q1865" s="181" t="str">
        <f>IF(PEDIDOS[[#This Row],[Valor do item pago]]=PEDIDOS[[#This Row],[Total Item ]],"PAGO", "ABERTO")</f>
        <v>PAGO</v>
      </c>
      <c r="S1865"/>
      <c r="V1865"/>
      <c r="X1865"/>
      <c r="AB1865"/>
    </row>
    <row r="1866" spans="1:28" ht="39.950000000000003" customHeight="1" x14ac:dyDescent="0.25">
      <c r="A1866" s="100"/>
      <c r="B1866">
        <v>254</v>
      </c>
      <c r="C1866" s="104">
        <v>43258</v>
      </c>
      <c r="D1866" t="s">
        <v>60</v>
      </c>
      <c r="E1866" t="s">
        <v>757</v>
      </c>
      <c r="F1866">
        <v>0</v>
      </c>
      <c r="G1866" t="s">
        <v>763</v>
      </c>
      <c r="H1866">
        <v>0</v>
      </c>
      <c r="K1866" t="s">
        <v>60</v>
      </c>
      <c r="L1866" t="s">
        <v>1</v>
      </c>
      <c r="M1866" s="178">
        <v>1</v>
      </c>
      <c r="N1866" s="179">
        <v>30</v>
      </c>
      <c r="O1866" s="179">
        <v>30</v>
      </c>
      <c r="P1866" s="179">
        <v>30</v>
      </c>
      <c r="Q1866" s="180" t="str">
        <f>IF(PEDIDOS[[#This Row],[Valor do item pago]]=PEDIDOS[[#This Row],[Total Item ]],"PAGO", "")</f>
        <v>PAGO</v>
      </c>
      <c r="S1866"/>
      <c r="V1866"/>
      <c r="X1866"/>
      <c r="AB1866"/>
    </row>
    <row r="1867" spans="1:28" ht="39.950000000000003" customHeight="1" x14ac:dyDescent="0.25">
      <c r="A1867" s="100"/>
      <c r="B1867">
        <v>40</v>
      </c>
      <c r="C1867" s="104">
        <v>43101</v>
      </c>
      <c r="D1867" t="s">
        <v>185</v>
      </c>
      <c r="E1867" t="s">
        <v>350</v>
      </c>
      <c r="F1867" t="s">
        <v>290</v>
      </c>
      <c r="G1867" t="s">
        <v>63</v>
      </c>
      <c r="H1867" t="s">
        <v>394</v>
      </c>
      <c r="I1867" t="s">
        <v>424</v>
      </c>
      <c r="L1867" t="s">
        <v>0</v>
      </c>
      <c r="M1867" s="156">
        <v>1</v>
      </c>
      <c r="N1867" s="180">
        <v>30</v>
      </c>
      <c r="O1867" s="180">
        <v>30</v>
      </c>
      <c r="P1867" s="180"/>
      <c r="Q1867" s="181" t="str">
        <f>IF(PEDIDOS[[#This Row],[Valor do item pago]]=PEDIDOS[[#This Row],[Total Item ]],"PAGO", "ABERTO")</f>
        <v>ABERTO</v>
      </c>
      <c r="S1867"/>
      <c r="V1867"/>
      <c r="X1867"/>
      <c r="AB1867"/>
    </row>
    <row r="1868" spans="1:28" ht="39.950000000000003" customHeight="1" x14ac:dyDescent="0.25">
      <c r="A1868" s="100"/>
      <c r="B1868">
        <v>253</v>
      </c>
      <c r="C1868" s="104">
        <v>43258</v>
      </c>
      <c r="D1868" t="s">
        <v>60</v>
      </c>
      <c r="E1868" t="s">
        <v>756</v>
      </c>
      <c r="F1868">
        <v>0</v>
      </c>
      <c r="G1868" t="s">
        <v>763</v>
      </c>
      <c r="H1868">
        <v>0</v>
      </c>
      <c r="K1868" t="s">
        <v>60</v>
      </c>
      <c r="L1868" t="s">
        <v>219</v>
      </c>
      <c r="M1868" s="178">
        <v>1</v>
      </c>
      <c r="N1868" s="179">
        <v>30</v>
      </c>
      <c r="O1868" s="179">
        <v>30</v>
      </c>
      <c r="P1868" s="179"/>
      <c r="Q1868" s="180" t="str">
        <f>IF(PEDIDOS[[#This Row],[Valor do item pago]]=PEDIDOS[[#This Row],[Total Item ]],"PAGO", "")</f>
        <v/>
      </c>
      <c r="S1868"/>
      <c r="V1868"/>
      <c r="X1868"/>
      <c r="AB1868"/>
    </row>
    <row r="1869" spans="1:28" ht="39.950000000000003" customHeight="1" x14ac:dyDescent="0.25">
      <c r="A1869" s="100"/>
      <c r="B1869">
        <v>252</v>
      </c>
      <c r="C1869" s="104">
        <v>43258</v>
      </c>
      <c r="D1869" t="s">
        <v>60</v>
      </c>
      <c r="E1869" t="s">
        <v>755</v>
      </c>
      <c r="F1869">
        <v>0</v>
      </c>
      <c r="G1869" t="s">
        <v>763</v>
      </c>
      <c r="H1869">
        <v>0</v>
      </c>
      <c r="K1869" t="s">
        <v>60</v>
      </c>
      <c r="L1869" t="s">
        <v>219</v>
      </c>
      <c r="M1869" s="178">
        <v>1</v>
      </c>
      <c r="N1869" s="179">
        <v>30</v>
      </c>
      <c r="O1869" s="179">
        <v>30</v>
      </c>
      <c r="P1869" s="179"/>
      <c r="Q1869" s="180" t="str">
        <f>IF(PEDIDOS[[#This Row],[Valor do item pago]]=PEDIDOS[[#This Row],[Total Item ]],"PAGO", "")</f>
        <v/>
      </c>
      <c r="S1869"/>
      <c r="V1869"/>
      <c r="X1869"/>
      <c r="AB1869"/>
    </row>
    <row r="1870" spans="1:28" ht="39.950000000000003" customHeight="1" x14ac:dyDescent="0.25">
      <c r="A1870" s="100"/>
      <c r="B1870">
        <v>251</v>
      </c>
      <c r="C1870" s="104">
        <v>43258</v>
      </c>
      <c r="D1870" t="s">
        <v>60</v>
      </c>
      <c r="E1870" t="s">
        <v>762</v>
      </c>
      <c r="F1870">
        <v>0</v>
      </c>
      <c r="G1870" t="s">
        <v>763</v>
      </c>
      <c r="H1870">
        <v>0</v>
      </c>
      <c r="L1870" t="s">
        <v>3</v>
      </c>
      <c r="M1870" s="178">
        <v>1</v>
      </c>
      <c r="N1870" s="179">
        <v>30</v>
      </c>
      <c r="O1870" s="179">
        <v>30</v>
      </c>
      <c r="P1870" s="179"/>
      <c r="Q1870" s="180" t="str">
        <f>IF(PEDIDOS[[#This Row],[Valor do item pago]]=PEDIDOS[[#This Row],[Total Item ]],"PAGO", "")</f>
        <v/>
      </c>
      <c r="S1870"/>
      <c r="V1870"/>
      <c r="X1870"/>
      <c r="AB1870"/>
    </row>
    <row r="1871" spans="1:28" ht="39.950000000000003" customHeight="1" x14ac:dyDescent="0.25">
      <c r="A1871" s="100"/>
      <c r="B1871">
        <v>251</v>
      </c>
      <c r="C1871" s="104">
        <v>43258</v>
      </c>
      <c r="D1871" t="s">
        <v>60</v>
      </c>
      <c r="E1871" t="s">
        <v>762</v>
      </c>
      <c r="F1871">
        <v>0</v>
      </c>
      <c r="G1871" t="s">
        <v>763</v>
      </c>
      <c r="H1871">
        <v>0</v>
      </c>
      <c r="L1871" t="s">
        <v>219</v>
      </c>
      <c r="M1871" s="178">
        <v>1</v>
      </c>
      <c r="N1871" s="179">
        <v>30</v>
      </c>
      <c r="O1871" s="179">
        <v>30</v>
      </c>
      <c r="P1871" s="179"/>
      <c r="Q1871" s="180" t="str">
        <f>IF(PEDIDOS[[#This Row],[Valor do item pago]]=PEDIDOS[[#This Row],[Total Item ]],"PAGO", "")</f>
        <v/>
      </c>
      <c r="S1871"/>
      <c r="V1871"/>
      <c r="X1871"/>
      <c r="AB1871"/>
    </row>
    <row r="1872" spans="1:28" ht="39.950000000000003" customHeight="1" x14ac:dyDescent="0.25">
      <c r="A1872" s="100"/>
      <c r="B1872">
        <v>250</v>
      </c>
      <c r="C1872" s="104">
        <v>43258</v>
      </c>
      <c r="D1872" t="s">
        <v>60</v>
      </c>
      <c r="E1872" t="s">
        <v>770</v>
      </c>
      <c r="F1872" t="s">
        <v>769</v>
      </c>
      <c r="G1872" t="s">
        <v>795</v>
      </c>
      <c r="H1872" t="s">
        <v>797</v>
      </c>
      <c r="I1872" t="s">
        <v>796</v>
      </c>
      <c r="L1872" t="s">
        <v>219</v>
      </c>
      <c r="M1872" s="178">
        <v>1</v>
      </c>
      <c r="N1872" s="179">
        <v>30</v>
      </c>
      <c r="O1872" s="179">
        <v>30</v>
      </c>
      <c r="P1872" s="179">
        <v>30</v>
      </c>
      <c r="Q1872" s="180" t="str">
        <f>IF(PEDIDOS[[#This Row],[Valor do item pago]]=PEDIDOS[[#This Row],[Total Item ]],"PAGO", "")</f>
        <v>PAGO</v>
      </c>
      <c r="S1872"/>
      <c r="V1872"/>
      <c r="X1872"/>
      <c r="AB1872"/>
    </row>
    <row r="1873" spans="1:28" ht="39.950000000000003" customHeight="1" x14ac:dyDescent="0.25">
      <c r="A1873" s="100"/>
      <c r="B1873">
        <v>164</v>
      </c>
      <c r="C1873" s="104">
        <v>43196</v>
      </c>
      <c r="D1873" t="s">
        <v>49</v>
      </c>
      <c r="E1873" t="s">
        <v>611</v>
      </c>
      <c r="F1873" t="s">
        <v>276</v>
      </c>
      <c r="G1873" t="s">
        <v>66</v>
      </c>
      <c r="H1873" t="s">
        <v>390</v>
      </c>
      <c r="I1873" t="s">
        <v>253</v>
      </c>
      <c r="L1873" t="s">
        <v>3</v>
      </c>
      <c r="M1873" s="178">
        <v>1</v>
      </c>
      <c r="N1873" s="179">
        <v>30</v>
      </c>
      <c r="O1873" s="179">
        <v>30</v>
      </c>
      <c r="P1873" s="179"/>
      <c r="Q1873" s="180"/>
      <c r="S1873"/>
      <c r="V1873"/>
      <c r="X1873"/>
      <c r="AB1873"/>
    </row>
    <row r="1874" spans="1:28" ht="39.950000000000003" customHeight="1" x14ac:dyDescent="0.25">
      <c r="A1874" s="100"/>
      <c r="B1874">
        <v>1</v>
      </c>
      <c r="C1874" s="104">
        <v>43101</v>
      </c>
      <c r="D1874" t="s">
        <v>49</v>
      </c>
      <c r="E1874" t="s">
        <v>354</v>
      </c>
      <c r="F1874" t="s">
        <v>276</v>
      </c>
      <c r="G1874" t="s">
        <v>66</v>
      </c>
      <c r="H1874" t="s">
        <v>390</v>
      </c>
      <c r="I1874" t="s">
        <v>253</v>
      </c>
      <c r="K1874" t="s">
        <v>49</v>
      </c>
      <c r="L1874" t="s">
        <v>3</v>
      </c>
      <c r="M1874" s="156">
        <v>2</v>
      </c>
      <c r="N1874" s="180">
        <v>30</v>
      </c>
      <c r="O1874" s="180">
        <v>60</v>
      </c>
      <c r="P1874" s="180"/>
      <c r="Q1874" s="181" t="str">
        <f>IF(PEDIDOS[[#This Row],[Valor do item pago]]=PEDIDOS[[#This Row],[Total Item ]],"PAGO", "ABERTO")</f>
        <v>ABERTO</v>
      </c>
      <c r="S1874"/>
      <c r="V1874"/>
      <c r="X1874"/>
      <c r="AB1874"/>
    </row>
    <row r="1875" spans="1:28" ht="39.950000000000003" customHeight="1" x14ac:dyDescent="0.25">
      <c r="A1875" s="100"/>
      <c r="B1875">
        <v>249</v>
      </c>
      <c r="C1875" s="104">
        <v>43258</v>
      </c>
      <c r="D1875" t="s">
        <v>60</v>
      </c>
      <c r="E1875" t="s">
        <v>761</v>
      </c>
      <c r="F1875" t="s">
        <v>798</v>
      </c>
      <c r="G1875" t="s">
        <v>785</v>
      </c>
      <c r="H1875" t="s">
        <v>784</v>
      </c>
      <c r="I1875" t="s">
        <v>789</v>
      </c>
      <c r="L1875" t="s">
        <v>219</v>
      </c>
      <c r="M1875" s="178">
        <v>1</v>
      </c>
      <c r="N1875" s="179">
        <v>30</v>
      </c>
      <c r="O1875" s="179">
        <v>30</v>
      </c>
      <c r="P1875" s="179">
        <v>30</v>
      </c>
      <c r="Q1875" s="180" t="str">
        <f>IF(PEDIDOS[[#This Row],[Valor do item pago]]=PEDIDOS[[#This Row],[Total Item ]],"PAGO", "")</f>
        <v>PAGO</v>
      </c>
      <c r="S1875"/>
      <c r="V1875"/>
      <c r="X1875"/>
      <c r="AB1875"/>
    </row>
    <row r="1876" spans="1:28" ht="39.950000000000003" customHeight="1" x14ac:dyDescent="0.25">
      <c r="A1876" s="100"/>
      <c r="B1876">
        <v>160</v>
      </c>
      <c r="C1876" s="104">
        <v>43196</v>
      </c>
      <c r="D1876" t="s">
        <v>48</v>
      </c>
      <c r="E1876" t="s">
        <v>211</v>
      </c>
      <c r="F1876" t="s">
        <v>293</v>
      </c>
      <c r="G1876" t="s">
        <v>82</v>
      </c>
      <c r="H1876" t="s">
        <v>390</v>
      </c>
      <c r="I1876" t="s">
        <v>252</v>
      </c>
      <c r="L1876" t="s">
        <v>219</v>
      </c>
      <c r="M1876" s="178">
        <v>1</v>
      </c>
      <c r="N1876" s="179">
        <v>30</v>
      </c>
      <c r="O1876" s="179">
        <v>30</v>
      </c>
      <c r="P1876" s="179">
        <v>30</v>
      </c>
      <c r="Q1876" s="180"/>
      <c r="S1876"/>
      <c r="V1876"/>
      <c r="X1876"/>
      <c r="AB1876"/>
    </row>
    <row r="1877" spans="1:28" ht="39.950000000000003" customHeight="1" x14ac:dyDescent="0.25">
      <c r="A1877" s="100"/>
      <c r="B1877">
        <v>41</v>
      </c>
      <c r="C1877" s="104">
        <v>43101</v>
      </c>
      <c r="D1877" t="s">
        <v>48</v>
      </c>
      <c r="E1877" t="s">
        <v>211</v>
      </c>
      <c r="F1877" t="s">
        <v>293</v>
      </c>
      <c r="G1877" t="s">
        <v>82</v>
      </c>
      <c r="H1877" t="s">
        <v>390</v>
      </c>
      <c r="I1877" t="s">
        <v>252</v>
      </c>
      <c r="L1877" t="s">
        <v>219</v>
      </c>
      <c r="M1877" s="156">
        <v>1</v>
      </c>
      <c r="N1877" s="180">
        <v>30</v>
      </c>
      <c r="O1877" s="180">
        <v>30</v>
      </c>
      <c r="P1877" s="180">
        <v>30</v>
      </c>
      <c r="Q1877" s="181" t="str">
        <f>IF(PEDIDOS[[#This Row],[Valor do item pago]]=PEDIDOS[[#This Row],[Total Item ]],"PAGO", "ABERTO")</f>
        <v>PAGO</v>
      </c>
      <c r="S1877"/>
      <c r="V1877"/>
      <c r="X1877"/>
      <c r="AB1877"/>
    </row>
    <row r="1878" spans="1:28" ht="39.950000000000003" customHeight="1" x14ac:dyDescent="0.25">
      <c r="A1878" s="100"/>
      <c r="B1878">
        <v>2</v>
      </c>
      <c r="C1878" s="104">
        <v>43101</v>
      </c>
      <c r="D1878" t="s">
        <v>49</v>
      </c>
      <c r="E1878" t="s">
        <v>344</v>
      </c>
      <c r="F1878" t="s">
        <v>283</v>
      </c>
      <c r="G1878" t="s">
        <v>70</v>
      </c>
      <c r="H1878" t="s">
        <v>390</v>
      </c>
      <c r="I1878" t="s">
        <v>252</v>
      </c>
      <c r="K1878" t="s">
        <v>49</v>
      </c>
      <c r="L1878" t="s">
        <v>3</v>
      </c>
      <c r="M1878" s="156">
        <v>1</v>
      </c>
      <c r="N1878" s="180">
        <v>30</v>
      </c>
      <c r="O1878" s="180">
        <v>30</v>
      </c>
      <c r="P1878" s="180"/>
      <c r="Q1878" s="181" t="str">
        <f>IF(PEDIDOS[[#This Row],[Valor do item pago]]=PEDIDOS[[#This Row],[Total Item ]],"PAGO", "ABERTO")</f>
        <v>ABERTO</v>
      </c>
      <c r="S1878"/>
      <c r="V1878"/>
      <c r="X1878"/>
      <c r="AB1878"/>
    </row>
    <row r="1879" spans="1:28" ht="39.950000000000003" customHeight="1" x14ac:dyDescent="0.25">
      <c r="A1879" s="100"/>
      <c r="B1879">
        <v>248</v>
      </c>
      <c r="C1879" s="104">
        <v>43258</v>
      </c>
      <c r="D1879" t="s">
        <v>60</v>
      </c>
      <c r="E1879" t="s">
        <v>760</v>
      </c>
      <c r="F1879">
        <v>0</v>
      </c>
      <c r="G1879" t="s">
        <v>794</v>
      </c>
      <c r="H1879" t="s">
        <v>780</v>
      </c>
      <c r="I1879" t="s">
        <v>793</v>
      </c>
      <c r="L1879" t="s">
        <v>219</v>
      </c>
      <c r="M1879" s="178">
        <v>1</v>
      </c>
      <c r="N1879" s="179">
        <v>30</v>
      </c>
      <c r="O1879" s="179">
        <v>30</v>
      </c>
      <c r="P1879" s="179">
        <v>30</v>
      </c>
      <c r="Q1879" s="180" t="str">
        <f>IF(PEDIDOS[[#This Row],[Valor do item pago]]=PEDIDOS[[#This Row],[Total Item ]],"PAGO", "")</f>
        <v>PAGO</v>
      </c>
      <c r="S1879"/>
      <c r="V1879"/>
      <c r="X1879"/>
      <c r="AB1879"/>
    </row>
    <row r="1880" spans="1:28" ht="39.950000000000003" customHeight="1" x14ac:dyDescent="0.25">
      <c r="A1880" s="100"/>
      <c r="B1880">
        <v>103</v>
      </c>
      <c r="C1880" s="104">
        <v>43195</v>
      </c>
      <c r="D1880" t="s">
        <v>477</v>
      </c>
      <c r="E1880" t="s">
        <v>355</v>
      </c>
      <c r="F1880" t="s">
        <v>294</v>
      </c>
      <c r="G1880" t="s">
        <v>145</v>
      </c>
      <c r="H1880" t="s">
        <v>390</v>
      </c>
      <c r="I1880" t="s">
        <v>251</v>
      </c>
      <c r="L1880" t="s">
        <v>1</v>
      </c>
      <c r="M1880" s="178">
        <v>1</v>
      </c>
      <c r="N1880" s="179">
        <v>30</v>
      </c>
      <c r="O1880" s="179">
        <v>30</v>
      </c>
      <c r="P1880" s="179"/>
      <c r="Q1880" s="180"/>
      <c r="S1880"/>
      <c r="V1880"/>
      <c r="X1880"/>
      <c r="AB1880"/>
    </row>
    <row r="1881" spans="1:28" ht="39.950000000000003" customHeight="1" x14ac:dyDescent="0.25">
      <c r="A1881" s="100"/>
      <c r="B1881">
        <v>56</v>
      </c>
      <c r="C1881" s="104">
        <v>43101</v>
      </c>
      <c r="D1881" t="s">
        <v>477</v>
      </c>
      <c r="E1881" t="s">
        <v>355</v>
      </c>
      <c r="F1881" t="s">
        <v>294</v>
      </c>
      <c r="G1881" t="s">
        <v>145</v>
      </c>
      <c r="H1881" t="s">
        <v>390</v>
      </c>
      <c r="I1881" t="s">
        <v>251</v>
      </c>
      <c r="L1881" t="s">
        <v>3</v>
      </c>
      <c r="M1881" s="156">
        <v>1</v>
      </c>
      <c r="N1881" s="180">
        <v>30</v>
      </c>
      <c r="O1881" s="180">
        <v>30</v>
      </c>
      <c r="P1881" s="180"/>
      <c r="Q1881" s="181" t="str">
        <f>IF(PEDIDOS[[#This Row],[Valor do item pago]]=PEDIDOS[[#This Row],[Total Item ]],"PAGO", "ABERTO")</f>
        <v>ABERTO</v>
      </c>
      <c r="S1881"/>
      <c r="V1881"/>
      <c r="X1881"/>
      <c r="AB1881"/>
    </row>
    <row r="1882" spans="1:28" ht="39.950000000000003" customHeight="1" x14ac:dyDescent="0.25">
      <c r="A1882" s="100"/>
      <c r="B1882">
        <v>247</v>
      </c>
      <c r="C1882" s="104">
        <v>43258</v>
      </c>
      <c r="D1882" t="s">
        <v>60</v>
      </c>
      <c r="E1882" t="s">
        <v>768</v>
      </c>
      <c r="F1882" t="s">
        <v>773</v>
      </c>
      <c r="G1882" t="s">
        <v>783</v>
      </c>
      <c r="H1882" t="s">
        <v>84</v>
      </c>
      <c r="I1882" t="s">
        <v>792</v>
      </c>
      <c r="L1882" t="s">
        <v>3</v>
      </c>
      <c r="M1882" s="178">
        <v>1</v>
      </c>
      <c r="N1882" s="179">
        <v>30</v>
      </c>
      <c r="O1882" s="179">
        <v>30</v>
      </c>
      <c r="P1882" s="179"/>
      <c r="Q1882" s="180" t="str">
        <f>IF(PEDIDOS[[#This Row],[Valor do item pago]]=PEDIDOS[[#This Row],[Total Item ]],"PAGO", "")</f>
        <v/>
      </c>
      <c r="S1882"/>
      <c r="V1882"/>
      <c r="X1882"/>
      <c r="AB1882"/>
    </row>
    <row r="1883" spans="1:28" ht="39.950000000000003" customHeight="1" x14ac:dyDescent="0.25">
      <c r="A1883" s="100"/>
      <c r="B1883">
        <v>246</v>
      </c>
      <c r="C1883" s="104">
        <v>43258</v>
      </c>
      <c r="D1883" t="s">
        <v>60</v>
      </c>
      <c r="E1883" t="s">
        <v>759</v>
      </c>
      <c r="F1883">
        <v>0</v>
      </c>
      <c r="G1883" t="s">
        <v>791</v>
      </c>
      <c r="H1883" t="s">
        <v>780</v>
      </c>
      <c r="I1883" t="s">
        <v>790</v>
      </c>
      <c r="L1883" t="s">
        <v>219</v>
      </c>
      <c r="M1883" s="178">
        <v>1</v>
      </c>
      <c r="N1883" s="179">
        <v>30</v>
      </c>
      <c r="O1883" s="179">
        <v>30</v>
      </c>
      <c r="P1883" s="179">
        <v>30</v>
      </c>
      <c r="Q1883" s="180" t="str">
        <f>IF(PEDIDOS[[#This Row],[Valor do item pago]]=PEDIDOS[[#This Row],[Total Item ]],"PAGO", "")</f>
        <v>PAGO</v>
      </c>
      <c r="S1883"/>
      <c r="V1883"/>
      <c r="X1883"/>
      <c r="AB1883"/>
    </row>
    <row r="1884" spans="1:28" ht="39.950000000000003" customHeight="1" x14ac:dyDescent="0.25">
      <c r="A1884" s="100"/>
      <c r="B1884">
        <v>245</v>
      </c>
      <c r="C1884" s="104">
        <v>43258</v>
      </c>
      <c r="D1884" t="s">
        <v>60</v>
      </c>
      <c r="E1884" t="s">
        <v>767</v>
      </c>
      <c r="F1884" t="s">
        <v>772</v>
      </c>
      <c r="G1884" t="s">
        <v>782</v>
      </c>
      <c r="H1884" t="s">
        <v>84</v>
      </c>
      <c r="I1884" t="s">
        <v>679</v>
      </c>
      <c r="L1884" t="s">
        <v>219</v>
      </c>
      <c r="M1884" s="178">
        <v>1</v>
      </c>
      <c r="N1884" s="179">
        <v>30</v>
      </c>
      <c r="O1884" s="179">
        <v>30</v>
      </c>
      <c r="P1884" s="179">
        <v>30</v>
      </c>
      <c r="Q1884" s="180" t="str">
        <f>IF(PEDIDOS[[#This Row],[Valor do item pago]]=PEDIDOS[[#This Row],[Total Item ]],"PAGO", "")</f>
        <v>PAGO</v>
      </c>
      <c r="S1884"/>
      <c r="V1884"/>
      <c r="X1884"/>
      <c r="AB1884"/>
    </row>
    <row r="1885" spans="1:28" ht="39.950000000000003" customHeight="1" x14ac:dyDescent="0.25">
      <c r="A1885" s="100"/>
      <c r="B1885">
        <v>115</v>
      </c>
      <c r="C1885" s="104">
        <v>43195</v>
      </c>
      <c r="D1885" t="s">
        <v>477</v>
      </c>
      <c r="E1885" t="s">
        <v>371</v>
      </c>
      <c r="F1885" t="s">
        <v>309</v>
      </c>
      <c r="G1885" t="s">
        <v>159</v>
      </c>
      <c r="H1885" t="s">
        <v>401</v>
      </c>
      <c r="I1885" t="s">
        <v>445</v>
      </c>
      <c r="L1885" t="s">
        <v>0</v>
      </c>
      <c r="M1885" s="178">
        <v>1</v>
      </c>
      <c r="N1885" s="179">
        <v>30</v>
      </c>
      <c r="O1885" s="179">
        <v>30</v>
      </c>
      <c r="P1885" s="179"/>
      <c r="Q1885" s="180"/>
      <c r="S1885"/>
      <c r="V1885"/>
      <c r="X1885"/>
      <c r="AB1885"/>
    </row>
    <row r="1886" spans="1:28" ht="39.950000000000003" customHeight="1" x14ac:dyDescent="0.25">
      <c r="A1886" s="100"/>
      <c r="B1886">
        <v>64</v>
      </c>
      <c r="C1886" s="104">
        <v>43101</v>
      </c>
      <c r="D1886" t="s">
        <v>477</v>
      </c>
      <c r="E1886" t="s">
        <v>371</v>
      </c>
      <c r="F1886" t="s">
        <v>309</v>
      </c>
      <c r="G1886" t="s">
        <v>159</v>
      </c>
      <c r="H1886" t="s">
        <v>401</v>
      </c>
      <c r="I1886" t="s">
        <v>445</v>
      </c>
      <c r="L1886" t="s">
        <v>0</v>
      </c>
      <c r="M1886" s="156">
        <v>1</v>
      </c>
      <c r="N1886" s="180">
        <v>30</v>
      </c>
      <c r="O1886" s="180">
        <v>30</v>
      </c>
      <c r="P1886" s="180"/>
      <c r="Q1886" s="181" t="str">
        <f>IF(PEDIDOS[[#This Row],[Valor do item pago]]=PEDIDOS[[#This Row],[Total Item ]],"PAGO", "ABERTO")</f>
        <v>ABERTO</v>
      </c>
      <c r="S1886"/>
      <c r="V1886"/>
      <c r="X1886"/>
      <c r="AB1886"/>
    </row>
    <row r="1887" spans="1:28" ht="39.950000000000003" customHeight="1" x14ac:dyDescent="0.25">
      <c r="A1887" s="100"/>
      <c r="B1887">
        <v>37</v>
      </c>
      <c r="C1887" s="104">
        <v>43101</v>
      </c>
      <c r="D1887" t="s">
        <v>40</v>
      </c>
      <c r="E1887" t="s">
        <v>208</v>
      </c>
      <c r="F1887" t="s">
        <v>301</v>
      </c>
      <c r="G1887" t="s">
        <v>111</v>
      </c>
      <c r="H1887" t="s">
        <v>112</v>
      </c>
      <c r="I1887" t="s">
        <v>435</v>
      </c>
      <c r="K1887" t="s">
        <v>40</v>
      </c>
      <c r="L1887" t="s">
        <v>0</v>
      </c>
      <c r="M1887" s="156">
        <v>1</v>
      </c>
      <c r="N1887" s="180">
        <v>30</v>
      </c>
      <c r="O1887" s="180">
        <v>30</v>
      </c>
      <c r="P1887" s="180"/>
      <c r="Q1887" s="181" t="str">
        <f>IF(PEDIDOS[[#This Row],[Valor do item pago]]=PEDIDOS[[#This Row],[Total Item ]],"PAGO", "ABERTO")</f>
        <v>ABERTO</v>
      </c>
      <c r="S1887"/>
      <c r="V1887"/>
      <c r="X1887"/>
      <c r="AB1887"/>
    </row>
    <row r="1888" spans="1:28" ht="39.950000000000003" customHeight="1" x14ac:dyDescent="0.25">
      <c r="A1888" s="100"/>
      <c r="B1888">
        <v>51</v>
      </c>
      <c r="C1888" s="104">
        <v>43101</v>
      </c>
      <c r="D1888" t="s">
        <v>477</v>
      </c>
      <c r="E1888" t="s">
        <v>347</v>
      </c>
      <c r="F1888" t="s">
        <v>287</v>
      </c>
      <c r="G1888" t="s">
        <v>132</v>
      </c>
      <c r="H1888" t="s">
        <v>391</v>
      </c>
      <c r="I1888" t="s">
        <v>421</v>
      </c>
      <c r="L1888" t="s">
        <v>219</v>
      </c>
      <c r="M1888" s="156">
        <v>2</v>
      </c>
      <c r="N1888" s="180">
        <v>30</v>
      </c>
      <c r="O1888" s="180">
        <v>60</v>
      </c>
      <c r="P1888" s="180">
        <v>60</v>
      </c>
      <c r="Q1888" s="181" t="str">
        <f>IF(PEDIDOS[[#This Row],[Valor do item pago]]=PEDIDOS[[#This Row],[Total Item ]],"PAGO", "ABERTO")</f>
        <v>PAGO</v>
      </c>
      <c r="S1888"/>
      <c r="V1888"/>
      <c r="X1888"/>
      <c r="AB1888"/>
    </row>
    <row r="1889" spans="1:28" ht="39.950000000000003" customHeight="1" x14ac:dyDescent="0.25">
      <c r="A1889" s="100"/>
      <c r="B1889">
        <v>244</v>
      </c>
      <c r="C1889" s="104">
        <v>43258</v>
      </c>
      <c r="D1889" t="s">
        <v>60</v>
      </c>
      <c r="E1889" t="s">
        <v>766</v>
      </c>
      <c r="F1889" t="s">
        <v>771</v>
      </c>
      <c r="G1889" t="s">
        <v>781</v>
      </c>
      <c r="H1889" t="s">
        <v>779</v>
      </c>
      <c r="I1889" t="s">
        <v>788</v>
      </c>
      <c r="L1889" t="s">
        <v>1</v>
      </c>
      <c r="M1889" s="178">
        <v>1</v>
      </c>
      <c r="N1889" s="179">
        <v>30</v>
      </c>
      <c r="O1889" s="179">
        <v>30</v>
      </c>
      <c r="P1889" s="179"/>
      <c r="Q1889" s="180" t="str">
        <f>IF(PEDIDOS[[#This Row],[Valor do item pago]]=PEDIDOS[[#This Row],[Total Item ]],"PAGO", "")</f>
        <v/>
      </c>
      <c r="S1889"/>
      <c r="V1889"/>
      <c r="X1889"/>
      <c r="AB1889"/>
    </row>
    <row r="1890" spans="1:28" ht="39.950000000000003" customHeight="1" x14ac:dyDescent="0.25">
      <c r="A1890" s="100"/>
      <c r="B1890">
        <v>243</v>
      </c>
      <c r="C1890" s="104">
        <v>43258</v>
      </c>
      <c r="D1890" t="s">
        <v>60</v>
      </c>
      <c r="E1890" t="s">
        <v>765</v>
      </c>
      <c r="F1890" t="s">
        <v>777</v>
      </c>
      <c r="G1890" t="s">
        <v>778</v>
      </c>
      <c r="H1890" t="s">
        <v>581</v>
      </c>
      <c r="I1890" t="s">
        <v>787</v>
      </c>
      <c r="L1890" t="s">
        <v>219</v>
      </c>
      <c r="M1890" s="178">
        <v>1</v>
      </c>
      <c r="N1890" s="179">
        <v>30</v>
      </c>
      <c r="O1890" s="179">
        <v>30</v>
      </c>
      <c r="P1890" s="179">
        <v>30</v>
      </c>
      <c r="Q1890" s="180" t="str">
        <f>IF(PEDIDOS[[#This Row],[Valor do item pago]]=PEDIDOS[[#This Row],[Total Item ]],"PAGO", "")</f>
        <v>PAGO</v>
      </c>
      <c r="S1890"/>
      <c r="V1890"/>
      <c r="X1890"/>
      <c r="AB1890"/>
    </row>
    <row r="1891" spans="1:28" ht="39.950000000000003" customHeight="1" x14ac:dyDescent="0.25">
      <c r="A1891" s="100"/>
      <c r="B1891">
        <v>175</v>
      </c>
      <c r="C1891" s="104">
        <v>43196</v>
      </c>
      <c r="D1891" t="s">
        <v>40</v>
      </c>
      <c r="E1891" t="s">
        <v>209</v>
      </c>
      <c r="F1891" t="s">
        <v>306</v>
      </c>
      <c r="G1891" t="s">
        <v>114</v>
      </c>
      <c r="H1891" t="s">
        <v>115</v>
      </c>
      <c r="I1891" t="s">
        <v>443</v>
      </c>
      <c r="L1891" t="s">
        <v>0</v>
      </c>
      <c r="M1891" s="178">
        <v>1</v>
      </c>
      <c r="N1891" s="179">
        <v>30</v>
      </c>
      <c r="O1891" s="179">
        <v>30</v>
      </c>
      <c r="P1891" s="179"/>
      <c r="Q1891" s="180"/>
      <c r="S1891"/>
      <c r="V1891"/>
      <c r="X1891"/>
      <c r="AB1891"/>
    </row>
    <row r="1892" spans="1:28" ht="39.950000000000003" customHeight="1" x14ac:dyDescent="0.25">
      <c r="A1892" s="100"/>
      <c r="B1892">
        <v>38</v>
      </c>
      <c r="C1892" s="104">
        <v>43101</v>
      </c>
      <c r="D1892" t="s">
        <v>40</v>
      </c>
      <c r="E1892" t="s">
        <v>209</v>
      </c>
      <c r="F1892" t="s">
        <v>306</v>
      </c>
      <c r="G1892" t="s">
        <v>114</v>
      </c>
      <c r="H1892" t="s">
        <v>115</v>
      </c>
      <c r="I1892" t="s">
        <v>443</v>
      </c>
      <c r="K1892" t="s">
        <v>40</v>
      </c>
      <c r="L1892" t="s">
        <v>0</v>
      </c>
      <c r="M1892" s="156">
        <v>1</v>
      </c>
      <c r="N1892" s="180">
        <v>30</v>
      </c>
      <c r="O1892" s="180">
        <v>30</v>
      </c>
      <c r="P1892" s="180"/>
      <c r="Q1892" s="181" t="str">
        <f>IF(PEDIDOS[[#This Row],[Valor do item pago]]=PEDIDOS[[#This Row],[Total Item ]],"PAGO", "ABERTO")</f>
        <v>ABERTO</v>
      </c>
      <c r="S1892"/>
      <c r="V1892"/>
      <c r="X1892"/>
      <c r="AB1892"/>
    </row>
    <row r="1893" spans="1:28" ht="39.950000000000003" customHeight="1" x14ac:dyDescent="0.25">
      <c r="A1893" s="100"/>
      <c r="B1893">
        <v>242</v>
      </c>
      <c r="C1893" s="104">
        <v>43258</v>
      </c>
      <c r="D1893" t="s">
        <v>60</v>
      </c>
      <c r="E1893" t="s">
        <v>764</v>
      </c>
      <c r="F1893" t="s">
        <v>775</v>
      </c>
      <c r="G1893" t="s">
        <v>776</v>
      </c>
      <c r="H1893" t="s">
        <v>84</v>
      </c>
      <c r="I1893" t="s">
        <v>786</v>
      </c>
      <c r="L1893" t="s">
        <v>3</v>
      </c>
      <c r="M1893" s="178">
        <v>1</v>
      </c>
      <c r="N1893" s="179">
        <v>30</v>
      </c>
      <c r="O1893" s="179">
        <v>30</v>
      </c>
      <c r="P1893" s="179">
        <v>30</v>
      </c>
      <c r="Q1893" s="180" t="str">
        <f>IF(PEDIDOS[[#This Row],[Valor do item pago]]=PEDIDOS[[#This Row],[Total Item ]],"PAGO", "")</f>
        <v>PAGO</v>
      </c>
      <c r="S1893"/>
      <c r="V1893"/>
      <c r="X1893"/>
      <c r="AB1893"/>
    </row>
    <row r="1894" spans="1:28" ht="39.950000000000003" customHeight="1" x14ac:dyDescent="0.25">
      <c r="A1894" s="100"/>
      <c r="B1894">
        <v>139</v>
      </c>
      <c r="C1894" s="104">
        <v>43196</v>
      </c>
      <c r="D1894" t="s">
        <v>234</v>
      </c>
      <c r="E1894" t="s">
        <v>594</v>
      </c>
      <c r="F1894" t="s">
        <v>272</v>
      </c>
      <c r="G1894" t="s">
        <v>414</v>
      </c>
      <c r="H1894" t="s">
        <v>112</v>
      </c>
      <c r="I1894" t="s">
        <v>413</v>
      </c>
      <c r="K1894" t="s">
        <v>234</v>
      </c>
      <c r="L1894" t="s">
        <v>235</v>
      </c>
      <c r="M1894" s="178">
        <v>1</v>
      </c>
      <c r="N1894" s="179">
        <v>30</v>
      </c>
      <c r="O1894" s="179">
        <v>30</v>
      </c>
      <c r="P1894" s="179"/>
      <c r="Q1894" s="180"/>
      <c r="S1894"/>
      <c r="V1894"/>
      <c r="X1894"/>
      <c r="AB1894"/>
    </row>
    <row r="1895" spans="1:28" ht="39.950000000000003" customHeight="1" x14ac:dyDescent="0.25">
      <c r="A1895" s="100"/>
      <c r="B1895">
        <v>49</v>
      </c>
      <c r="C1895" s="104">
        <v>43101</v>
      </c>
      <c r="D1895" t="s">
        <v>234</v>
      </c>
      <c r="E1895" t="s">
        <v>234</v>
      </c>
      <c r="F1895" t="s">
        <v>272</v>
      </c>
      <c r="G1895" t="s">
        <v>414</v>
      </c>
      <c r="H1895" t="s">
        <v>112</v>
      </c>
      <c r="I1895" t="s">
        <v>413</v>
      </c>
      <c r="J1895" t="s">
        <v>475</v>
      </c>
      <c r="K1895" t="s">
        <v>234</v>
      </c>
      <c r="L1895" t="s">
        <v>1</v>
      </c>
      <c r="M1895" s="156">
        <v>1</v>
      </c>
      <c r="N1895" s="180">
        <v>30</v>
      </c>
      <c r="O1895" s="180">
        <v>30</v>
      </c>
      <c r="P1895" s="180"/>
      <c r="Q1895" s="181" t="str">
        <f>IF(PEDIDOS[[#This Row],[Valor do item pago]]=PEDIDOS[[#This Row],[Total Item ]],"PAGO", "ABERTO")</f>
        <v>ABERTO</v>
      </c>
      <c r="S1895"/>
      <c r="V1895"/>
      <c r="X1895"/>
      <c r="AB1895"/>
    </row>
    <row r="1896" spans="1:28" ht="39.950000000000003" customHeight="1" x14ac:dyDescent="0.25">
      <c r="A1896" s="100"/>
      <c r="B1896">
        <v>49</v>
      </c>
      <c r="C1896" s="104">
        <v>43101</v>
      </c>
      <c r="D1896" t="s">
        <v>234</v>
      </c>
      <c r="E1896" t="s">
        <v>234</v>
      </c>
      <c r="F1896" t="s">
        <v>272</v>
      </c>
      <c r="G1896" t="s">
        <v>414</v>
      </c>
      <c r="H1896" t="s">
        <v>112</v>
      </c>
      <c r="I1896" t="s">
        <v>413</v>
      </c>
      <c r="J1896" t="s">
        <v>475</v>
      </c>
      <c r="K1896" t="s">
        <v>234</v>
      </c>
      <c r="L1896" t="s">
        <v>219</v>
      </c>
      <c r="M1896" s="156">
        <v>2</v>
      </c>
      <c r="N1896" s="180">
        <v>30</v>
      </c>
      <c r="O1896" s="180">
        <v>60</v>
      </c>
      <c r="P1896" s="180"/>
      <c r="Q1896" s="181" t="str">
        <f>IF(PEDIDOS[[#This Row],[Valor do item pago]]=PEDIDOS[[#This Row],[Total Item ]],"PAGO", "ABERTO")</f>
        <v>ABERTO</v>
      </c>
      <c r="S1896"/>
      <c r="V1896"/>
      <c r="X1896"/>
      <c r="AB1896"/>
    </row>
    <row r="1897" spans="1:28" ht="39.950000000000003" customHeight="1" x14ac:dyDescent="0.25">
      <c r="A1897" s="100"/>
      <c r="B1897">
        <v>49</v>
      </c>
      <c r="C1897" s="104">
        <v>43101</v>
      </c>
      <c r="D1897" t="s">
        <v>234</v>
      </c>
      <c r="E1897" t="s">
        <v>234</v>
      </c>
      <c r="F1897" t="s">
        <v>272</v>
      </c>
      <c r="G1897" t="s">
        <v>414</v>
      </c>
      <c r="H1897" t="s">
        <v>112</v>
      </c>
      <c r="I1897" t="s">
        <v>413</v>
      </c>
      <c r="J1897" t="s">
        <v>475</v>
      </c>
      <c r="K1897" t="s">
        <v>234</v>
      </c>
      <c r="L1897" t="s">
        <v>3</v>
      </c>
      <c r="M1897" s="156">
        <v>1</v>
      </c>
      <c r="N1897" s="180">
        <v>30</v>
      </c>
      <c r="O1897" s="180">
        <v>30</v>
      </c>
      <c r="P1897" s="180"/>
      <c r="Q1897" s="181" t="str">
        <f>IF(PEDIDOS[[#This Row],[Valor do item pago]]=PEDIDOS[[#This Row],[Total Item ]],"PAGO", "ABERTO")</f>
        <v>ABERTO</v>
      </c>
      <c r="S1897"/>
      <c r="V1897"/>
      <c r="X1897"/>
      <c r="AB1897"/>
    </row>
    <row r="1898" spans="1:28" ht="39.950000000000003" customHeight="1" x14ac:dyDescent="0.25">
      <c r="A1898" s="100"/>
      <c r="B1898">
        <v>73</v>
      </c>
      <c r="C1898" s="104">
        <v>43101</v>
      </c>
      <c r="D1898" t="s">
        <v>477</v>
      </c>
      <c r="E1898" t="s">
        <v>348</v>
      </c>
      <c r="F1898" t="s">
        <v>288</v>
      </c>
      <c r="G1898" t="s">
        <v>180</v>
      </c>
      <c r="H1898" t="s">
        <v>461</v>
      </c>
      <c r="I1898" t="s">
        <v>422</v>
      </c>
      <c r="L1898" t="s">
        <v>219</v>
      </c>
      <c r="M1898" s="156">
        <v>1</v>
      </c>
      <c r="N1898" s="180">
        <v>30</v>
      </c>
      <c r="O1898" s="180">
        <v>30</v>
      </c>
      <c r="P1898" s="180">
        <v>30</v>
      </c>
      <c r="Q1898" s="181" t="str">
        <f>IF(PEDIDOS[[#This Row],[Valor do item pago]]=PEDIDOS[[#This Row],[Total Item ]],"PAGO", "ABERTO")</f>
        <v>PAGO</v>
      </c>
      <c r="S1898"/>
      <c r="V1898"/>
      <c r="X1898"/>
      <c r="AB1898"/>
    </row>
    <row r="1899" spans="1:28" ht="39.950000000000003" customHeight="1" x14ac:dyDescent="0.25">
      <c r="A1899" s="100"/>
      <c r="B1899">
        <v>241</v>
      </c>
      <c r="C1899" s="104">
        <v>43257</v>
      </c>
      <c r="D1899" t="s">
        <v>44</v>
      </c>
      <c r="E1899" t="s">
        <v>746</v>
      </c>
      <c r="F1899">
        <v>0</v>
      </c>
      <c r="G1899" t="s">
        <v>747</v>
      </c>
      <c r="H1899" t="s">
        <v>748</v>
      </c>
      <c r="I1899" t="s">
        <v>749</v>
      </c>
      <c r="L1899" t="s">
        <v>0</v>
      </c>
      <c r="M1899" s="178">
        <v>1</v>
      </c>
      <c r="N1899" s="179">
        <v>30</v>
      </c>
      <c r="O1899" s="179">
        <v>30</v>
      </c>
      <c r="P1899" s="179"/>
      <c r="Q1899" s="180" t="str">
        <f>IF(PEDIDOS[[#This Row],[Valor do item pago]]=PEDIDOS[[#This Row],[Total Item ]],"PAGO", "")</f>
        <v/>
      </c>
      <c r="S1899"/>
      <c r="V1899"/>
      <c r="X1899"/>
      <c r="AB1899"/>
    </row>
    <row r="1900" spans="1:28" ht="39.950000000000003" customHeight="1" x14ac:dyDescent="0.25">
      <c r="A1900" s="100"/>
      <c r="B1900">
        <v>240</v>
      </c>
      <c r="C1900" s="104">
        <v>43257</v>
      </c>
      <c r="D1900" t="s">
        <v>44</v>
      </c>
      <c r="E1900" t="s">
        <v>736</v>
      </c>
      <c r="F1900" t="s">
        <v>737</v>
      </c>
      <c r="G1900" t="s">
        <v>738</v>
      </c>
      <c r="H1900" t="s">
        <v>651</v>
      </c>
      <c r="I1900" t="s">
        <v>739</v>
      </c>
      <c r="L1900" t="s">
        <v>219</v>
      </c>
      <c r="M1900" s="178">
        <v>1</v>
      </c>
      <c r="N1900" s="179">
        <v>30</v>
      </c>
      <c r="O1900" s="179">
        <v>30</v>
      </c>
      <c r="P1900" s="179"/>
      <c r="Q1900" s="180" t="str">
        <f>IF(PEDIDOS[[#This Row],[Valor do item pago]]=PEDIDOS[[#This Row],[Total Item ]],"PAGO", "")</f>
        <v/>
      </c>
      <c r="S1900"/>
      <c r="V1900"/>
      <c r="X1900"/>
      <c r="AB1900"/>
    </row>
    <row r="1901" spans="1:28" ht="39.950000000000003" customHeight="1" x14ac:dyDescent="0.25">
      <c r="A1901" s="100"/>
      <c r="B1901">
        <v>239</v>
      </c>
      <c r="C1901" s="104">
        <v>43257</v>
      </c>
      <c r="D1901" t="s">
        <v>44</v>
      </c>
      <c r="E1901" t="s">
        <v>374</v>
      </c>
      <c r="F1901" t="s">
        <v>313</v>
      </c>
      <c r="G1901" t="s">
        <v>107</v>
      </c>
      <c r="H1901" t="s">
        <v>402</v>
      </c>
      <c r="I1901" t="s">
        <v>658</v>
      </c>
      <c r="L1901" t="s">
        <v>1</v>
      </c>
      <c r="M1901" s="178">
        <v>1</v>
      </c>
      <c r="N1901" s="179">
        <v>30</v>
      </c>
      <c r="O1901" s="179">
        <v>30</v>
      </c>
      <c r="P1901" s="179"/>
      <c r="Q1901" s="180" t="str">
        <f>IF(PEDIDOS[[#This Row],[Valor do item pago]]=PEDIDOS[[#This Row],[Total Item ]],"PAGO", "")</f>
        <v/>
      </c>
      <c r="S1901"/>
      <c r="V1901"/>
      <c r="X1901"/>
      <c r="AB1901"/>
    </row>
    <row r="1902" spans="1:28" ht="39.950000000000003" customHeight="1" x14ac:dyDescent="0.25">
      <c r="A1902" s="100"/>
      <c r="B1902">
        <v>239</v>
      </c>
      <c r="C1902" s="104">
        <v>43257</v>
      </c>
      <c r="D1902" t="s">
        <v>44</v>
      </c>
      <c r="E1902" t="s">
        <v>374</v>
      </c>
      <c r="F1902" t="s">
        <v>313</v>
      </c>
      <c r="G1902" t="s">
        <v>107</v>
      </c>
      <c r="H1902" t="s">
        <v>402</v>
      </c>
      <c r="I1902" t="s">
        <v>658</v>
      </c>
      <c r="L1902" t="s">
        <v>0</v>
      </c>
      <c r="M1902" s="178">
        <v>1</v>
      </c>
      <c r="N1902" s="179">
        <v>30</v>
      </c>
      <c r="O1902" s="179">
        <v>30</v>
      </c>
      <c r="P1902" s="179"/>
      <c r="Q1902" s="180" t="str">
        <f>IF(PEDIDOS[[#This Row],[Valor do item pago]]=PEDIDOS[[#This Row],[Total Item ]],"PAGO", "")</f>
        <v/>
      </c>
      <c r="S1902"/>
      <c r="V1902"/>
      <c r="X1902"/>
      <c r="AB1902"/>
    </row>
    <row r="1903" spans="1:28" ht="39.950000000000003" customHeight="1" x14ac:dyDescent="0.25">
      <c r="A1903" s="100"/>
      <c r="B1903">
        <v>238</v>
      </c>
      <c r="C1903" s="104">
        <v>43257</v>
      </c>
      <c r="D1903" t="s">
        <v>44</v>
      </c>
      <c r="E1903" t="s">
        <v>365</v>
      </c>
      <c r="F1903" t="s">
        <v>300</v>
      </c>
      <c r="G1903" t="s">
        <v>432</v>
      </c>
      <c r="H1903" t="s">
        <v>433</v>
      </c>
      <c r="I1903" t="s">
        <v>434</v>
      </c>
      <c r="K1903" t="s">
        <v>44</v>
      </c>
      <c r="L1903" t="s">
        <v>1</v>
      </c>
      <c r="M1903" s="178">
        <v>1</v>
      </c>
      <c r="N1903" s="179">
        <v>30</v>
      </c>
      <c r="O1903" s="179">
        <v>30</v>
      </c>
      <c r="P1903" s="179"/>
      <c r="Q1903" s="180" t="str">
        <f>IF(PEDIDOS[[#This Row],[Valor do item pago]]=PEDIDOS[[#This Row],[Total Item ]],"PAGO", "")</f>
        <v/>
      </c>
      <c r="S1903"/>
      <c r="V1903"/>
      <c r="X1903"/>
      <c r="AB1903"/>
    </row>
    <row r="1904" spans="1:28" ht="39.950000000000003" customHeight="1" x14ac:dyDescent="0.25">
      <c r="A1904" s="100"/>
      <c r="B1904">
        <v>237</v>
      </c>
      <c r="C1904" s="104">
        <v>43257</v>
      </c>
      <c r="D1904" t="s">
        <v>44</v>
      </c>
      <c r="E1904" t="s">
        <v>380</v>
      </c>
      <c r="F1904">
        <v>0</v>
      </c>
      <c r="G1904">
        <v>0</v>
      </c>
      <c r="H1904">
        <v>0</v>
      </c>
      <c r="K1904" t="s">
        <v>44</v>
      </c>
      <c r="L1904" t="s">
        <v>219</v>
      </c>
      <c r="M1904" s="178">
        <v>1</v>
      </c>
      <c r="N1904" s="179">
        <v>30</v>
      </c>
      <c r="O1904" s="179">
        <v>30</v>
      </c>
      <c r="P1904" s="179"/>
      <c r="Q1904" s="180" t="str">
        <f>IF(PEDIDOS[[#This Row],[Valor do item pago]]=PEDIDOS[[#This Row],[Total Item ]],"PAGO", "")</f>
        <v/>
      </c>
      <c r="S1904"/>
      <c r="V1904"/>
      <c r="X1904"/>
      <c r="AB1904"/>
    </row>
    <row r="1905" spans="1:28" ht="39.950000000000003" customHeight="1" x14ac:dyDescent="0.25">
      <c r="A1905" s="100"/>
      <c r="B1905">
        <v>237</v>
      </c>
      <c r="C1905" s="104">
        <v>43257</v>
      </c>
      <c r="D1905" t="s">
        <v>44</v>
      </c>
      <c r="E1905" t="s">
        <v>380</v>
      </c>
      <c r="F1905">
        <v>0</v>
      </c>
      <c r="G1905">
        <v>0</v>
      </c>
      <c r="H1905">
        <v>0</v>
      </c>
      <c r="K1905" t="s">
        <v>44</v>
      </c>
      <c r="L1905" t="s">
        <v>1</v>
      </c>
      <c r="M1905" s="178">
        <v>1</v>
      </c>
      <c r="N1905" s="179">
        <v>30</v>
      </c>
      <c r="O1905" s="179">
        <v>30</v>
      </c>
      <c r="P1905" s="179"/>
      <c r="Q1905" s="180" t="str">
        <f>IF(PEDIDOS[[#This Row],[Valor do item pago]]=PEDIDOS[[#This Row],[Total Item ]],"PAGO", "")</f>
        <v/>
      </c>
      <c r="S1905"/>
      <c r="V1905"/>
      <c r="X1905"/>
      <c r="AB1905"/>
    </row>
    <row r="1906" spans="1:28" ht="39.950000000000003" customHeight="1" x14ac:dyDescent="0.25">
      <c r="A1906" s="100"/>
      <c r="B1906">
        <v>236</v>
      </c>
      <c r="C1906" s="104">
        <v>43257</v>
      </c>
      <c r="D1906" t="s">
        <v>44</v>
      </c>
      <c r="E1906" t="s">
        <v>750</v>
      </c>
      <c r="F1906" t="s">
        <v>751</v>
      </c>
      <c r="G1906" t="s">
        <v>752</v>
      </c>
      <c r="H1906" t="s">
        <v>753</v>
      </c>
      <c r="I1906" t="s">
        <v>754</v>
      </c>
      <c r="L1906" t="s">
        <v>219</v>
      </c>
      <c r="M1906" s="178">
        <v>1</v>
      </c>
      <c r="N1906" s="179">
        <v>30</v>
      </c>
      <c r="O1906" s="179">
        <v>30</v>
      </c>
      <c r="P1906" s="179"/>
      <c r="Q1906" s="180" t="str">
        <f>IF(PEDIDOS[[#This Row],[Valor do item pago]]=PEDIDOS[[#This Row],[Total Item ]],"PAGO", "")</f>
        <v/>
      </c>
      <c r="S1906"/>
      <c r="V1906"/>
      <c r="X1906"/>
      <c r="AB1906"/>
    </row>
    <row r="1907" spans="1:28" ht="39.950000000000003" customHeight="1" x14ac:dyDescent="0.25">
      <c r="A1907" s="100"/>
      <c r="B1907">
        <v>65</v>
      </c>
      <c r="C1907" s="104">
        <v>43101</v>
      </c>
      <c r="D1907" t="s">
        <v>477</v>
      </c>
      <c r="E1907" t="s">
        <v>376</v>
      </c>
      <c r="F1907" t="s">
        <v>314</v>
      </c>
      <c r="G1907" t="s">
        <v>449</v>
      </c>
      <c r="H1907" t="s">
        <v>403</v>
      </c>
      <c r="I1907" t="s">
        <v>450</v>
      </c>
      <c r="L1907" t="s">
        <v>0</v>
      </c>
      <c r="M1907" s="156">
        <v>1</v>
      </c>
      <c r="N1907" s="180">
        <v>30</v>
      </c>
      <c r="O1907" s="180">
        <v>30</v>
      </c>
      <c r="P1907" s="180">
        <v>30</v>
      </c>
      <c r="Q1907" s="181" t="str">
        <f>IF(PEDIDOS[[#This Row],[Valor do item pago]]=PEDIDOS[[#This Row],[Total Item ]],"PAGO", "ABERTO")</f>
        <v>PAGO</v>
      </c>
      <c r="S1907"/>
      <c r="V1907"/>
      <c r="X1907"/>
      <c r="AB1907"/>
    </row>
    <row r="1908" spans="1:28" ht="39.950000000000003" customHeight="1" x14ac:dyDescent="0.25">
      <c r="A1908" s="100"/>
      <c r="B1908">
        <v>65</v>
      </c>
      <c r="C1908" s="104">
        <v>43101</v>
      </c>
      <c r="D1908" t="s">
        <v>477</v>
      </c>
      <c r="E1908" t="s">
        <v>376</v>
      </c>
      <c r="F1908" t="s">
        <v>314</v>
      </c>
      <c r="G1908" t="s">
        <v>449</v>
      </c>
      <c r="H1908" t="s">
        <v>403</v>
      </c>
      <c r="I1908" t="s">
        <v>450</v>
      </c>
      <c r="L1908" t="s">
        <v>219</v>
      </c>
      <c r="M1908" s="156">
        <v>1</v>
      </c>
      <c r="N1908" s="180">
        <v>30</v>
      </c>
      <c r="O1908" s="180">
        <v>30</v>
      </c>
      <c r="P1908" s="180">
        <v>30</v>
      </c>
      <c r="Q1908" s="181" t="str">
        <f>IF(PEDIDOS[[#This Row],[Valor do item pago]]=PEDIDOS[[#This Row],[Total Item ]],"PAGO", "ABERTO")</f>
        <v>PAGO</v>
      </c>
      <c r="S1908"/>
      <c r="V1908"/>
      <c r="X1908"/>
      <c r="AB1908"/>
    </row>
    <row r="1909" spans="1:28" ht="39.950000000000003" customHeight="1" x14ac:dyDescent="0.25">
      <c r="A1909" s="100"/>
      <c r="B1909">
        <v>235</v>
      </c>
      <c r="C1909" s="104">
        <v>43257</v>
      </c>
      <c r="D1909" t="s">
        <v>44</v>
      </c>
      <c r="E1909" t="s">
        <v>744</v>
      </c>
      <c r="F1909" t="s">
        <v>745</v>
      </c>
      <c r="G1909">
        <v>0</v>
      </c>
      <c r="H1909" t="s">
        <v>38</v>
      </c>
      <c r="K1909" t="s">
        <v>44</v>
      </c>
      <c r="L1909" t="s">
        <v>1</v>
      </c>
      <c r="M1909" s="178">
        <v>1</v>
      </c>
      <c r="N1909" s="179">
        <v>30</v>
      </c>
      <c r="O1909" s="179">
        <v>30</v>
      </c>
      <c r="P1909" s="179"/>
      <c r="Q1909" s="180" t="str">
        <f>IF(PEDIDOS[[#This Row],[Valor do item pago]]=PEDIDOS[[#This Row],[Total Item ]],"PAGO", "")</f>
        <v/>
      </c>
      <c r="S1909"/>
      <c r="V1909"/>
      <c r="X1909"/>
      <c r="AB1909"/>
    </row>
    <row r="1910" spans="1:28" ht="39.950000000000003" customHeight="1" x14ac:dyDescent="0.25">
      <c r="A1910" s="100"/>
      <c r="B1910">
        <v>234</v>
      </c>
      <c r="C1910" s="104">
        <v>43257</v>
      </c>
      <c r="D1910" t="s">
        <v>44</v>
      </c>
      <c r="E1910" t="s">
        <v>25</v>
      </c>
      <c r="F1910" t="s">
        <v>291</v>
      </c>
      <c r="G1910" t="s">
        <v>330</v>
      </c>
      <c r="H1910" t="s">
        <v>406</v>
      </c>
      <c r="I1910" t="s">
        <v>329</v>
      </c>
      <c r="J1910" t="s">
        <v>743</v>
      </c>
      <c r="L1910" t="s">
        <v>219</v>
      </c>
      <c r="M1910" s="178">
        <v>1</v>
      </c>
      <c r="N1910" s="179">
        <v>30</v>
      </c>
      <c r="O1910" s="179">
        <v>30</v>
      </c>
      <c r="P1910" s="179"/>
      <c r="Q1910" s="180" t="str">
        <f>IF(PEDIDOS[[#This Row],[Valor do item pago]]=PEDIDOS[[#This Row],[Total Item ]],"PAGO", "")</f>
        <v/>
      </c>
      <c r="S1910"/>
      <c r="V1910"/>
      <c r="X1910"/>
      <c r="AB1910"/>
    </row>
    <row r="1911" spans="1:28" ht="39.950000000000003" customHeight="1" x14ac:dyDescent="0.25">
      <c r="A1911" s="100"/>
      <c r="B1911">
        <v>233</v>
      </c>
      <c r="C1911" s="104">
        <v>43257</v>
      </c>
      <c r="D1911" t="s">
        <v>44</v>
      </c>
      <c r="E1911" t="s">
        <v>741</v>
      </c>
      <c r="F1911" t="s">
        <v>742</v>
      </c>
      <c r="G1911">
        <v>0</v>
      </c>
      <c r="H1911" t="s">
        <v>40</v>
      </c>
      <c r="L1911" t="s">
        <v>235</v>
      </c>
      <c r="M1911" s="178">
        <v>1</v>
      </c>
      <c r="N1911" s="179">
        <v>30</v>
      </c>
      <c r="O1911" s="179">
        <v>30</v>
      </c>
      <c r="P1911" s="179"/>
      <c r="Q1911" s="180" t="str">
        <f>IF(PEDIDOS[[#This Row],[Valor do item pago]]=PEDIDOS[[#This Row],[Total Item ]],"PAGO", "")</f>
        <v/>
      </c>
      <c r="S1911"/>
      <c r="V1911"/>
      <c r="X1911"/>
      <c r="AB1911"/>
    </row>
    <row r="1912" spans="1:28" ht="39.950000000000003" customHeight="1" x14ac:dyDescent="0.25">
      <c r="A1912" s="100"/>
      <c r="B1912">
        <v>232</v>
      </c>
      <c r="C1912" s="104">
        <v>43257</v>
      </c>
      <c r="D1912" t="s">
        <v>49</v>
      </c>
      <c r="E1912" t="s">
        <v>613</v>
      </c>
      <c r="F1912" t="s">
        <v>296</v>
      </c>
      <c r="G1912" t="s">
        <v>76</v>
      </c>
      <c r="H1912" t="s">
        <v>84</v>
      </c>
      <c r="I1912" t="s">
        <v>428</v>
      </c>
      <c r="L1912" t="s">
        <v>1</v>
      </c>
      <c r="M1912" s="178">
        <v>1</v>
      </c>
      <c r="N1912" s="179">
        <v>30</v>
      </c>
      <c r="O1912" s="179">
        <v>30</v>
      </c>
      <c r="P1912" s="179">
        <v>30</v>
      </c>
      <c r="Q1912" s="180" t="str">
        <f>IF(PEDIDOS[[#This Row],[Valor do item pago]]=PEDIDOS[[#This Row],[Total Item ]],"PAGO", "")</f>
        <v>PAGO</v>
      </c>
      <c r="S1912"/>
      <c r="V1912"/>
      <c r="X1912"/>
      <c r="AB1912"/>
    </row>
    <row r="1913" spans="1:28" ht="39.950000000000003" customHeight="1" x14ac:dyDescent="0.25">
      <c r="A1913" s="100"/>
      <c r="B1913">
        <v>232</v>
      </c>
      <c r="C1913" s="104">
        <v>43257</v>
      </c>
      <c r="D1913" t="s">
        <v>49</v>
      </c>
      <c r="E1913" t="s">
        <v>613</v>
      </c>
      <c r="F1913" t="s">
        <v>296</v>
      </c>
      <c r="G1913" t="s">
        <v>76</v>
      </c>
      <c r="H1913" t="s">
        <v>84</v>
      </c>
      <c r="I1913" t="s">
        <v>428</v>
      </c>
      <c r="L1913" t="s">
        <v>0</v>
      </c>
      <c r="M1913" s="178">
        <v>1</v>
      </c>
      <c r="N1913" s="179">
        <v>30</v>
      </c>
      <c r="O1913" s="179">
        <v>30</v>
      </c>
      <c r="P1913" s="179">
        <v>30</v>
      </c>
      <c r="Q1913" s="180" t="str">
        <f>IF(PEDIDOS[[#This Row],[Valor do item pago]]=PEDIDOS[[#This Row],[Total Item ]],"PAGO", "")</f>
        <v>PAGO</v>
      </c>
      <c r="S1913"/>
      <c r="V1913"/>
      <c r="X1913"/>
      <c r="AB1913"/>
    </row>
    <row r="1914" spans="1:28" ht="39.950000000000003" customHeight="1" x14ac:dyDescent="0.25">
      <c r="A1914" s="100"/>
      <c r="B1914">
        <v>231</v>
      </c>
      <c r="C1914" s="104">
        <v>43257</v>
      </c>
      <c r="D1914" t="s">
        <v>49</v>
      </c>
      <c r="E1914" t="s">
        <v>615</v>
      </c>
      <c r="F1914" t="s">
        <v>324</v>
      </c>
      <c r="G1914" t="s">
        <v>616</v>
      </c>
      <c r="H1914" t="s">
        <v>523</v>
      </c>
      <c r="I1914" t="s">
        <v>657</v>
      </c>
      <c r="L1914" t="s">
        <v>3</v>
      </c>
      <c r="M1914" s="178">
        <v>1</v>
      </c>
      <c r="N1914" s="179">
        <v>30</v>
      </c>
      <c r="O1914" s="179">
        <v>30</v>
      </c>
      <c r="P1914" s="179">
        <v>30</v>
      </c>
      <c r="Q1914" s="180" t="str">
        <f>IF(PEDIDOS[[#This Row],[Valor do item pago]]=PEDIDOS[[#This Row],[Total Item ]],"PAGO", "")</f>
        <v>PAGO</v>
      </c>
      <c r="S1914"/>
      <c r="V1914"/>
      <c r="X1914"/>
      <c r="AB1914"/>
    </row>
    <row r="1915" spans="1:28" ht="39.950000000000003" customHeight="1" x14ac:dyDescent="0.25">
      <c r="A1915" s="100"/>
      <c r="B1915">
        <v>231</v>
      </c>
      <c r="C1915" s="104">
        <v>43257</v>
      </c>
      <c r="D1915" t="s">
        <v>49</v>
      </c>
      <c r="E1915" t="s">
        <v>615</v>
      </c>
      <c r="F1915" t="s">
        <v>324</v>
      </c>
      <c r="G1915" t="s">
        <v>616</v>
      </c>
      <c r="H1915" t="s">
        <v>523</v>
      </c>
      <c r="I1915" t="s">
        <v>657</v>
      </c>
      <c r="L1915" t="s">
        <v>1</v>
      </c>
      <c r="M1915" s="178">
        <v>1</v>
      </c>
      <c r="N1915" s="179">
        <v>30</v>
      </c>
      <c r="O1915" s="179">
        <v>30</v>
      </c>
      <c r="P1915" s="179">
        <v>30</v>
      </c>
      <c r="Q1915" s="180" t="str">
        <f>IF(PEDIDOS[[#This Row],[Valor do item pago]]=PEDIDOS[[#This Row],[Total Item ]],"PAGO", "")</f>
        <v>PAGO</v>
      </c>
      <c r="S1915"/>
      <c r="V1915"/>
      <c r="X1915"/>
      <c r="AB1915"/>
    </row>
    <row r="1916" spans="1:28" ht="39.950000000000003" customHeight="1" x14ac:dyDescent="0.25">
      <c r="A1916" s="100"/>
      <c r="B1916">
        <v>230</v>
      </c>
      <c r="C1916" s="104">
        <v>43257</v>
      </c>
      <c r="D1916" t="s">
        <v>49</v>
      </c>
      <c r="E1916" t="s">
        <v>614</v>
      </c>
      <c r="F1916" t="s">
        <v>289</v>
      </c>
      <c r="G1916" t="s">
        <v>72</v>
      </c>
      <c r="H1916" t="s">
        <v>393</v>
      </c>
      <c r="I1916" t="s">
        <v>423</v>
      </c>
      <c r="L1916" t="s">
        <v>219</v>
      </c>
      <c r="M1916" s="178">
        <v>1</v>
      </c>
      <c r="N1916" s="179">
        <v>30</v>
      </c>
      <c r="O1916" s="179">
        <v>30</v>
      </c>
      <c r="P1916" s="179">
        <v>30</v>
      </c>
      <c r="Q1916" s="180" t="str">
        <f>IF(PEDIDOS[[#This Row],[Valor do item pago]]=PEDIDOS[[#This Row],[Total Item ]],"PAGO", "")</f>
        <v>PAGO</v>
      </c>
      <c r="S1916"/>
      <c r="V1916"/>
      <c r="X1916"/>
      <c r="AB1916"/>
    </row>
    <row r="1917" spans="1:28" ht="39.950000000000003" customHeight="1" x14ac:dyDescent="0.25">
      <c r="A1917" s="100"/>
      <c r="B1917">
        <v>154</v>
      </c>
      <c r="C1917" s="104">
        <v>43196</v>
      </c>
      <c r="D1917" t="s">
        <v>44</v>
      </c>
      <c r="E1917" t="s">
        <v>25</v>
      </c>
      <c r="F1917" t="s">
        <v>291</v>
      </c>
      <c r="G1917" t="s">
        <v>330</v>
      </c>
      <c r="H1917" t="s">
        <v>406</v>
      </c>
      <c r="I1917" t="s">
        <v>329</v>
      </c>
      <c r="K1917" t="s">
        <v>40</v>
      </c>
      <c r="L1917" t="s">
        <v>219</v>
      </c>
      <c r="M1917" s="178">
        <v>1</v>
      </c>
      <c r="N1917" s="179">
        <v>30</v>
      </c>
      <c r="O1917" s="179">
        <v>30</v>
      </c>
      <c r="P1917" s="179"/>
      <c r="Q1917" s="180"/>
      <c r="S1917"/>
      <c r="V1917"/>
      <c r="X1917"/>
      <c r="AB1917"/>
    </row>
    <row r="1918" spans="1:28" ht="39.950000000000003" customHeight="1" x14ac:dyDescent="0.25">
      <c r="A1918" s="100"/>
      <c r="B1918">
        <v>151</v>
      </c>
      <c r="C1918" s="104">
        <v>43196</v>
      </c>
      <c r="D1918" t="s">
        <v>24</v>
      </c>
      <c r="E1918" t="s">
        <v>25</v>
      </c>
      <c r="F1918" t="s">
        <v>291</v>
      </c>
      <c r="G1918" t="s">
        <v>330</v>
      </c>
      <c r="H1918" t="s">
        <v>406</v>
      </c>
      <c r="I1918" t="s">
        <v>329</v>
      </c>
      <c r="L1918" t="s">
        <v>219</v>
      </c>
      <c r="M1918" s="178">
        <v>1</v>
      </c>
      <c r="N1918" s="179">
        <v>30</v>
      </c>
      <c r="O1918" s="179">
        <v>30</v>
      </c>
      <c r="P1918" s="179"/>
      <c r="Q1918" s="180"/>
      <c r="S1918"/>
      <c r="V1918"/>
      <c r="X1918"/>
      <c r="AB1918"/>
    </row>
    <row r="1919" spans="1:28" ht="39.950000000000003" customHeight="1" x14ac:dyDescent="0.25">
      <c r="A1919" s="100"/>
      <c r="B1919">
        <v>138</v>
      </c>
      <c r="C1919" s="104">
        <v>43196</v>
      </c>
      <c r="D1919" t="s">
        <v>234</v>
      </c>
      <c r="E1919" t="s">
        <v>25</v>
      </c>
      <c r="F1919" t="s">
        <v>291</v>
      </c>
      <c r="G1919" t="s">
        <v>330</v>
      </c>
      <c r="H1919" t="s">
        <v>406</v>
      </c>
      <c r="I1919" t="s">
        <v>329</v>
      </c>
      <c r="L1919" t="s">
        <v>219</v>
      </c>
      <c r="M1919" s="178">
        <v>1</v>
      </c>
      <c r="N1919" s="179">
        <v>30</v>
      </c>
      <c r="O1919" s="179">
        <v>30</v>
      </c>
      <c r="P1919" s="179">
        <v>30</v>
      </c>
      <c r="Q1919" s="180"/>
      <c r="S1919"/>
      <c r="V1919"/>
      <c r="X1919"/>
      <c r="AB1919"/>
    </row>
    <row r="1920" spans="1:28" ht="39.950000000000003" customHeight="1" x14ac:dyDescent="0.25">
      <c r="A1920" s="100"/>
      <c r="B1920">
        <v>105</v>
      </c>
      <c r="C1920" s="104">
        <v>43195</v>
      </c>
      <c r="D1920" t="s">
        <v>477</v>
      </c>
      <c r="E1920" t="s">
        <v>25</v>
      </c>
      <c r="F1920" t="s">
        <v>291</v>
      </c>
      <c r="G1920" t="s">
        <v>330</v>
      </c>
      <c r="H1920" t="s">
        <v>406</v>
      </c>
      <c r="I1920" t="s">
        <v>329</v>
      </c>
      <c r="L1920" t="s">
        <v>219</v>
      </c>
      <c r="M1920" s="178">
        <v>5</v>
      </c>
      <c r="N1920" s="179">
        <v>30</v>
      </c>
      <c r="O1920" s="179">
        <v>150</v>
      </c>
      <c r="P1920" s="179">
        <v>150</v>
      </c>
      <c r="Q1920" s="180"/>
      <c r="S1920"/>
      <c r="V1920"/>
      <c r="X1920"/>
      <c r="AB1920"/>
    </row>
    <row r="1921" spans="1:28" ht="39.950000000000003" customHeight="1" x14ac:dyDescent="0.25">
      <c r="A1921" s="100"/>
      <c r="B1921">
        <v>76</v>
      </c>
      <c r="C1921" s="104">
        <v>43101</v>
      </c>
      <c r="D1921" t="s">
        <v>463</v>
      </c>
      <c r="E1921" t="s">
        <v>202</v>
      </c>
      <c r="F1921" t="s">
        <v>281</v>
      </c>
      <c r="G1921" t="s">
        <v>330</v>
      </c>
      <c r="H1921" t="s">
        <v>406</v>
      </c>
      <c r="I1921" t="s">
        <v>329</v>
      </c>
      <c r="J1921" t="s">
        <v>479</v>
      </c>
      <c r="K1921" t="s">
        <v>463</v>
      </c>
      <c r="L1921" t="s">
        <v>219</v>
      </c>
      <c r="M1921" s="178">
        <v>1</v>
      </c>
      <c r="N1921" s="179">
        <v>30</v>
      </c>
      <c r="O1921" s="179">
        <v>30</v>
      </c>
      <c r="P1921" s="179"/>
      <c r="Q1921" s="181" t="str">
        <f>IF(PEDIDOS[[#This Row],[Valor do item pago]]=PEDIDOS[[#This Row],[Total Item ]],"PAGO", "ABERTO")</f>
        <v>ABERTO</v>
      </c>
      <c r="S1921"/>
      <c r="V1921"/>
      <c r="X1921"/>
      <c r="AB1921"/>
    </row>
    <row r="1922" spans="1:28" ht="39.950000000000003" customHeight="1" x14ac:dyDescent="0.25">
      <c r="A1922" s="100"/>
      <c r="B1922">
        <v>74</v>
      </c>
      <c r="C1922" s="104">
        <v>43101</v>
      </c>
      <c r="D1922" t="s">
        <v>477</v>
      </c>
      <c r="E1922" t="s">
        <v>352</v>
      </c>
      <c r="F1922" t="s">
        <v>291</v>
      </c>
      <c r="G1922" t="s">
        <v>182</v>
      </c>
      <c r="H1922" t="s">
        <v>395</v>
      </c>
      <c r="I1922" t="s">
        <v>329</v>
      </c>
      <c r="L1922" t="s">
        <v>219</v>
      </c>
      <c r="M1922" s="156">
        <v>5</v>
      </c>
      <c r="N1922" s="180">
        <v>30</v>
      </c>
      <c r="O1922" s="180">
        <v>150</v>
      </c>
      <c r="P1922" s="180">
        <v>150</v>
      </c>
      <c r="Q1922" s="181" t="str">
        <f>IF(PEDIDOS[[#This Row],[Valor do item pago]]=PEDIDOS[[#This Row],[Total Item ]],"PAGO", "ABERTO")</f>
        <v>PAGO</v>
      </c>
      <c r="S1922"/>
      <c r="V1922"/>
      <c r="X1922"/>
      <c r="AB1922"/>
    </row>
    <row r="1923" spans="1:28" ht="39.950000000000003" customHeight="1" x14ac:dyDescent="0.25">
      <c r="A1923" s="100"/>
      <c r="B1923">
        <v>48</v>
      </c>
      <c r="C1923" s="104">
        <v>43101</v>
      </c>
      <c r="D1923" t="s">
        <v>234</v>
      </c>
      <c r="E1923" t="s">
        <v>25</v>
      </c>
      <c r="F1923" t="s">
        <v>291</v>
      </c>
      <c r="G1923" t="s">
        <v>330</v>
      </c>
      <c r="H1923" t="s">
        <v>406</v>
      </c>
      <c r="I1923" t="s">
        <v>329</v>
      </c>
      <c r="K1923" t="s">
        <v>234</v>
      </c>
      <c r="L1923" t="s">
        <v>219</v>
      </c>
      <c r="M1923" s="156">
        <v>2</v>
      </c>
      <c r="N1923" s="180">
        <v>30</v>
      </c>
      <c r="O1923" s="180">
        <v>60</v>
      </c>
      <c r="P1923" s="180"/>
      <c r="Q1923" s="181" t="str">
        <f>IF(PEDIDOS[[#This Row],[Valor do item pago]]=PEDIDOS[[#This Row],[Total Item ]],"PAGO", "ABERTO")</f>
        <v>ABERTO</v>
      </c>
      <c r="S1923"/>
      <c r="V1923"/>
      <c r="X1923"/>
      <c r="AB1923"/>
    </row>
    <row r="1924" spans="1:28" ht="39.950000000000003" customHeight="1" x14ac:dyDescent="0.25">
      <c r="A1924" s="100"/>
      <c r="B1924">
        <v>16</v>
      </c>
      <c r="C1924" s="104">
        <v>43101</v>
      </c>
      <c r="D1924" t="s">
        <v>44</v>
      </c>
      <c r="E1924" t="s">
        <v>130</v>
      </c>
      <c r="F1924">
        <v>0</v>
      </c>
      <c r="G1924" t="s">
        <v>330</v>
      </c>
      <c r="H1924" t="s">
        <v>406</v>
      </c>
      <c r="I1924" t="s">
        <v>329</v>
      </c>
      <c r="J1924" t="s">
        <v>18</v>
      </c>
      <c r="K1924" t="s">
        <v>44</v>
      </c>
      <c r="L1924" t="s">
        <v>219</v>
      </c>
      <c r="M1924" s="156">
        <v>1</v>
      </c>
      <c r="N1924" s="180">
        <v>30</v>
      </c>
      <c r="O1924" s="180">
        <v>30</v>
      </c>
      <c r="P1924" s="180"/>
      <c r="Q1924" s="181" t="str">
        <f>IF(PEDIDOS[[#This Row],[Valor do item pago]]=PEDIDOS[[#This Row],[Total Item ]],"PAGO", "ABERTO")</f>
        <v>ABERTO</v>
      </c>
      <c r="S1924"/>
      <c r="V1924"/>
      <c r="X1924"/>
      <c r="AB1924"/>
    </row>
    <row r="1925" spans="1:28" ht="39.950000000000003" customHeight="1" x14ac:dyDescent="0.25">
      <c r="A1925" s="100"/>
      <c r="B1925">
        <v>10</v>
      </c>
      <c r="C1925" s="104">
        <v>43101</v>
      </c>
      <c r="D1925" t="s">
        <v>24</v>
      </c>
      <c r="E1925" t="s">
        <v>25</v>
      </c>
      <c r="F1925" t="s">
        <v>291</v>
      </c>
      <c r="G1925" t="s">
        <v>330</v>
      </c>
      <c r="H1925" t="s">
        <v>406</v>
      </c>
      <c r="I1925" t="s">
        <v>329</v>
      </c>
      <c r="J1925" t="s">
        <v>18</v>
      </c>
      <c r="K1925" t="s">
        <v>24</v>
      </c>
      <c r="L1925" t="s">
        <v>219</v>
      </c>
      <c r="M1925" s="156">
        <v>1</v>
      </c>
      <c r="N1925" s="180">
        <v>30</v>
      </c>
      <c r="O1925" s="180">
        <v>30</v>
      </c>
      <c r="P1925" s="180"/>
      <c r="Q1925" s="181" t="str">
        <f>IF(PEDIDOS[[#This Row],[Valor do item pago]]=PEDIDOS[[#This Row],[Total Item ]],"PAGO", "ABERTO")</f>
        <v>ABERTO</v>
      </c>
      <c r="S1925"/>
      <c r="V1925"/>
      <c r="X1925"/>
      <c r="AB1925"/>
    </row>
    <row r="1926" spans="1:28" ht="39.950000000000003" customHeight="1" x14ac:dyDescent="0.25">
      <c r="A1926" s="100"/>
      <c r="B1926">
        <v>229</v>
      </c>
      <c r="C1926" s="104">
        <v>43257</v>
      </c>
      <c r="D1926" t="s">
        <v>49</v>
      </c>
      <c r="E1926" t="s">
        <v>611</v>
      </c>
      <c r="F1926" t="s">
        <v>276</v>
      </c>
      <c r="G1926" t="s">
        <v>66</v>
      </c>
      <c r="H1926" t="s">
        <v>390</v>
      </c>
      <c r="I1926" t="s">
        <v>253</v>
      </c>
      <c r="J1926" t="s">
        <v>740</v>
      </c>
      <c r="L1926" t="s">
        <v>3</v>
      </c>
      <c r="M1926" s="178">
        <v>1</v>
      </c>
      <c r="N1926" s="179">
        <v>30</v>
      </c>
      <c r="O1926" s="179">
        <v>30</v>
      </c>
      <c r="P1926" s="179"/>
      <c r="Q1926" s="180" t="str">
        <f>IF(PEDIDOS[[#This Row],[Valor do item pago]]=PEDIDOS[[#This Row],[Total Item ]],"PAGO", "")</f>
        <v/>
      </c>
      <c r="S1926"/>
      <c r="V1926"/>
      <c r="X1926"/>
      <c r="AB1926"/>
    </row>
    <row r="1927" spans="1:28" ht="39.950000000000003" customHeight="1" x14ac:dyDescent="0.25">
      <c r="A1927" s="100"/>
      <c r="B1927">
        <v>228</v>
      </c>
      <c r="C1927" s="104">
        <v>43257</v>
      </c>
      <c r="D1927" t="s">
        <v>40</v>
      </c>
      <c r="E1927" t="s">
        <v>734</v>
      </c>
      <c r="F1927">
        <v>0</v>
      </c>
      <c r="G1927">
        <v>0</v>
      </c>
      <c r="H1927">
        <v>0</v>
      </c>
      <c r="L1927" t="s">
        <v>1</v>
      </c>
      <c r="M1927" s="178">
        <v>1</v>
      </c>
      <c r="N1927" s="179">
        <v>30</v>
      </c>
      <c r="O1927" s="179">
        <v>30</v>
      </c>
      <c r="P1927" s="179"/>
      <c r="Q1927" s="180" t="str">
        <f>IF(PEDIDOS[[#This Row],[Valor do item pago]]=PEDIDOS[[#This Row],[Total Item ]],"PAGO", "")</f>
        <v/>
      </c>
      <c r="S1927"/>
      <c r="V1927"/>
      <c r="X1927"/>
      <c r="AB1927"/>
    </row>
    <row r="1928" spans="1:28" ht="39.950000000000003" customHeight="1" x14ac:dyDescent="0.25">
      <c r="A1928" s="100"/>
      <c r="B1928">
        <v>227</v>
      </c>
      <c r="C1928" s="104">
        <v>43257</v>
      </c>
      <c r="D1928" t="s">
        <v>40</v>
      </c>
      <c r="E1928" t="s">
        <v>732</v>
      </c>
      <c r="F1928" t="s">
        <v>733</v>
      </c>
      <c r="G1928">
        <v>0</v>
      </c>
      <c r="H1928" t="s">
        <v>40</v>
      </c>
      <c r="L1928" t="s">
        <v>1</v>
      </c>
      <c r="M1928" s="178">
        <v>1</v>
      </c>
      <c r="N1928" s="179">
        <v>30</v>
      </c>
      <c r="O1928" s="179">
        <v>30</v>
      </c>
      <c r="P1928" s="179"/>
      <c r="Q1928" s="180" t="str">
        <f>IF(PEDIDOS[[#This Row],[Valor do item pago]]=PEDIDOS[[#This Row],[Total Item ]],"PAGO", "")</f>
        <v/>
      </c>
      <c r="S1928"/>
      <c r="V1928"/>
      <c r="X1928"/>
      <c r="AB1928"/>
    </row>
    <row r="1929" spans="1:28" ht="39.950000000000003" customHeight="1" x14ac:dyDescent="0.25">
      <c r="A1929" s="100"/>
      <c r="B1929">
        <v>226</v>
      </c>
      <c r="C1929" s="104">
        <v>43257</v>
      </c>
      <c r="D1929" t="s">
        <v>40</v>
      </c>
      <c r="E1929" t="s">
        <v>209</v>
      </c>
      <c r="F1929" t="s">
        <v>306</v>
      </c>
      <c r="G1929" t="s">
        <v>114</v>
      </c>
      <c r="H1929" t="s">
        <v>115</v>
      </c>
      <c r="I1929" t="s">
        <v>443</v>
      </c>
      <c r="L1929" t="s">
        <v>0</v>
      </c>
      <c r="M1929" s="178">
        <v>1</v>
      </c>
      <c r="N1929" s="179">
        <v>30</v>
      </c>
      <c r="O1929" s="179">
        <v>30</v>
      </c>
      <c r="P1929" s="179"/>
      <c r="Q1929" s="180" t="str">
        <f>IF(PEDIDOS[[#This Row],[Valor do item pago]]=PEDIDOS[[#This Row],[Total Item ]],"PAGO", "")</f>
        <v/>
      </c>
      <c r="S1929"/>
      <c r="V1929"/>
      <c r="X1929"/>
      <c r="AB1929"/>
    </row>
    <row r="1930" spans="1:28" ht="39.950000000000003" customHeight="1" x14ac:dyDescent="0.25">
      <c r="A1930" s="100"/>
      <c r="B1930" s="227">
        <v>225</v>
      </c>
      <c r="C1930" s="228">
        <v>43257</v>
      </c>
      <c r="D1930" s="227" t="s">
        <v>40</v>
      </c>
      <c r="E1930" s="227" t="s">
        <v>640</v>
      </c>
      <c r="F1930" s="227">
        <v>0</v>
      </c>
      <c r="G1930" s="227" t="s">
        <v>633</v>
      </c>
      <c r="H1930" s="227" t="s">
        <v>461</v>
      </c>
      <c r="I1930" s="227" t="s">
        <v>656</v>
      </c>
      <c r="J1930" s="227"/>
      <c r="K1930" s="227"/>
      <c r="L1930" s="227"/>
      <c r="M1930" s="229"/>
      <c r="N1930" s="230">
        <v>30</v>
      </c>
      <c r="O1930" s="230">
        <v>30</v>
      </c>
      <c r="P1930" s="230"/>
      <c r="Q1930" s="180" t="str">
        <f>IF(PEDIDOS[[#This Row],[Valor do item pago]]=PEDIDOS[[#This Row],[Total Item ]],"PAGO", "")</f>
        <v/>
      </c>
      <c r="S1930"/>
      <c r="V1930"/>
      <c r="X1930"/>
      <c r="AB1930"/>
    </row>
    <row r="1931" spans="1:28" ht="39.950000000000003" customHeight="1" x14ac:dyDescent="0.25">
      <c r="A1931" s="100"/>
      <c r="B1931">
        <v>224</v>
      </c>
      <c r="C1931" s="104">
        <v>43257</v>
      </c>
      <c r="D1931" t="s">
        <v>40</v>
      </c>
      <c r="E1931" t="s">
        <v>632</v>
      </c>
      <c r="F1931" t="s">
        <v>641</v>
      </c>
      <c r="G1931" t="s">
        <v>633</v>
      </c>
      <c r="H1931" t="s">
        <v>461</v>
      </c>
      <c r="I1931" t="s">
        <v>656</v>
      </c>
      <c r="K1931" t="s">
        <v>40</v>
      </c>
      <c r="L1931" t="s">
        <v>3</v>
      </c>
      <c r="M1931" s="178">
        <v>1</v>
      </c>
      <c r="N1931" s="179">
        <v>30</v>
      </c>
      <c r="O1931" s="179">
        <v>30</v>
      </c>
      <c r="P1931" s="179"/>
      <c r="Q1931" s="180" t="str">
        <f>IF(PEDIDOS[[#This Row],[Valor do item pago]]=PEDIDOS[[#This Row],[Total Item ]],"PAGO", "")</f>
        <v/>
      </c>
      <c r="S1931"/>
      <c r="V1931"/>
      <c r="X1931"/>
      <c r="AB1931"/>
    </row>
    <row r="1932" spans="1:28" ht="39.950000000000003" customHeight="1" x14ac:dyDescent="0.25">
      <c r="A1932" s="100"/>
      <c r="B1932">
        <v>224</v>
      </c>
      <c r="C1932" s="104">
        <v>43257</v>
      </c>
      <c r="D1932" t="s">
        <v>40</v>
      </c>
      <c r="E1932" t="s">
        <v>632</v>
      </c>
      <c r="F1932" t="s">
        <v>641</v>
      </c>
      <c r="G1932" t="s">
        <v>633</v>
      </c>
      <c r="H1932" t="s">
        <v>461</v>
      </c>
      <c r="I1932" t="s">
        <v>656</v>
      </c>
      <c r="K1932" t="s">
        <v>40</v>
      </c>
      <c r="L1932" t="s">
        <v>0</v>
      </c>
      <c r="M1932" s="178">
        <v>1</v>
      </c>
      <c r="N1932" s="179">
        <v>30</v>
      </c>
      <c r="O1932" s="179">
        <v>30</v>
      </c>
      <c r="P1932" s="179"/>
      <c r="Q1932" s="180" t="str">
        <f>IF(PEDIDOS[[#This Row],[Valor do item pago]]=PEDIDOS[[#This Row],[Total Item ]],"PAGO", "")</f>
        <v/>
      </c>
      <c r="S1932"/>
      <c r="V1932"/>
      <c r="X1932"/>
      <c r="AB1932"/>
    </row>
    <row r="1933" spans="1:28" ht="39.950000000000003" customHeight="1" x14ac:dyDescent="0.25">
      <c r="A1933" s="100"/>
      <c r="B1933">
        <v>223</v>
      </c>
      <c r="C1933" s="104">
        <v>43257</v>
      </c>
      <c r="D1933" t="s">
        <v>40</v>
      </c>
      <c r="E1933" t="s">
        <v>635</v>
      </c>
      <c r="F1933" t="s">
        <v>636</v>
      </c>
      <c r="G1933" t="s">
        <v>637</v>
      </c>
      <c r="H1933" t="s">
        <v>639</v>
      </c>
      <c r="I1933" t="s">
        <v>684</v>
      </c>
      <c r="K1933" t="s">
        <v>40</v>
      </c>
      <c r="L1933" t="s">
        <v>219</v>
      </c>
      <c r="M1933" s="178">
        <v>1</v>
      </c>
      <c r="N1933" s="179">
        <v>30</v>
      </c>
      <c r="O1933" s="179">
        <v>30</v>
      </c>
      <c r="P1933" s="179"/>
      <c r="Q1933" s="180" t="str">
        <f>IF(PEDIDOS[[#This Row],[Valor do item pago]]=PEDIDOS[[#This Row],[Total Item ]],"PAGO", "")</f>
        <v/>
      </c>
      <c r="S1933"/>
      <c r="V1933"/>
      <c r="X1933"/>
      <c r="AB1933"/>
    </row>
    <row r="1934" spans="1:28" ht="39.950000000000003" customHeight="1" x14ac:dyDescent="0.25">
      <c r="A1934" s="100"/>
      <c r="B1934">
        <v>222</v>
      </c>
      <c r="C1934" s="104">
        <v>43257</v>
      </c>
      <c r="D1934" t="s">
        <v>40</v>
      </c>
      <c r="E1934" t="s">
        <v>473</v>
      </c>
      <c r="F1934" t="s">
        <v>315</v>
      </c>
      <c r="G1934">
        <v>0</v>
      </c>
      <c r="H1934">
        <v>0</v>
      </c>
      <c r="K1934" t="s">
        <v>40</v>
      </c>
      <c r="L1934" t="s">
        <v>1</v>
      </c>
      <c r="M1934" s="178">
        <v>1</v>
      </c>
      <c r="N1934" s="179">
        <v>30</v>
      </c>
      <c r="O1934" s="179">
        <v>30</v>
      </c>
      <c r="P1934" s="179"/>
      <c r="Q1934" s="180" t="str">
        <f>IF(PEDIDOS[[#This Row],[Valor do item pago]]=PEDIDOS[[#This Row],[Total Item ]],"PAGO", "")</f>
        <v/>
      </c>
      <c r="S1934"/>
      <c r="V1934"/>
      <c r="X1934"/>
      <c r="AB1934"/>
    </row>
    <row r="1935" spans="1:28" ht="39.950000000000003" customHeight="1" x14ac:dyDescent="0.25">
      <c r="A1935" s="100"/>
      <c r="B1935">
        <v>221</v>
      </c>
      <c r="C1935" s="104">
        <v>43257</v>
      </c>
      <c r="D1935" t="s">
        <v>40</v>
      </c>
      <c r="E1935" t="s">
        <v>649</v>
      </c>
      <c r="F1935" t="s">
        <v>310</v>
      </c>
      <c r="G1935" t="s">
        <v>650</v>
      </c>
      <c r="H1935" t="s">
        <v>651</v>
      </c>
      <c r="I1935" t="s">
        <v>653</v>
      </c>
      <c r="L1935" t="s">
        <v>219</v>
      </c>
      <c r="M1935" s="178">
        <v>1</v>
      </c>
      <c r="N1935" s="179">
        <v>30</v>
      </c>
      <c r="O1935" s="179">
        <v>30</v>
      </c>
      <c r="P1935" s="179"/>
      <c r="Q1935" s="180" t="str">
        <f>IF(PEDIDOS[[#This Row],[Valor do item pago]]=PEDIDOS[[#This Row],[Total Item ]],"PAGO", "")</f>
        <v/>
      </c>
      <c r="S1935"/>
      <c r="V1935"/>
      <c r="X1935"/>
      <c r="AB1935"/>
    </row>
    <row r="1936" spans="1:28" ht="39.950000000000003" customHeight="1" x14ac:dyDescent="0.25">
      <c r="A1936" s="100"/>
      <c r="B1936">
        <v>220</v>
      </c>
      <c r="C1936" s="104">
        <v>43257</v>
      </c>
      <c r="D1936" t="s">
        <v>40</v>
      </c>
      <c r="E1936" t="s">
        <v>647</v>
      </c>
      <c r="F1936" t="s">
        <v>303</v>
      </c>
      <c r="G1936" t="s">
        <v>437</v>
      </c>
      <c r="H1936" t="s">
        <v>84</v>
      </c>
      <c r="I1936" t="s">
        <v>439</v>
      </c>
      <c r="L1936" t="s">
        <v>1</v>
      </c>
      <c r="M1936" s="178">
        <v>1</v>
      </c>
      <c r="N1936" s="179">
        <v>30</v>
      </c>
      <c r="O1936" s="179">
        <v>30</v>
      </c>
      <c r="P1936" s="179"/>
      <c r="Q1936" s="180" t="str">
        <f>IF(PEDIDOS[[#This Row],[Valor do item pago]]=PEDIDOS[[#This Row],[Total Item ]],"PAGO", "")</f>
        <v/>
      </c>
      <c r="S1936"/>
      <c r="V1936"/>
      <c r="X1936"/>
      <c r="AB1936"/>
    </row>
    <row r="1937" spans="1:28" ht="39.950000000000003" customHeight="1" x14ac:dyDescent="0.25">
      <c r="A1937" s="100"/>
      <c r="B1937">
        <v>162</v>
      </c>
      <c r="C1937" s="104">
        <v>43196</v>
      </c>
      <c r="D1937" t="s">
        <v>48</v>
      </c>
      <c r="E1937" t="s">
        <v>213</v>
      </c>
      <c r="F1937" t="s">
        <v>284</v>
      </c>
      <c r="G1937" t="s">
        <v>85</v>
      </c>
      <c r="H1937" t="s">
        <v>420</v>
      </c>
      <c r="I1937" t="s">
        <v>419</v>
      </c>
      <c r="L1937" t="s">
        <v>1</v>
      </c>
      <c r="M1937" s="178">
        <v>1</v>
      </c>
      <c r="N1937" s="179">
        <v>30</v>
      </c>
      <c r="O1937" s="179">
        <v>30</v>
      </c>
      <c r="P1937" s="179"/>
      <c r="Q1937" s="180"/>
      <c r="S1937"/>
      <c r="V1937"/>
      <c r="X1937"/>
      <c r="AB1937"/>
    </row>
    <row r="1938" spans="1:28" ht="39.950000000000003" customHeight="1" x14ac:dyDescent="0.25">
      <c r="A1938" s="100"/>
      <c r="B1938">
        <v>43</v>
      </c>
      <c r="C1938" s="104">
        <v>43101</v>
      </c>
      <c r="D1938" t="s">
        <v>48</v>
      </c>
      <c r="E1938" t="s">
        <v>213</v>
      </c>
      <c r="F1938" t="s">
        <v>284</v>
      </c>
      <c r="G1938" t="s">
        <v>85</v>
      </c>
      <c r="H1938" t="s">
        <v>420</v>
      </c>
      <c r="I1938" t="s">
        <v>419</v>
      </c>
      <c r="L1938" t="s">
        <v>0</v>
      </c>
      <c r="M1938" s="156">
        <v>1</v>
      </c>
      <c r="N1938" s="180">
        <v>30</v>
      </c>
      <c r="O1938" s="180">
        <v>30</v>
      </c>
      <c r="P1938" s="180"/>
      <c r="Q1938" s="181" t="str">
        <f>IF(PEDIDOS[[#This Row],[Valor do item pago]]=PEDIDOS[[#This Row],[Total Item ]],"PAGO", "ABERTO")</f>
        <v>ABERTO</v>
      </c>
      <c r="S1938"/>
      <c r="V1938"/>
      <c r="X1938"/>
      <c r="AB1938"/>
    </row>
    <row r="1939" spans="1:28" ht="39.950000000000003" customHeight="1" x14ac:dyDescent="0.25">
      <c r="A1939" s="100"/>
      <c r="B1939">
        <v>219</v>
      </c>
      <c r="C1939" s="104">
        <v>43257</v>
      </c>
      <c r="D1939" t="s">
        <v>40</v>
      </c>
      <c r="E1939" t="s">
        <v>630</v>
      </c>
      <c r="F1939" t="s">
        <v>312</v>
      </c>
      <c r="G1939" t="s">
        <v>616</v>
      </c>
      <c r="H1939" t="s">
        <v>523</v>
      </c>
      <c r="I1939" t="s">
        <v>735</v>
      </c>
      <c r="J1939" t="s">
        <v>731</v>
      </c>
      <c r="L1939" t="s">
        <v>1</v>
      </c>
      <c r="M1939" s="178">
        <v>4</v>
      </c>
      <c r="N1939" s="179">
        <v>30</v>
      </c>
      <c r="O1939" s="179">
        <v>120</v>
      </c>
      <c r="P1939" s="179">
        <v>120</v>
      </c>
      <c r="Q1939" s="180" t="str">
        <f>IF(PEDIDOS[[#This Row],[Valor do item pago]]=PEDIDOS[[#This Row],[Total Item ]],"PAGO", "")</f>
        <v>PAGO</v>
      </c>
      <c r="S1939"/>
      <c r="V1939"/>
      <c r="X1939"/>
      <c r="AB1939"/>
    </row>
    <row r="1940" spans="1:28" ht="39.950000000000003" customHeight="1" x14ac:dyDescent="0.25">
      <c r="A1940" s="100"/>
      <c r="B1940">
        <v>170</v>
      </c>
      <c r="C1940" s="104">
        <v>43196</v>
      </c>
      <c r="D1940" t="s">
        <v>36</v>
      </c>
      <c r="E1940" t="s">
        <v>617</v>
      </c>
      <c r="F1940" t="s">
        <v>299</v>
      </c>
      <c r="G1940" t="s">
        <v>265</v>
      </c>
      <c r="H1940" t="s">
        <v>387</v>
      </c>
      <c r="I1940" t="s">
        <v>430</v>
      </c>
      <c r="L1940" t="s">
        <v>1</v>
      </c>
      <c r="M1940" s="178">
        <v>1</v>
      </c>
      <c r="N1940" s="179">
        <v>30</v>
      </c>
      <c r="O1940" s="179">
        <v>30</v>
      </c>
      <c r="P1940" s="179"/>
      <c r="Q1940" s="180"/>
      <c r="S1940"/>
      <c r="V1940"/>
      <c r="X1940"/>
      <c r="AB1940"/>
    </row>
    <row r="1941" spans="1:28" ht="39.950000000000003" customHeight="1" x14ac:dyDescent="0.25">
      <c r="A1941" s="100"/>
      <c r="B1941">
        <v>8</v>
      </c>
      <c r="C1941" s="104">
        <v>43101</v>
      </c>
      <c r="D1941" t="s">
        <v>35</v>
      </c>
      <c r="E1941" t="s">
        <v>361</v>
      </c>
      <c r="F1941" t="s">
        <v>299</v>
      </c>
      <c r="G1941" t="s">
        <v>265</v>
      </c>
      <c r="H1941" t="s">
        <v>387</v>
      </c>
      <c r="I1941" t="s">
        <v>430</v>
      </c>
      <c r="K1941" t="s">
        <v>35</v>
      </c>
      <c r="L1941" t="s">
        <v>1</v>
      </c>
      <c r="M1941" s="156">
        <v>1</v>
      </c>
      <c r="N1941" s="180">
        <v>30</v>
      </c>
      <c r="O1941" s="180">
        <v>30</v>
      </c>
      <c r="P1941" s="180">
        <v>30</v>
      </c>
      <c r="Q1941" s="181" t="str">
        <f>IF(PEDIDOS[[#This Row],[Valor do item pago]]=PEDIDOS[[#This Row],[Total Item ]],"PAGO", "ABERTO")</f>
        <v>PAGO</v>
      </c>
      <c r="S1941"/>
      <c r="V1941"/>
      <c r="X1941"/>
      <c r="AB1941"/>
    </row>
    <row r="1942" spans="1:28" ht="39.950000000000003" customHeight="1" x14ac:dyDescent="0.25">
      <c r="A1942" s="100"/>
      <c r="B1942">
        <v>66</v>
      </c>
      <c r="C1942" s="104">
        <v>43101</v>
      </c>
      <c r="D1942" t="s">
        <v>477</v>
      </c>
      <c r="E1942" t="s">
        <v>338</v>
      </c>
      <c r="F1942" t="s">
        <v>273</v>
      </c>
      <c r="G1942" t="s">
        <v>166</v>
      </c>
      <c r="H1942" t="s">
        <v>387</v>
      </c>
      <c r="I1942" t="s">
        <v>415</v>
      </c>
      <c r="L1942" t="s">
        <v>1</v>
      </c>
      <c r="M1942" s="156">
        <v>1</v>
      </c>
      <c r="N1942" s="180">
        <v>30</v>
      </c>
      <c r="O1942" s="180">
        <v>30</v>
      </c>
      <c r="P1942" s="180"/>
      <c r="Q1942" s="181" t="str">
        <f>IF(PEDIDOS[[#This Row],[Valor do item pago]]=PEDIDOS[[#This Row],[Total Item ]],"PAGO", "ABERTO")</f>
        <v>ABERTO</v>
      </c>
      <c r="S1942"/>
      <c r="V1942"/>
      <c r="X1942"/>
      <c r="AB1942"/>
    </row>
    <row r="1943" spans="1:28" ht="39.950000000000003" customHeight="1" x14ac:dyDescent="0.25">
      <c r="A1943" s="100"/>
      <c r="B1943">
        <v>218</v>
      </c>
      <c r="C1943" s="104">
        <v>43257</v>
      </c>
      <c r="D1943" t="s">
        <v>40</v>
      </c>
      <c r="E1943" t="s">
        <v>13</v>
      </c>
      <c r="F1943">
        <v>0</v>
      </c>
      <c r="G1943">
        <v>0</v>
      </c>
      <c r="H1943">
        <v>0</v>
      </c>
      <c r="L1943" t="s">
        <v>219</v>
      </c>
      <c r="M1943" s="178">
        <v>2</v>
      </c>
      <c r="N1943" s="179">
        <v>30</v>
      </c>
      <c r="O1943" s="179">
        <v>60</v>
      </c>
      <c r="P1943" s="179"/>
      <c r="Q1943" s="180" t="str">
        <f>IF(PEDIDOS[[#This Row],[Valor do item pago]]=PEDIDOS[[#This Row],[Total Item ]],"PAGO", "")</f>
        <v/>
      </c>
      <c r="S1943"/>
      <c r="V1943"/>
      <c r="X1943"/>
      <c r="AB1943"/>
    </row>
    <row r="1944" spans="1:28" ht="39.950000000000003" customHeight="1" x14ac:dyDescent="0.25">
      <c r="A1944" s="100"/>
      <c r="B1944">
        <v>217</v>
      </c>
      <c r="C1944" s="104">
        <v>43257</v>
      </c>
      <c r="D1944" t="s">
        <v>40</v>
      </c>
      <c r="E1944" t="s">
        <v>204</v>
      </c>
      <c r="F1944" t="s">
        <v>279</v>
      </c>
      <c r="G1944">
        <v>0</v>
      </c>
      <c r="H1944">
        <v>0</v>
      </c>
      <c r="L1944" t="s">
        <v>3</v>
      </c>
      <c r="M1944" s="178">
        <v>2</v>
      </c>
      <c r="N1944" s="179">
        <v>30</v>
      </c>
      <c r="O1944" s="179">
        <v>60</v>
      </c>
      <c r="P1944" s="179"/>
      <c r="Q1944" s="180" t="str">
        <f>IF(PEDIDOS[[#This Row],[Valor do item pago]]=PEDIDOS[[#This Row],[Total Item ]],"PAGO", "")</f>
        <v/>
      </c>
      <c r="S1944"/>
      <c r="V1944"/>
      <c r="X1944"/>
      <c r="AB1944"/>
    </row>
    <row r="1945" spans="1:28" ht="39.950000000000003" customHeight="1" x14ac:dyDescent="0.25">
      <c r="A1945" s="100"/>
      <c r="B1945">
        <v>63</v>
      </c>
      <c r="C1945" s="104">
        <v>43101</v>
      </c>
      <c r="D1945" t="s">
        <v>477</v>
      </c>
      <c r="E1945" t="s">
        <v>383</v>
      </c>
      <c r="F1945" t="s">
        <v>304</v>
      </c>
      <c r="G1945" t="s">
        <v>191</v>
      </c>
      <c r="H1945" t="s">
        <v>387</v>
      </c>
      <c r="I1945" t="s">
        <v>440</v>
      </c>
      <c r="L1945" t="s">
        <v>219</v>
      </c>
      <c r="M1945" s="156">
        <v>1</v>
      </c>
      <c r="N1945" s="180">
        <v>30</v>
      </c>
      <c r="O1945" s="180">
        <v>30</v>
      </c>
      <c r="P1945" s="180"/>
      <c r="Q1945" s="181" t="str">
        <f>IF(PEDIDOS[[#This Row],[Valor do item pago]]=PEDIDOS[[#This Row],[Total Item ]],"PAGO", "ABERTO")</f>
        <v>ABERTO</v>
      </c>
      <c r="S1945"/>
      <c r="V1945"/>
      <c r="X1945"/>
      <c r="AB1945"/>
    </row>
    <row r="1946" spans="1:28" ht="39.950000000000003" customHeight="1" x14ac:dyDescent="0.25">
      <c r="A1946" s="100"/>
      <c r="B1946">
        <v>67</v>
      </c>
      <c r="C1946" s="104">
        <v>43101</v>
      </c>
      <c r="D1946" t="s">
        <v>477</v>
      </c>
      <c r="E1946" t="s">
        <v>357</v>
      </c>
      <c r="F1946" t="s">
        <v>295</v>
      </c>
      <c r="G1946" t="s">
        <v>168</v>
      </c>
      <c r="H1946" t="s">
        <v>84</v>
      </c>
      <c r="I1946" t="s">
        <v>427</v>
      </c>
      <c r="L1946" t="s">
        <v>219</v>
      </c>
      <c r="M1946" s="156">
        <v>1</v>
      </c>
      <c r="N1946" s="180">
        <v>30</v>
      </c>
      <c r="O1946" s="180">
        <v>30</v>
      </c>
      <c r="P1946" s="180"/>
      <c r="Q1946" s="181" t="str">
        <f>IF(PEDIDOS[[#This Row],[Valor do item pago]]=PEDIDOS[[#This Row],[Total Item ]],"PAGO", "ABERTO")</f>
        <v>ABERTO</v>
      </c>
      <c r="S1946"/>
      <c r="V1946"/>
      <c r="X1946"/>
      <c r="AB1946"/>
    </row>
    <row r="1947" spans="1:28" ht="39.950000000000003" customHeight="1" x14ac:dyDescent="0.25">
      <c r="A1947" s="100"/>
      <c r="B1947">
        <v>216</v>
      </c>
      <c r="C1947" s="104">
        <v>43257</v>
      </c>
      <c r="D1947" t="s">
        <v>40</v>
      </c>
      <c r="E1947" t="s">
        <v>203</v>
      </c>
      <c r="F1947" t="s">
        <v>305</v>
      </c>
      <c r="G1947" t="s">
        <v>41</v>
      </c>
      <c r="H1947" t="s">
        <v>441</v>
      </c>
      <c r="I1947" t="s">
        <v>442</v>
      </c>
      <c r="L1947" t="s">
        <v>1</v>
      </c>
      <c r="M1947" s="178">
        <v>1</v>
      </c>
      <c r="N1947" s="179">
        <v>30</v>
      </c>
      <c r="O1947" s="179">
        <v>30</v>
      </c>
      <c r="P1947" s="179"/>
      <c r="Q1947" s="180" t="str">
        <f>IF(PEDIDOS[[#This Row],[Valor do item pago]]=PEDIDOS[[#This Row],[Total Item ]],"PAGO", "")</f>
        <v/>
      </c>
      <c r="S1947"/>
      <c r="V1947"/>
      <c r="X1947"/>
      <c r="AB1947"/>
    </row>
    <row r="1948" spans="1:28" ht="39.950000000000003" customHeight="1" x14ac:dyDescent="0.25">
      <c r="A1948" s="100"/>
      <c r="B1948">
        <v>216</v>
      </c>
      <c r="C1948" s="104">
        <v>43257</v>
      </c>
      <c r="D1948" t="s">
        <v>40</v>
      </c>
      <c r="E1948" t="s">
        <v>203</v>
      </c>
      <c r="F1948" t="s">
        <v>305</v>
      </c>
      <c r="G1948" t="s">
        <v>41</v>
      </c>
      <c r="H1948" t="s">
        <v>441</v>
      </c>
      <c r="I1948" t="s">
        <v>442</v>
      </c>
      <c r="L1948" t="s">
        <v>0</v>
      </c>
      <c r="M1948" s="178">
        <v>1</v>
      </c>
      <c r="N1948" s="179">
        <v>30</v>
      </c>
      <c r="O1948" s="179">
        <v>30</v>
      </c>
      <c r="P1948" s="179"/>
      <c r="Q1948" s="180" t="str">
        <f>IF(PEDIDOS[[#This Row],[Valor do item pago]]=PEDIDOS[[#This Row],[Total Item ]],"PAGO", "")</f>
        <v/>
      </c>
      <c r="S1948"/>
      <c r="V1948"/>
      <c r="X1948"/>
      <c r="AB1948"/>
    </row>
    <row r="1949" spans="1:28" ht="39.950000000000003" customHeight="1" x14ac:dyDescent="0.25">
      <c r="A1949" s="100"/>
      <c r="B1949">
        <v>215</v>
      </c>
      <c r="C1949" s="104">
        <v>43257</v>
      </c>
      <c r="D1949" t="s">
        <v>40</v>
      </c>
      <c r="E1949" t="s">
        <v>26</v>
      </c>
      <c r="F1949">
        <v>0</v>
      </c>
      <c r="G1949" t="s">
        <v>27</v>
      </c>
      <c r="H1949" t="s">
        <v>389</v>
      </c>
      <c r="I1949" t="s">
        <v>254</v>
      </c>
      <c r="L1949" t="s">
        <v>219</v>
      </c>
      <c r="M1949" s="178">
        <v>1</v>
      </c>
      <c r="N1949" s="179">
        <v>30</v>
      </c>
      <c r="O1949" s="179">
        <v>30</v>
      </c>
      <c r="P1949" s="179"/>
      <c r="Q1949" s="180" t="str">
        <f>IF(PEDIDOS[[#This Row],[Valor do item pago]]=PEDIDOS[[#This Row],[Total Item ]],"PAGO", "")</f>
        <v/>
      </c>
      <c r="S1949"/>
      <c r="V1949"/>
      <c r="X1949"/>
      <c r="AB1949"/>
    </row>
    <row r="1950" spans="1:28" ht="39.950000000000003" customHeight="1" x14ac:dyDescent="0.25">
      <c r="A1950" s="100"/>
      <c r="B1950">
        <v>167</v>
      </c>
      <c r="C1950" s="104">
        <v>43196</v>
      </c>
      <c r="D1950" t="s">
        <v>49</v>
      </c>
      <c r="E1950" t="s">
        <v>613</v>
      </c>
      <c r="F1950" t="s">
        <v>296</v>
      </c>
      <c r="G1950" t="s">
        <v>76</v>
      </c>
      <c r="H1950" t="s">
        <v>84</v>
      </c>
      <c r="I1950" t="s">
        <v>428</v>
      </c>
      <c r="L1950" t="s">
        <v>1</v>
      </c>
      <c r="M1950" s="178">
        <v>1</v>
      </c>
      <c r="N1950" s="179">
        <v>30</v>
      </c>
      <c r="O1950" s="179">
        <v>30</v>
      </c>
      <c r="P1950" s="179"/>
      <c r="Q1950" s="180"/>
      <c r="S1950"/>
      <c r="V1950"/>
      <c r="X1950"/>
      <c r="AB1950"/>
    </row>
    <row r="1951" spans="1:28" ht="39.950000000000003" customHeight="1" x14ac:dyDescent="0.25">
      <c r="A1951" s="100"/>
      <c r="B1951">
        <v>167</v>
      </c>
      <c r="C1951" s="104">
        <v>43196</v>
      </c>
      <c r="D1951" t="s">
        <v>49</v>
      </c>
      <c r="E1951" t="s">
        <v>613</v>
      </c>
      <c r="F1951" t="s">
        <v>296</v>
      </c>
      <c r="G1951" t="s">
        <v>76</v>
      </c>
      <c r="H1951" t="s">
        <v>84</v>
      </c>
      <c r="I1951" t="s">
        <v>428</v>
      </c>
      <c r="K1951" t="s">
        <v>49</v>
      </c>
      <c r="L1951" t="s">
        <v>0</v>
      </c>
      <c r="M1951" s="178">
        <v>1</v>
      </c>
      <c r="N1951" s="179">
        <v>30</v>
      </c>
      <c r="O1951" s="179">
        <v>30</v>
      </c>
      <c r="P1951" s="179"/>
      <c r="Q1951" s="180"/>
      <c r="S1951"/>
      <c r="V1951"/>
      <c r="X1951"/>
      <c r="AB1951"/>
    </row>
    <row r="1952" spans="1:28" ht="39.950000000000003" customHeight="1" x14ac:dyDescent="0.25">
      <c r="A1952" s="100"/>
      <c r="B1952">
        <v>214</v>
      </c>
      <c r="C1952" s="104">
        <v>43257</v>
      </c>
      <c r="D1952" t="s">
        <v>185</v>
      </c>
      <c r="E1952" t="s">
        <v>546</v>
      </c>
      <c r="F1952" t="s">
        <v>583</v>
      </c>
      <c r="G1952" t="s">
        <v>730</v>
      </c>
      <c r="H1952" t="s">
        <v>549</v>
      </c>
      <c r="I1952" t="s">
        <v>666</v>
      </c>
      <c r="L1952" t="s">
        <v>3</v>
      </c>
      <c r="M1952" s="178">
        <v>1</v>
      </c>
      <c r="N1952" s="179">
        <v>30</v>
      </c>
      <c r="O1952" s="179">
        <v>30</v>
      </c>
      <c r="P1952" s="179"/>
      <c r="Q1952" s="180" t="str">
        <f>IF(PEDIDOS[[#This Row],[Valor do item pago]]=PEDIDOS[[#This Row],[Total Item ]],"PAGO", "")</f>
        <v/>
      </c>
      <c r="S1952"/>
      <c r="V1952"/>
      <c r="X1952"/>
      <c r="AB1952"/>
    </row>
    <row r="1953" spans="1:28" ht="39.950000000000003" customHeight="1" x14ac:dyDescent="0.25">
      <c r="A1953" s="100"/>
      <c r="B1953">
        <v>213</v>
      </c>
      <c r="C1953" s="104">
        <v>43257</v>
      </c>
      <c r="D1953" t="s">
        <v>185</v>
      </c>
      <c r="E1953" t="s">
        <v>726</v>
      </c>
      <c r="F1953" t="s">
        <v>727</v>
      </c>
      <c r="G1953" t="s">
        <v>728</v>
      </c>
      <c r="H1953" t="s">
        <v>723</v>
      </c>
      <c r="I1953" t="s">
        <v>729</v>
      </c>
      <c r="L1953" t="s">
        <v>219</v>
      </c>
      <c r="M1953" s="178">
        <v>1</v>
      </c>
      <c r="N1953" s="179">
        <v>30</v>
      </c>
      <c r="O1953" s="179">
        <v>30</v>
      </c>
      <c r="P1953" s="179"/>
      <c r="Q1953" s="180" t="str">
        <f>IF(PEDIDOS[[#This Row],[Valor do item pago]]=PEDIDOS[[#This Row],[Total Item ]],"PAGO", "")</f>
        <v/>
      </c>
      <c r="S1953"/>
      <c r="V1953"/>
      <c r="X1953"/>
      <c r="AB1953"/>
    </row>
    <row r="1954" spans="1:28" ht="39.950000000000003" customHeight="1" x14ac:dyDescent="0.25">
      <c r="A1954" s="100"/>
      <c r="B1954">
        <v>212</v>
      </c>
      <c r="C1954" s="104">
        <v>43257</v>
      </c>
      <c r="D1954" t="s">
        <v>185</v>
      </c>
      <c r="E1954" t="s">
        <v>721</v>
      </c>
      <c r="F1954" t="s">
        <v>722</v>
      </c>
      <c r="G1954" t="s">
        <v>724</v>
      </c>
      <c r="H1954" t="s">
        <v>723</v>
      </c>
      <c r="I1954" t="s">
        <v>725</v>
      </c>
      <c r="L1954" t="s">
        <v>1</v>
      </c>
      <c r="M1954" s="178">
        <v>1</v>
      </c>
      <c r="N1954" s="179">
        <v>30</v>
      </c>
      <c r="O1954" s="179">
        <v>30</v>
      </c>
      <c r="P1954" s="179"/>
      <c r="Q1954" s="180" t="str">
        <f>IF(PEDIDOS[[#This Row],[Valor do item pago]]=PEDIDOS[[#This Row],[Total Item ]],"PAGO", "")</f>
        <v/>
      </c>
      <c r="S1954"/>
      <c r="V1954"/>
      <c r="X1954"/>
      <c r="AB1954"/>
    </row>
    <row r="1955" spans="1:28" ht="39.950000000000003" customHeight="1" x14ac:dyDescent="0.25">
      <c r="A1955" s="100"/>
      <c r="B1955">
        <v>161</v>
      </c>
      <c r="C1955" s="104">
        <v>43196</v>
      </c>
      <c r="D1955" t="s">
        <v>48</v>
      </c>
      <c r="E1955" t="s">
        <v>610</v>
      </c>
      <c r="F1955" t="s">
        <v>319</v>
      </c>
      <c r="G1955" t="s">
        <v>455</v>
      </c>
      <c r="H1955" t="s">
        <v>396</v>
      </c>
      <c r="I1955" t="s">
        <v>454</v>
      </c>
      <c r="L1955" t="s">
        <v>3</v>
      </c>
      <c r="M1955" s="178">
        <v>2</v>
      </c>
      <c r="N1955" s="179">
        <v>30</v>
      </c>
      <c r="O1955" s="179">
        <v>60</v>
      </c>
      <c r="P1955" s="179">
        <v>60</v>
      </c>
      <c r="Q1955" s="180"/>
      <c r="S1955"/>
      <c r="V1955"/>
      <c r="X1955"/>
      <c r="AB1955"/>
    </row>
    <row r="1956" spans="1:28" ht="39.950000000000003" customHeight="1" x14ac:dyDescent="0.25">
      <c r="A1956" s="100"/>
      <c r="B1956">
        <v>42</v>
      </c>
      <c r="C1956" s="104">
        <v>43101</v>
      </c>
      <c r="D1956" t="s">
        <v>48</v>
      </c>
      <c r="E1956" t="s">
        <v>212</v>
      </c>
      <c r="F1956" t="s">
        <v>319</v>
      </c>
      <c r="G1956" t="s">
        <v>455</v>
      </c>
      <c r="H1956" t="s">
        <v>396</v>
      </c>
      <c r="I1956" t="s">
        <v>454</v>
      </c>
      <c r="L1956" t="s">
        <v>3</v>
      </c>
      <c r="M1956" s="156">
        <v>2</v>
      </c>
      <c r="N1956" s="180">
        <v>30</v>
      </c>
      <c r="O1956" s="180">
        <v>60</v>
      </c>
      <c r="P1956" s="180">
        <v>60</v>
      </c>
      <c r="Q1956" s="181" t="str">
        <f>IF(PEDIDOS[[#This Row],[Valor do item pago]]=PEDIDOS[[#This Row],[Total Item ]],"PAGO", "ABERTO")</f>
        <v>PAGO</v>
      </c>
      <c r="S1956"/>
      <c r="V1956"/>
      <c r="X1956"/>
      <c r="AB1956"/>
    </row>
    <row r="1957" spans="1:28" ht="39.950000000000003" customHeight="1" x14ac:dyDescent="0.25">
      <c r="A1957" s="100"/>
      <c r="B1957">
        <v>211</v>
      </c>
      <c r="C1957" s="104">
        <v>43257</v>
      </c>
      <c r="D1957" t="s">
        <v>185</v>
      </c>
      <c r="E1957" t="s">
        <v>350</v>
      </c>
      <c r="F1957" t="s">
        <v>290</v>
      </c>
      <c r="G1957" t="s">
        <v>63</v>
      </c>
      <c r="H1957" t="s">
        <v>394</v>
      </c>
      <c r="I1957" t="s">
        <v>424</v>
      </c>
      <c r="L1957" t="s">
        <v>0</v>
      </c>
      <c r="M1957" s="178">
        <v>1</v>
      </c>
      <c r="N1957" s="179">
        <v>30</v>
      </c>
      <c r="O1957" s="179">
        <v>30</v>
      </c>
      <c r="P1957" s="179"/>
      <c r="Q1957" s="180" t="str">
        <f>IF(PEDIDOS[[#This Row],[Valor do item pago]]=PEDIDOS[[#This Row],[Total Item ]],"PAGO", "")</f>
        <v/>
      </c>
      <c r="S1957"/>
      <c r="V1957"/>
      <c r="X1957"/>
      <c r="AB1957"/>
    </row>
    <row r="1958" spans="1:28" ht="39.950000000000003" customHeight="1" x14ac:dyDescent="0.25">
      <c r="A1958" s="100"/>
      <c r="B1958">
        <v>210</v>
      </c>
      <c r="C1958" s="104">
        <v>43257</v>
      </c>
      <c r="D1958" t="s">
        <v>185</v>
      </c>
      <c r="E1958" t="s">
        <v>718</v>
      </c>
      <c r="F1958" t="s">
        <v>717</v>
      </c>
      <c r="G1958" t="s">
        <v>719</v>
      </c>
      <c r="H1958" t="s">
        <v>112</v>
      </c>
      <c r="I1958" t="s">
        <v>720</v>
      </c>
      <c r="L1958" t="s">
        <v>3</v>
      </c>
      <c r="M1958" s="178">
        <v>2</v>
      </c>
      <c r="N1958" s="179">
        <v>30</v>
      </c>
      <c r="O1958" s="179">
        <v>60</v>
      </c>
      <c r="P1958" s="179"/>
      <c r="Q1958" s="180" t="str">
        <f>IF(PEDIDOS[[#This Row],[Valor do item pago]]=PEDIDOS[[#This Row],[Total Item ]],"PAGO", "")</f>
        <v/>
      </c>
      <c r="S1958"/>
      <c r="V1958"/>
      <c r="X1958"/>
      <c r="AB1958"/>
    </row>
    <row r="1959" spans="1:28" ht="39.950000000000003" customHeight="1" x14ac:dyDescent="0.25">
      <c r="A1959" s="100"/>
      <c r="B1959">
        <v>209</v>
      </c>
      <c r="C1959" s="104">
        <v>43257</v>
      </c>
      <c r="D1959" t="s">
        <v>48</v>
      </c>
      <c r="E1959" t="s">
        <v>607</v>
      </c>
      <c r="F1959" t="s">
        <v>606</v>
      </c>
      <c r="G1959" t="s">
        <v>608</v>
      </c>
      <c r="H1959" t="s">
        <v>609</v>
      </c>
      <c r="I1959" t="s">
        <v>681</v>
      </c>
      <c r="L1959" t="s">
        <v>3</v>
      </c>
      <c r="M1959" s="178">
        <v>1</v>
      </c>
      <c r="N1959" s="179">
        <v>30</v>
      </c>
      <c r="O1959" s="179">
        <v>30</v>
      </c>
      <c r="P1959" s="179"/>
      <c r="Q1959" s="180" t="str">
        <f>IF(PEDIDOS[[#This Row],[Valor do item pago]]=PEDIDOS[[#This Row],[Total Item ]],"PAGO", "")</f>
        <v/>
      </c>
      <c r="S1959"/>
      <c r="V1959"/>
      <c r="X1959"/>
      <c r="AB1959"/>
    </row>
    <row r="1960" spans="1:28" ht="39.950000000000003" customHeight="1" x14ac:dyDescent="0.25">
      <c r="A1960" s="100"/>
      <c r="B1960">
        <v>208</v>
      </c>
      <c r="C1960" s="104">
        <v>43257</v>
      </c>
      <c r="D1960" t="s">
        <v>48</v>
      </c>
      <c r="E1960" t="s">
        <v>214</v>
      </c>
      <c r="F1960" t="s">
        <v>322</v>
      </c>
      <c r="G1960" t="s">
        <v>87</v>
      </c>
      <c r="H1960" t="s">
        <v>404</v>
      </c>
      <c r="I1960" t="s">
        <v>256</v>
      </c>
      <c r="L1960" t="s">
        <v>219</v>
      </c>
      <c r="M1960" s="178">
        <v>1</v>
      </c>
      <c r="N1960" s="179">
        <v>30</v>
      </c>
      <c r="O1960" s="179">
        <v>30</v>
      </c>
      <c r="P1960" s="179"/>
      <c r="Q1960" s="180" t="str">
        <f>IF(PEDIDOS[[#This Row],[Valor do item pago]]=PEDIDOS[[#This Row],[Total Item ]],"PAGO", "")</f>
        <v/>
      </c>
      <c r="S1960"/>
      <c r="V1960"/>
      <c r="X1960"/>
      <c r="AB1960"/>
    </row>
    <row r="1961" spans="1:28" ht="39.950000000000003" customHeight="1" x14ac:dyDescent="0.25">
      <c r="A1961" s="100"/>
      <c r="B1961">
        <v>117</v>
      </c>
      <c r="C1961" s="104">
        <v>43195</v>
      </c>
      <c r="D1961" t="s">
        <v>477</v>
      </c>
      <c r="E1961" t="s">
        <v>373</v>
      </c>
      <c r="F1961" t="s">
        <v>311</v>
      </c>
      <c r="G1961" t="s">
        <v>142</v>
      </c>
      <c r="H1961" t="s">
        <v>84</v>
      </c>
      <c r="I1961" t="s">
        <v>448</v>
      </c>
      <c r="L1961" t="s">
        <v>1</v>
      </c>
      <c r="M1961" s="178">
        <v>1</v>
      </c>
      <c r="N1961" s="179">
        <v>30</v>
      </c>
      <c r="O1961" s="179">
        <v>30</v>
      </c>
      <c r="P1961" s="179"/>
      <c r="Q1961" s="180"/>
      <c r="S1961"/>
      <c r="V1961"/>
      <c r="X1961"/>
      <c r="AB1961"/>
    </row>
    <row r="1962" spans="1:28" ht="39.950000000000003" customHeight="1" x14ac:dyDescent="0.25">
      <c r="A1962" s="100"/>
      <c r="B1962">
        <v>55</v>
      </c>
      <c r="C1962" s="104">
        <v>43101</v>
      </c>
      <c r="D1962" t="s">
        <v>477</v>
      </c>
      <c r="E1962" t="s">
        <v>373</v>
      </c>
      <c r="F1962" t="s">
        <v>311</v>
      </c>
      <c r="G1962" t="s">
        <v>142</v>
      </c>
      <c r="H1962" t="s">
        <v>84</v>
      </c>
      <c r="I1962" t="s">
        <v>448</v>
      </c>
      <c r="L1962" t="s">
        <v>1</v>
      </c>
      <c r="M1962" s="156">
        <v>1</v>
      </c>
      <c r="N1962" s="180">
        <v>30</v>
      </c>
      <c r="O1962" s="180">
        <v>30</v>
      </c>
      <c r="P1962" s="180"/>
      <c r="Q1962" s="181" t="str">
        <f>IF(PEDIDOS[[#This Row],[Valor do item pago]]=PEDIDOS[[#This Row],[Total Item ]],"PAGO", "ABERTO")</f>
        <v>ABERTO</v>
      </c>
      <c r="S1962"/>
      <c r="V1962"/>
      <c r="X1962"/>
      <c r="AB1962"/>
    </row>
    <row r="1963" spans="1:28" ht="39.950000000000003" customHeight="1" x14ac:dyDescent="0.25">
      <c r="A1963" s="100"/>
      <c r="B1963">
        <v>207</v>
      </c>
      <c r="C1963" s="104">
        <v>43257</v>
      </c>
      <c r="D1963" t="s">
        <v>48</v>
      </c>
      <c r="E1963" t="s">
        <v>712</v>
      </c>
      <c r="F1963" t="s">
        <v>713</v>
      </c>
      <c r="G1963" t="s">
        <v>714</v>
      </c>
      <c r="H1963" t="s">
        <v>716</v>
      </c>
      <c r="I1963" t="s">
        <v>715</v>
      </c>
      <c r="L1963" t="s">
        <v>219</v>
      </c>
      <c r="M1963" s="178">
        <v>1</v>
      </c>
      <c r="N1963" s="179">
        <v>30</v>
      </c>
      <c r="O1963" s="179">
        <v>30</v>
      </c>
      <c r="P1963" s="179"/>
      <c r="Q1963" s="180" t="str">
        <f>IF(PEDIDOS[[#This Row],[Valor do item pago]]=PEDIDOS[[#This Row],[Total Item ]],"PAGO", "")</f>
        <v/>
      </c>
      <c r="S1963"/>
      <c r="V1963"/>
      <c r="X1963"/>
      <c r="AB1963"/>
    </row>
    <row r="1964" spans="1:28" ht="39.950000000000003" customHeight="1" x14ac:dyDescent="0.25">
      <c r="A1964" s="100"/>
      <c r="B1964">
        <v>180</v>
      </c>
      <c r="C1964" s="104">
        <v>43196</v>
      </c>
      <c r="D1964" t="s">
        <v>40</v>
      </c>
      <c r="E1964" t="s">
        <v>647</v>
      </c>
      <c r="F1964" t="s">
        <v>303</v>
      </c>
      <c r="G1964" t="s">
        <v>437</v>
      </c>
      <c r="H1964" t="s">
        <v>84</v>
      </c>
      <c r="I1964" t="s">
        <v>439</v>
      </c>
      <c r="L1964" t="s">
        <v>1</v>
      </c>
      <c r="M1964" s="178">
        <v>1</v>
      </c>
      <c r="N1964" s="179">
        <v>30</v>
      </c>
      <c r="O1964" s="179">
        <v>30</v>
      </c>
      <c r="P1964" s="179"/>
      <c r="Q1964" s="180"/>
      <c r="S1964"/>
      <c r="V1964"/>
      <c r="X1964"/>
      <c r="AB1964"/>
    </row>
    <row r="1965" spans="1:28" ht="39.950000000000003" customHeight="1" x14ac:dyDescent="0.25">
      <c r="A1965" s="100"/>
      <c r="B1965">
        <v>35</v>
      </c>
      <c r="C1965" s="104">
        <v>43101</v>
      </c>
      <c r="D1965" t="s">
        <v>40</v>
      </c>
      <c r="E1965" t="s">
        <v>207</v>
      </c>
      <c r="F1965" t="s">
        <v>303</v>
      </c>
      <c r="G1965" t="s">
        <v>437</v>
      </c>
      <c r="H1965" t="s">
        <v>84</v>
      </c>
      <c r="I1965" t="s">
        <v>439</v>
      </c>
      <c r="K1965" t="s">
        <v>40</v>
      </c>
      <c r="L1965" t="s">
        <v>1</v>
      </c>
      <c r="M1965" s="156">
        <v>1</v>
      </c>
      <c r="N1965" s="180">
        <v>30</v>
      </c>
      <c r="O1965" s="180">
        <v>30</v>
      </c>
      <c r="P1965" s="180"/>
      <c r="Q1965" s="181" t="str">
        <f>IF(PEDIDOS[[#This Row],[Valor do item pago]]=PEDIDOS[[#This Row],[Total Item ]],"PAGO", "ABERTO")</f>
        <v>ABERTO</v>
      </c>
      <c r="S1965"/>
      <c r="V1965"/>
      <c r="X1965"/>
      <c r="AB1965"/>
    </row>
    <row r="1966" spans="1:28" ht="39.950000000000003" customHeight="1" x14ac:dyDescent="0.25">
      <c r="A1966" s="100"/>
      <c r="B1966">
        <v>206</v>
      </c>
      <c r="C1966" s="104">
        <v>43257</v>
      </c>
      <c r="D1966" t="s">
        <v>48</v>
      </c>
      <c r="E1966" t="s">
        <v>709</v>
      </c>
      <c r="F1966" t="s">
        <v>708</v>
      </c>
      <c r="G1966" t="s">
        <v>710</v>
      </c>
      <c r="H1966" t="s">
        <v>523</v>
      </c>
      <c r="I1966" t="s">
        <v>711</v>
      </c>
      <c r="L1966" t="s">
        <v>1</v>
      </c>
      <c r="M1966" s="178">
        <v>1</v>
      </c>
      <c r="N1966" s="179">
        <v>30</v>
      </c>
      <c r="O1966" s="179">
        <v>30</v>
      </c>
      <c r="P1966" s="179">
        <v>30</v>
      </c>
      <c r="Q1966" s="180" t="str">
        <f>IF(PEDIDOS[[#This Row],[Valor do item pago]]=PEDIDOS[[#This Row],[Total Item ]],"PAGO", "")</f>
        <v>PAGO</v>
      </c>
      <c r="S1966"/>
      <c r="V1966"/>
      <c r="X1966"/>
      <c r="AB1966"/>
    </row>
    <row r="1967" spans="1:28" ht="39.950000000000003" customHeight="1" x14ac:dyDescent="0.25">
      <c r="A1967" s="100"/>
      <c r="B1967">
        <v>50</v>
      </c>
      <c r="C1967" s="104">
        <v>43101</v>
      </c>
      <c r="D1967" t="s">
        <v>234</v>
      </c>
      <c r="E1967" t="s">
        <v>216</v>
      </c>
      <c r="F1967" t="s">
        <v>317</v>
      </c>
      <c r="G1967" t="s">
        <v>189</v>
      </c>
      <c r="H1967" t="s">
        <v>396</v>
      </c>
      <c r="I1967" t="s">
        <v>453</v>
      </c>
      <c r="L1967" t="s">
        <v>219</v>
      </c>
      <c r="M1967" s="156">
        <v>1</v>
      </c>
      <c r="N1967" s="180">
        <v>30</v>
      </c>
      <c r="O1967" s="180">
        <v>30</v>
      </c>
      <c r="P1967" s="180">
        <v>30</v>
      </c>
      <c r="Q1967" s="181" t="str">
        <f>IF(PEDIDOS[[#This Row],[Valor do item pago]]=PEDIDOS[[#This Row],[Total Item ]],"PAGO", "ABERTO")</f>
        <v>PAGO</v>
      </c>
      <c r="S1967"/>
      <c r="V1967"/>
      <c r="X1967"/>
      <c r="AB1967"/>
    </row>
    <row r="1968" spans="1:28" ht="39.950000000000003" customHeight="1" x14ac:dyDescent="0.25">
      <c r="A1968" s="100"/>
      <c r="B1968">
        <v>205</v>
      </c>
      <c r="C1968" s="104">
        <v>43257</v>
      </c>
      <c r="D1968" t="s">
        <v>48</v>
      </c>
      <c r="E1968" t="s">
        <v>610</v>
      </c>
      <c r="F1968" t="s">
        <v>319</v>
      </c>
      <c r="G1968" t="s">
        <v>455</v>
      </c>
      <c r="H1968" t="s">
        <v>396</v>
      </c>
      <c r="I1968" t="s">
        <v>454</v>
      </c>
      <c r="L1968" t="s">
        <v>3</v>
      </c>
      <c r="M1968" s="178">
        <v>2</v>
      </c>
      <c r="N1968" s="179">
        <v>30</v>
      </c>
      <c r="O1968" s="179">
        <v>60</v>
      </c>
      <c r="P1968" s="179">
        <v>60</v>
      </c>
      <c r="Q1968" s="180" t="str">
        <f>IF(PEDIDOS[[#This Row],[Valor do item pago]]=PEDIDOS[[#This Row],[Total Item ]],"PAGO", "")</f>
        <v>PAGO</v>
      </c>
      <c r="S1968"/>
      <c r="V1968"/>
      <c r="X1968"/>
      <c r="AB1968"/>
    </row>
    <row r="1969" spans="1:28" ht="39.950000000000003" customHeight="1" x14ac:dyDescent="0.25">
      <c r="A1969" s="100"/>
      <c r="B1969">
        <v>61</v>
      </c>
      <c r="C1969" s="104">
        <v>43101</v>
      </c>
      <c r="D1969" t="s">
        <v>477</v>
      </c>
      <c r="E1969" t="s">
        <v>366</v>
      </c>
      <c r="F1969" t="s">
        <v>302</v>
      </c>
      <c r="G1969" t="s">
        <v>154</v>
      </c>
      <c r="H1969" t="s">
        <v>84</v>
      </c>
      <c r="I1969" t="s">
        <v>436</v>
      </c>
      <c r="L1969" t="s">
        <v>219</v>
      </c>
      <c r="M1969" s="156">
        <v>1</v>
      </c>
      <c r="N1969" s="180">
        <v>30</v>
      </c>
      <c r="O1969" s="180">
        <v>30</v>
      </c>
      <c r="P1969" s="180"/>
      <c r="Q1969" s="181" t="str">
        <f>IF(PEDIDOS[[#This Row],[Valor do item pago]]=PEDIDOS[[#This Row],[Total Item ]],"PAGO", "ABERTO")</f>
        <v>ABERTO</v>
      </c>
      <c r="S1969"/>
      <c r="V1969"/>
      <c r="X1969"/>
      <c r="AB1969"/>
    </row>
    <row r="1970" spans="1:28" ht="39.950000000000003" customHeight="1" x14ac:dyDescent="0.25">
      <c r="A1970" s="100"/>
      <c r="B1970">
        <v>118</v>
      </c>
      <c r="C1970" s="104">
        <v>43195</v>
      </c>
      <c r="D1970" t="s">
        <v>477</v>
      </c>
      <c r="E1970" t="s">
        <v>378</v>
      </c>
      <c r="F1970" t="s">
        <v>316</v>
      </c>
      <c r="G1970" t="s">
        <v>175</v>
      </c>
      <c r="H1970" t="s">
        <v>397</v>
      </c>
      <c r="I1970" t="s">
        <v>452</v>
      </c>
      <c r="L1970" t="s">
        <v>219</v>
      </c>
      <c r="M1970" s="178">
        <v>1</v>
      </c>
      <c r="N1970" s="179">
        <v>30</v>
      </c>
      <c r="O1970" s="179">
        <v>30</v>
      </c>
      <c r="P1970" s="179"/>
      <c r="Q1970" s="180"/>
      <c r="S1970"/>
      <c r="V1970"/>
      <c r="X1970"/>
      <c r="AB1970"/>
    </row>
    <row r="1971" spans="1:28" ht="39.950000000000003" customHeight="1" x14ac:dyDescent="0.25">
      <c r="A1971" s="100"/>
      <c r="B1971">
        <v>70</v>
      </c>
      <c r="C1971" s="104">
        <v>43101</v>
      </c>
      <c r="D1971" t="s">
        <v>477</v>
      </c>
      <c r="E1971" t="s">
        <v>378</v>
      </c>
      <c r="F1971" t="s">
        <v>316</v>
      </c>
      <c r="G1971" t="s">
        <v>175</v>
      </c>
      <c r="H1971" t="s">
        <v>451</v>
      </c>
      <c r="I1971" t="s">
        <v>452</v>
      </c>
      <c r="L1971" t="s">
        <v>219</v>
      </c>
      <c r="M1971" s="156">
        <v>1</v>
      </c>
      <c r="N1971" s="180">
        <v>30</v>
      </c>
      <c r="O1971" s="180">
        <v>30</v>
      </c>
      <c r="P1971" s="180"/>
      <c r="Q1971" s="181" t="str">
        <f>IF(PEDIDOS[[#This Row],[Valor do item pago]]=PEDIDOS[[#This Row],[Total Item ]],"PAGO", "ABERTO")</f>
        <v>ABERTO</v>
      </c>
      <c r="S1971"/>
      <c r="V1971"/>
      <c r="X1971"/>
      <c r="AB1971"/>
    </row>
    <row r="1972" spans="1:28" ht="39.950000000000003" customHeight="1" x14ac:dyDescent="0.25">
      <c r="A1972" s="100"/>
      <c r="B1972">
        <v>106</v>
      </c>
      <c r="C1972" s="104">
        <v>43195</v>
      </c>
      <c r="D1972" t="s">
        <v>477</v>
      </c>
      <c r="E1972" t="s">
        <v>360</v>
      </c>
      <c r="F1972" t="s">
        <v>298</v>
      </c>
      <c r="G1972" t="s">
        <v>178</v>
      </c>
      <c r="H1972" t="s">
        <v>397</v>
      </c>
      <c r="I1972" t="s">
        <v>429</v>
      </c>
      <c r="L1972" t="s">
        <v>1</v>
      </c>
      <c r="M1972" s="178">
        <v>1</v>
      </c>
      <c r="N1972" s="179">
        <v>30</v>
      </c>
      <c r="O1972" s="179">
        <v>30</v>
      </c>
      <c r="P1972" s="179"/>
      <c r="Q1972" s="180"/>
      <c r="S1972"/>
      <c r="V1972"/>
      <c r="X1972"/>
      <c r="AB1972"/>
    </row>
    <row r="1973" spans="1:28" ht="39.950000000000003" customHeight="1" x14ac:dyDescent="0.25">
      <c r="A1973" s="100"/>
      <c r="B1973">
        <v>71</v>
      </c>
      <c r="C1973" s="104">
        <v>43101</v>
      </c>
      <c r="D1973" t="s">
        <v>477</v>
      </c>
      <c r="E1973" t="s">
        <v>360</v>
      </c>
      <c r="F1973" t="s">
        <v>298</v>
      </c>
      <c r="G1973" t="s">
        <v>178</v>
      </c>
      <c r="H1973" t="s">
        <v>397</v>
      </c>
      <c r="I1973" t="s">
        <v>429</v>
      </c>
      <c r="L1973" t="s">
        <v>0</v>
      </c>
      <c r="M1973" s="156">
        <v>1</v>
      </c>
      <c r="N1973" s="180">
        <v>30</v>
      </c>
      <c r="O1973" s="180">
        <v>30</v>
      </c>
      <c r="P1973" s="180"/>
      <c r="Q1973" s="181" t="str">
        <f>IF(PEDIDOS[[#This Row],[Valor do item pago]]=PEDIDOS[[#This Row],[Total Item ]],"PAGO", "ABERTO")</f>
        <v>ABERTO</v>
      </c>
      <c r="S1973"/>
      <c r="V1973"/>
      <c r="X1973"/>
      <c r="AB1973"/>
    </row>
    <row r="1974" spans="1:28" ht="39.950000000000003" customHeight="1" x14ac:dyDescent="0.25">
      <c r="A1974" s="100"/>
      <c r="B1974">
        <v>204</v>
      </c>
      <c r="C1974" s="104">
        <v>43257</v>
      </c>
      <c r="D1974" t="s">
        <v>48</v>
      </c>
      <c r="E1974" t="s">
        <v>211</v>
      </c>
      <c r="F1974" t="s">
        <v>293</v>
      </c>
      <c r="G1974" t="s">
        <v>82</v>
      </c>
      <c r="H1974" t="s">
        <v>390</v>
      </c>
      <c r="I1974" t="s">
        <v>252</v>
      </c>
      <c r="L1974" t="s">
        <v>219</v>
      </c>
      <c r="M1974" s="178">
        <v>1</v>
      </c>
      <c r="N1974" s="179">
        <v>30</v>
      </c>
      <c r="O1974" s="179">
        <v>30</v>
      </c>
      <c r="P1974" s="179">
        <v>30</v>
      </c>
      <c r="Q1974" s="180" t="str">
        <f>IF(PEDIDOS[[#This Row],[Valor do item pago]]=PEDIDOS[[#This Row],[Total Item ]],"PAGO", "")</f>
        <v>PAGO</v>
      </c>
      <c r="S1974"/>
      <c r="V1974"/>
      <c r="X1974"/>
      <c r="AB1974"/>
    </row>
    <row r="1975" spans="1:28" ht="39.950000000000003" customHeight="1" x14ac:dyDescent="0.25">
      <c r="A1975" s="100"/>
      <c r="B1975">
        <v>68</v>
      </c>
      <c r="C1975" s="104">
        <v>43101</v>
      </c>
      <c r="D1975" t="s">
        <v>477</v>
      </c>
      <c r="E1975" t="s">
        <v>341</v>
      </c>
      <c r="F1975" t="s">
        <v>280</v>
      </c>
      <c r="G1975" t="s">
        <v>172</v>
      </c>
      <c r="H1975" t="s">
        <v>460</v>
      </c>
      <c r="I1975" t="s">
        <v>418</v>
      </c>
      <c r="L1975" t="s">
        <v>1</v>
      </c>
      <c r="M1975" s="156">
        <v>1</v>
      </c>
      <c r="N1975" s="180">
        <v>30</v>
      </c>
      <c r="O1975" s="180">
        <v>30</v>
      </c>
      <c r="P1975" s="180"/>
      <c r="Q1975" s="181" t="str">
        <f>IF(PEDIDOS[[#This Row],[Valor do item pago]]=PEDIDOS[[#This Row],[Total Item ]],"PAGO", "ABERTO")</f>
        <v>ABERTO</v>
      </c>
      <c r="S1975"/>
      <c r="V1975"/>
      <c r="X1975"/>
      <c r="AB1975"/>
    </row>
    <row r="1976" spans="1:28" ht="39.950000000000003" customHeight="1" x14ac:dyDescent="0.25">
      <c r="A1976" s="100"/>
      <c r="B1976">
        <v>203</v>
      </c>
      <c r="C1976" s="104">
        <v>43257</v>
      </c>
      <c r="D1976" t="s">
        <v>231</v>
      </c>
      <c r="E1976" t="s">
        <v>381</v>
      </c>
      <c r="F1976">
        <v>0</v>
      </c>
      <c r="G1976">
        <v>0</v>
      </c>
      <c r="H1976">
        <v>0</v>
      </c>
      <c r="K1976" t="s">
        <v>231</v>
      </c>
      <c r="L1976" t="s">
        <v>1</v>
      </c>
      <c r="M1976" s="178">
        <v>2</v>
      </c>
      <c r="N1976" s="179">
        <v>30</v>
      </c>
      <c r="O1976" s="179">
        <v>60</v>
      </c>
      <c r="P1976" s="179"/>
      <c r="Q1976" s="180" t="str">
        <f>IF(PEDIDOS[[#This Row],[Valor do item pago]]=PEDIDOS[[#This Row],[Total Item ]],"PAGO", "")</f>
        <v/>
      </c>
      <c r="S1976"/>
      <c r="V1976"/>
      <c r="X1976"/>
      <c r="AB1976"/>
    </row>
    <row r="1977" spans="1:28" ht="39.950000000000003" customHeight="1" x14ac:dyDescent="0.25">
      <c r="A1977" s="100"/>
      <c r="B1977">
        <v>142</v>
      </c>
      <c r="C1977" s="104">
        <v>43196</v>
      </c>
      <c r="D1977" t="s">
        <v>47</v>
      </c>
      <c r="E1977" t="s">
        <v>37</v>
      </c>
      <c r="F1977" t="s">
        <v>321</v>
      </c>
      <c r="G1977" t="s">
        <v>15</v>
      </c>
      <c r="H1977" t="s">
        <v>459</v>
      </c>
      <c r="I1977" t="s">
        <v>458</v>
      </c>
      <c r="L1977" t="s">
        <v>3</v>
      </c>
      <c r="M1977" s="178">
        <v>1</v>
      </c>
      <c r="N1977" s="179">
        <v>30</v>
      </c>
      <c r="O1977" s="179">
        <v>30</v>
      </c>
      <c r="P1977" s="179"/>
      <c r="Q1977" s="180"/>
      <c r="S1977"/>
      <c r="V1977"/>
      <c r="X1977"/>
      <c r="AB1977"/>
    </row>
    <row r="1978" spans="1:28" ht="39.950000000000003" customHeight="1" x14ac:dyDescent="0.25">
      <c r="A1978" s="100"/>
      <c r="B1978">
        <v>11</v>
      </c>
      <c r="C1978" s="104">
        <v>43101</v>
      </c>
      <c r="D1978" t="s">
        <v>47</v>
      </c>
      <c r="E1978" t="s">
        <v>37</v>
      </c>
      <c r="F1978" t="s">
        <v>321</v>
      </c>
      <c r="G1978" t="s">
        <v>15</v>
      </c>
      <c r="H1978" t="s">
        <v>459</v>
      </c>
      <c r="I1978" t="s">
        <v>458</v>
      </c>
      <c r="J1978" t="s">
        <v>18</v>
      </c>
      <c r="K1978" t="s">
        <v>47</v>
      </c>
      <c r="L1978" t="s">
        <v>3</v>
      </c>
      <c r="M1978" s="156">
        <v>1</v>
      </c>
      <c r="N1978" s="180">
        <v>30</v>
      </c>
      <c r="O1978" s="180">
        <v>30</v>
      </c>
      <c r="P1978" s="180"/>
      <c r="Q1978" s="181" t="str">
        <f>IF(PEDIDOS[[#This Row],[Valor do item pago]]=PEDIDOS[[#This Row],[Total Item ]],"PAGO", "ABERTO")</f>
        <v>ABERTO</v>
      </c>
      <c r="S1978"/>
      <c r="V1978"/>
      <c r="X1978"/>
      <c r="AB1978"/>
    </row>
    <row r="1979" spans="1:28" ht="39.950000000000003" customHeight="1" x14ac:dyDescent="0.25">
      <c r="A1979" s="100"/>
      <c r="B1979">
        <v>202</v>
      </c>
      <c r="C1979" s="104">
        <v>43257</v>
      </c>
      <c r="D1979" t="s">
        <v>231</v>
      </c>
      <c r="E1979" t="s">
        <v>345</v>
      </c>
      <c r="F1979" t="s">
        <v>285</v>
      </c>
      <c r="G1979">
        <v>0</v>
      </c>
      <c r="H1979">
        <v>0</v>
      </c>
      <c r="K1979" t="s">
        <v>231</v>
      </c>
      <c r="L1979" t="s">
        <v>219</v>
      </c>
      <c r="M1979" s="178">
        <v>1</v>
      </c>
      <c r="N1979" s="179">
        <v>30</v>
      </c>
      <c r="O1979" s="179">
        <v>30</v>
      </c>
      <c r="P1979" s="179"/>
      <c r="Q1979" s="180" t="str">
        <f>IF(PEDIDOS[[#This Row],[Valor do item pago]]=PEDIDOS[[#This Row],[Total Item ]],"PAGO", "")</f>
        <v/>
      </c>
      <c r="S1979"/>
      <c r="V1979"/>
      <c r="X1979"/>
      <c r="AB1979"/>
    </row>
    <row r="1980" spans="1:28" ht="39.950000000000003" customHeight="1" x14ac:dyDescent="0.25">
      <c r="A1980" s="100"/>
      <c r="B1980">
        <v>202</v>
      </c>
      <c r="C1980" s="104">
        <v>43257</v>
      </c>
      <c r="D1980" t="s">
        <v>231</v>
      </c>
      <c r="E1980" t="s">
        <v>345</v>
      </c>
      <c r="F1980" t="s">
        <v>285</v>
      </c>
      <c r="G1980">
        <v>0</v>
      </c>
      <c r="H1980">
        <v>0</v>
      </c>
      <c r="K1980" t="s">
        <v>231</v>
      </c>
      <c r="L1980" t="s">
        <v>0</v>
      </c>
      <c r="M1980" s="178">
        <v>1</v>
      </c>
      <c r="N1980" s="179">
        <v>30</v>
      </c>
      <c r="O1980" s="179">
        <v>30</v>
      </c>
      <c r="P1980" s="179"/>
      <c r="Q1980" s="180" t="str">
        <f>IF(PEDIDOS[[#This Row],[Valor do item pago]]=PEDIDOS[[#This Row],[Total Item ]],"PAGO", "")</f>
        <v/>
      </c>
      <c r="S1980"/>
      <c r="V1980"/>
      <c r="X1980"/>
      <c r="AB1980"/>
    </row>
    <row r="1981" spans="1:28" ht="39.950000000000003" customHeight="1" x14ac:dyDescent="0.25">
      <c r="A1981" s="100"/>
      <c r="B1981">
        <v>165</v>
      </c>
      <c r="C1981" s="104">
        <v>43196</v>
      </c>
      <c r="D1981" t="s">
        <v>49</v>
      </c>
      <c r="E1981" t="s">
        <v>614</v>
      </c>
      <c r="F1981" t="s">
        <v>289</v>
      </c>
      <c r="G1981" t="s">
        <v>72</v>
      </c>
      <c r="H1981" t="s">
        <v>393</v>
      </c>
      <c r="I1981" t="s">
        <v>423</v>
      </c>
      <c r="L1981" t="s">
        <v>219</v>
      </c>
      <c r="M1981" s="178">
        <v>1</v>
      </c>
      <c r="N1981" s="179">
        <v>30</v>
      </c>
      <c r="O1981" s="179">
        <v>30</v>
      </c>
      <c r="P1981" s="179">
        <v>30</v>
      </c>
      <c r="Q1981" s="180"/>
      <c r="S1981"/>
      <c r="V1981"/>
      <c r="X1981"/>
      <c r="AB1981"/>
    </row>
    <row r="1982" spans="1:28" ht="39.950000000000003" customHeight="1" x14ac:dyDescent="0.25">
      <c r="A1982" s="100"/>
      <c r="B1982">
        <v>201</v>
      </c>
      <c r="C1982" s="104">
        <v>43257</v>
      </c>
      <c r="D1982" t="s">
        <v>231</v>
      </c>
      <c r="E1982" t="s">
        <v>706</v>
      </c>
      <c r="F1982" t="s">
        <v>707</v>
      </c>
      <c r="G1982">
        <v>0</v>
      </c>
      <c r="H1982" t="s">
        <v>40</v>
      </c>
      <c r="K1982" t="s">
        <v>40</v>
      </c>
      <c r="L1982" t="s">
        <v>3</v>
      </c>
      <c r="M1982" s="178">
        <v>1</v>
      </c>
      <c r="N1982" s="179">
        <v>30</v>
      </c>
      <c r="O1982" s="179">
        <v>30</v>
      </c>
      <c r="P1982" s="179"/>
      <c r="Q1982" s="180" t="str">
        <f>IF(PEDIDOS[[#This Row],[Valor do item pago]]=PEDIDOS[[#This Row],[Total Item ]],"PAGO", "")</f>
        <v/>
      </c>
      <c r="S1982"/>
      <c r="V1982"/>
      <c r="X1982"/>
      <c r="AB1982"/>
    </row>
    <row r="1983" spans="1:28" ht="39.950000000000003" customHeight="1" x14ac:dyDescent="0.25">
      <c r="A1983" s="100"/>
      <c r="B1983">
        <v>201</v>
      </c>
      <c r="C1983" s="104">
        <v>43257</v>
      </c>
      <c r="D1983" t="s">
        <v>231</v>
      </c>
      <c r="E1983" t="s">
        <v>706</v>
      </c>
      <c r="F1983" t="s">
        <v>707</v>
      </c>
      <c r="G1983">
        <v>0</v>
      </c>
      <c r="H1983" t="s">
        <v>40</v>
      </c>
      <c r="K1983" t="s">
        <v>40</v>
      </c>
      <c r="L1983" t="s">
        <v>219</v>
      </c>
      <c r="M1983" s="178">
        <v>2</v>
      </c>
      <c r="N1983" s="179">
        <v>30</v>
      </c>
      <c r="O1983" s="179">
        <v>60</v>
      </c>
      <c r="P1983" s="179"/>
      <c r="Q1983" s="180" t="str">
        <f>IF(PEDIDOS[[#This Row],[Valor do item pago]]=PEDIDOS[[#This Row],[Total Item ]],"PAGO", "")</f>
        <v/>
      </c>
      <c r="S1983"/>
      <c r="V1983"/>
      <c r="X1983"/>
      <c r="AB1983"/>
    </row>
    <row r="1984" spans="1:28" ht="39.950000000000003" customHeight="1" x14ac:dyDescent="0.25">
      <c r="A1984" s="100"/>
      <c r="B1984">
        <v>183</v>
      </c>
      <c r="C1984" s="104">
        <v>43196</v>
      </c>
      <c r="D1984" t="s">
        <v>40</v>
      </c>
      <c r="E1984" t="s">
        <v>203</v>
      </c>
      <c r="F1984" t="s">
        <v>305</v>
      </c>
      <c r="G1984" t="s">
        <v>41</v>
      </c>
      <c r="H1984" t="s">
        <v>441</v>
      </c>
      <c r="I1984" t="s">
        <v>442</v>
      </c>
      <c r="K1984" t="s">
        <v>648</v>
      </c>
      <c r="L1984" t="s">
        <v>1</v>
      </c>
      <c r="M1984" s="178">
        <v>1</v>
      </c>
      <c r="N1984" s="179">
        <v>30</v>
      </c>
      <c r="O1984" s="179">
        <v>30</v>
      </c>
      <c r="P1984" s="179"/>
      <c r="Q1984" s="180"/>
      <c r="S1984"/>
      <c r="V1984"/>
      <c r="X1984"/>
      <c r="AB1984"/>
    </row>
    <row r="1985" spans="1:28" ht="39.950000000000003" customHeight="1" x14ac:dyDescent="0.25">
      <c r="A1985" s="100"/>
      <c r="B1985">
        <v>183</v>
      </c>
      <c r="C1985" s="104">
        <v>43196</v>
      </c>
      <c r="D1985" t="s">
        <v>40</v>
      </c>
      <c r="E1985" t="s">
        <v>203</v>
      </c>
      <c r="F1985" t="s">
        <v>305</v>
      </c>
      <c r="G1985" t="s">
        <v>41</v>
      </c>
      <c r="H1985" t="s">
        <v>441</v>
      </c>
      <c r="I1985" t="s">
        <v>442</v>
      </c>
      <c r="K1985" t="s">
        <v>648</v>
      </c>
      <c r="L1985" t="s">
        <v>0</v>
      </c>
      <c r="M1985" s="178">
        <v>1</v>
      </c>
      <c r="N1985" s="179">
        <v>30</v>
      </c>
      <c r="O1985" s="179">
        <v>30</v>
      </c>
      <c r="P1985" s="179"/>
      <c r="Q1985" s="180"/>
      <c r="S1985"/>
      <c r="V1985"/>
      <c r="X1985"/>
      <c r="AB1985"/>
    </row>
    <row r="1986" spans="1:28" ht="39.950000000000003" customHeight="1" x14ac:dyDescent="0.25">
      <c r="A1986" s="100"/>
      <c r="B1986">
        <v>30</v>
      </c>
      <c r="C1986" s="104">
        <v>43101</v>
      </c>
      <c r="D1986" t="s">
        <v>40</v>
      </c>
      <c r="E1986" t="s">
        <v>203</v>
      </c>
      <c r="F1986" t="s">
        <v>305</v>
      </c>
      <c r="G1986" t="s">
        <v>41</v>
      </c>
      <c r="H1986" t="s">
        <v>441</v>
      </c>
      <c r="I1986" t="s">
        <v>442</v>
      </c>
      <c r="J1986" t="s">
        <v>12</v>
      </c>
      <c r="K1986" t="s">
        <v>40</v>
      </c>
      <c r="L1986" t="s">
        <v>0</v>
      </c>
      <c r="M1986" s="156">
        <v>1</v>
      </c>
      <c r="N1986" s="180">
        <v>30</v>
      </c>
      <c r="O1986" s="180">
        <v>30</v>
      </c>
      <c r="P1986" s="180"/>
      <c r="Q1986" s="181" t="str">
        <f>IF(PEDIDOS[[#This Row],[Valor do item pago]]=PEDIDOS[[#This Row],[Total Item ]],"PAGO", "ABERTO")</f>
        <v>ABERTO</v>
      </c>
      <c r="S1986"/>
      <c r="V1986"/>
      <c r="X1986"/>
      <c r="AB1986"/>
    </row>
    <row r="1987" spans="1:28" ht="39.950000000000003" customHeight="1" x14ac:dyDescent="0.25">
      <c r="A1987" s="100"/>
      <c r="B1987">
        <v>30</v>
      </c>
      <c r="C1987" s="104">
        <v>43101</v>
      </c>
      <c r="D1987" t="s">
        <v>40</v>
      </c>
      <c r="E1987" t="s">
        <v>203</v>
      </c>
      <c r="F1987" t="s">
        <v>305</v>
      </c>
      <c r="G1987" t="s">
        <v>41</v>
      </c>
      <c r="H1987" t="s">
        <v>441</v>
      </c>
      <c r="I1987" t="s">
        <v>442</v>
      </c>
      <c r="J1987" t="s">
        <v>12</v>
      </c>
      <c r="K1987" t="s">
        <v>40</v>
      </c>
      <c r="L1987" t="s">
        <v>1</v>
      </c>
      <c r="M1987" s="156">
        <v>1</v>
      </c>
      <c r="N1987" s="180">
        <v>30</v>
      </c>
      <c r="O1987" s="180">
        <v>30</v>
      </c>
      <c r="P1987" s="180"/>
      <c r="Q1987" s="181" t="str">
        <f>IF(PEDIDOS[[#This Row],[Valor do item pago]]=PEDIDOS[[#This Row],[Total Item ]],"PAGO", "ABERTO")</f>
        <v>ABERTO</v>
      </c>
      <c r="S1987"/>
      <c r="V1987"/>
      <c r="X1987"/>
      <c r="AB1987"/>
    </row>
    <row r="1988" spans="1:28" ht="39.950000000000003" customHeight="1" x14ac:dyDescent="0.25">
      <c r="A1988" s="100"/>
      <c r="B1988">
        <v>201</v>
      </c>
      <c r="C1988" s="104">
        <v>43257</v>
      </c>
      <c r="D1988" t="s">
        <v>231</v>
      </c>
      <c r="E1988" t="s">
        <v>706</v>
      </c>
      <c r="F1988" t="s">
        <v>707</v>
      </c>
      <c r="G1988">
        <v>0</v>
      </c>
      <c r="H1988" t="s">
        <v>40</v>
      </c>
      <c r="K1988" t="s">
        <v>40</v>
      </c>
      <c r="L1988" t="s">
        <v>1</v>
      </c>
      <c r="M1988" s="178">
        <v>1</v>
      </c>
      <c r="N1988" s="179">
        <v>30</v>
      </c>
      <c r="O1988" s="179">
        <v>30</v>
      </c>
      <c r="P1988" s="179"/>
      <c r="Q1988" s="180" t="str">
        <f>IF(PEDIDOS[[#This Row],[Valor do item pago]]=PEDIDOS[[#This Row],[Total Item ]],"PAGO", "")</f>
        <v/>
      </c>
      <c r="S1988"/>
      <c r="V1988"/>
      <c r="X1988"/>
      <c r="AB1988"/>
    </row>
    <row r="1989" spans="1:28" ht="39.950000000000003" customHeight="1" x14ac:dyDescent="0.25">
      <c r="A1989" s="100"/>
      <c r="B1989">
        <v>14</v>
      </c>
      <c r="C1989" s="104">
        <v>43101</v>
      </c>
      <c r="D1989" t="s">
        <v>44</v>
      </c>
      <c r="E1989" t="s">
        <v>351</v>
      </c>
      <c r="F1989">
        <v>0</v>
      </c>
      <c r="G1989" t="s">
        <v>405</v>
      </c>
      <c r="H1989" t="s">
        <v>425</v>
      </c>
      <c r="I1989" t="s">
        <v>426</v>
      </c>
      <c r="K1989" t="s">
        <v>34</v>
      </c>
      <c r="L1989" t="s">
        <v>1</v>
      </c>
      <c r="M1989" s="156">
        <v>1</v>
      </c>
      <c r="N1989" s="180">
        <v>30</v>
      </c>
      <c r="O1989" s="180">
        <v>30</v>
      </c>
      <c r="P1989" s="180"/>
      <c r="Q1989" s="181" t="str">
        <f>IF(PEDIDOS[[#This Row],[Valor do item pago]]=PEDIDOS[[#This Row],[Total Item ]],"PAGO", "ABERTO")</f>
        <v>ABERTO</v>
      </c>
      <c r="S1989"/>
      <c r="V1989"/>
      <c r="X1989"/>
      <c r="AB1989"/>
    </row>
    <row r="1990" spans="1:28" ht="39.950000000000003" customHeight="1" x14ac:dyDescent="0.25">
      <c r="A1990" s="100"/>
      <c r="B1990">
        <v>141</v>
      </c>
      <c r="C1990" s="104">
        <v>43196</v>
      </c>
      <c r="D1990" t="s">
        <v>230</v>
      </c>
      <c r="E1990" t="s">
        <v>20</v>
      </c>
      <c r="F1990">
        <v>0</v>
      </c>
      <c r="G1990" t="s">
        <v>59</v>
      </c>
      <c r="H1990" t="s">
        <v>462</v>
      </c>
      <c r="I1990" t="s">
        <v>416</v>
      </c>
      <c r="K1990" t="s">
        <v>230</v>
      </c>
      <c r="L1990" t="s">
        <v>1</v>
      </c>
      <c r="M1990" s="178">
        <v>1</v>
      </c>
      <c r="N1990" s="179">
        <v>30</v>
      </c>
      <c r="O1990" s="179">
        <v>30</v>
      </c>
      <c r="P1990" s="179"/>
      <c r="Q1990" s="180"/>
      <c r="S1990"/>
      <c r="V1990"/>
      <c r="X1990"/>
      <c r="AB1990"/>
    </row>
    <row r="1991" spans="1:28" ht="39.950000000000003" customHeight="1" x14ac:dyDescent="0.25">
      <c r="A1991" s="100"/>
      <c r="B1991">
        <v>46</v>
      </c>
      <c r="C1991" s="104">
        <v>43101</v>
      </c>
      <c r="D1991" t="s">
        <v>230</v>
      </c>
      <c r="E1991" t="s">
        <v>20</v>
      </c>
      <c r="F1991">
        <v>0</v>
      </c>
      <c r="G1991" t="s">
        <v>59</v>
      </c>
      <c r="H1991" t="s">
        <v>462</v>
      </c>
      <c r="I1991" t="s">
        <v>416</v>
      </c>
      <c r="L1991" t="s">
        <v>1</v>
      </c>
      <c r="M1991" s="156">
        <v>1</v>
      </c>
      <c r="N1991" s="180">
        <v>30</v>
      </c>
      <c r="O1991" s="180">
        <v>30</v>
      </c>
      <c r="P1991" s="180"/>
      <c r="Q1991" s="181" t="str">
        <f>IF(PEDIDOS[[#This Row],[Valor do item pago]]=PEDIDOS[[#This Row],[Total Item ]],"PAGO", "ABERTO")</f>
        <v>ABERTO</v>
      </c>
      <c r="S1991"/>
      <c r="V1991"/>
      <c r="X1991"/>
      <c r="AB1991"/>
    </row>
    <row r="1992" spans="1:28" ht="39.950000000000003" customHeight="1" x14ac:dyDescent="0.25">
      <c r="A1992" s="100"/>
      <c r="B1992">
        <v>200</v>
      </c>
      <c r="C1992" s="104">
        <v>43257</v>
      </c>
      <c r="D1992" t="s">
        <v>231</v>
      </c>
      <c r="E1992" t="s">
        <v>382</v>
      </c>
      <c r="F1992">
        <v>0</v>
      </c>
      <c r="G1992">
        <v>0</v>
      </c>
      <c r="H1992">
        <v>0</v>
      </c>
      <c r="K1992" t="s">
        <v>40</v>
      </c>
      <c r="L1992" t="s">
        <v>219</v>
      </c>
      <c r="M1992" s="178">
        <v>1</v>
      </c>
      <c r="N1992" s="179">
        <v>30</v>
      </c>
      <c r="O1992" s="179">
        <v>30</v>
      </c>
      <c r="P1992" s="179"/>
      <c r="Q1992" s="180" t="str">
        <f>IF(PEDIDOS[[#This Row],[Valor do item pago]]=PEDIDOS[[#This Row],[Total Item ]],"PAGO", "")</f>
        <v/>
      </c>
      <c r="S1992"/>
      <c r="V1992"/>
      <c r="X1992"/>
      <c r="AB1992"/>
    </row>
    <row r="1993" spans="1:28" ht="39.950000000000003" customHeight="1" x14ac:dyDescent="0.25">
      <c r="A1993" s="100"/>
      <c r="B1993">
        <v>155</v>
      </c>
      <c r="C1993" s="104">
        <v>43196</v>
      </c>
      <c r="D1993" t="s">
        <v>44</v>
      </c>
      <c r="E1993" t="s">
        <v>365</v>
      </c>
      <c r="F1993" t="s">
        <v>300</v>
      </c>
      <c r="G1993" t="s">
        <v>432</v>
      </c>
      <c r="H1993" t="s">
        <v>433</v>
      </c>
      <c r="I1993" t="s">
        <v>434</v>
      </c>
      <c r="K1993" t="s">
        <v>44</v>
      </c>
      <c r="L1993" t="s">
        <v>1</v>
      </c>
      <c r="M1993" s="178">
        <v>1</v>
      </c>
      <c r="N1993" s="179">
        <v>30</v>
      </c>
      <c r="O1993" s="179">
        <v>30</v>
      </c>
      <c r="P1993" s="179"/>
      <c r="Q1993" s="180"/>
      <c r="S1993"/>
      <c r="V1993"/>
      <c r="X1993"/>
      <c r="AB1993"/>
    </row>
    <row r="1994" spans="1:28" ht="39.950000000000003" customHeight="1" x14ac:dyDescent="0.25">
      <c r="A1994" s="100"/>
      <c r="B1994">
        <v>17</v>
      </c>
      <c r="C1994" s="104">
        <v>43101</v>
      </c>
      <c r="D1994" t="s">
        <v>44</v>
      </c>
      <c r="E1994" t="s">
        <v>365</v>
      </c>
      <c r="F1994" t="s">
        <v>300</v>
      </c>
      <c r="G1994" t="s">
        <v>432</v>
      </c>
      <c r="H1994" t="s">
        <v>433</v>
      </c>
      <c r="I1994" t="s">
        <v>434</v>
      </c>
      <c r="K1994" t="s">
        <v>44</v>
      </c>
      <c r="L1994" t="s">
        <v>1</v>
      </c>
      <c r="M1994" s="156">
        <v>1</v>
      </c>
      <c r="N1994" s="180">
        <v>30</v>
      </c>
      <c r="O1994" s="180">
        <v>30</v>
      </c>
      <c r="P1994" s="180"/>
      <c r="Q1994" s="181" t="str">
        <f>IF(PEDIDOS[[#This Row],[Valor do item pago]]=PEDIDOS[[#This Row],[Total Item ]],"PAGO", "ABERTO")</f>
        <v>ABERTO</v>
      </c>
      <c r="S1994"/>
      <c r="V1994"/>
      <c r="X1994"/>
      <c r="AB1994"/>
    </row>
    <row r="1995" spans="1:28" ht="39.950000000000003" customHeight="1" x14ac:dyDescent="0.25">
      <c r="A1995" s="100"/>
      <c r="B1995">
        <v>99</v>
      </c>
      <c r="C1995" s="104">
        <v>43195</v>
      </c>
      <c r="D1995" t="s">
        <v>477</v>
      </c>
      <c r="E1995" t="s">
        <v>340</v>
      </c>
      <c r="F1995" t="s">
        <v>278</v>
      </c>
      <c r="G1995" t="s">
        <v>136</v>
      </c>
      <c r="H1995" t="s">
        <v>388</v>
      </c>
      <c r="I1995" t="s">
        <v>417</v>
      </c>
      <c r="L1995" t="s">
        <v>219</v>
      </c>
      <c r="M1995" s="178">
        <v>1</v>
      </c>
      <c r="N1995" s="179">
        <v>30</v>
      </c>
      <c r="O1995" s="179">
        <v>30</v>
      </c>
      <c r="P1995" s="179"/>
      <c r="Q1995" s="180"/>
      <c r="S1995"/>
      <c r="V1995"/>
      <c r="X1995"/>
      <c r="AB1995"/>
    </row>
    <row r="1996" spans="1:28" ht="39.950000000000003" customHeight="1" x14ac:dyDescent="0.25">
      <c r="A1996" s="100"/>
      <c r="B1996">
        <v>53</v>
      </c>
      <c r="C1996" s="104">
        <v>43101</v>
      </c>
      <c r="D1996" t="s">
        <v>477</v>
      </c>
      <c r="E1996" t="s">
        <v>340</v>
      </c>
      <c r="F1996" t="s">
        <v>278</v>
      </c>
      <c r="G1996" t="s">
        <v>136</v>
      </c>
      <c r="H1996" t="s">
        <v>388</v>
      </c>
      <c r="I1996" t="s">
        <v>417</v>
      </c>
      <c r="L1996" t="s">
        <v>219</v>
      </c>
      <c r="M1996" s="156">
        <v>1</v>
      </c>
      <c r="N1996" s="180">
        <v>30</v>
      </c>
      <c r="O1996" s="180">
        <v>30</v>
      </c>
      <c r="P1996" s="180"/>
      <c r="Q1996" s="181" t="str">
        <f>IF(PEDIDOS[[#This Row],[Valor do item pago]]=PEDIDOS[[#This Row],[Total Item ]],"PAGO", "ABERTO")</f>
        <v>ABERTO</v>
      </c>
      <c r="S1996"/>
      <c r="V1996"/>
      <c r="X1996"/>
      <c r="AB1996"/>
    </row>
    <row r="1997" spans="1:28" ht="39.950000000000003" customHeight="1" x14ac:dyDescent="0.25">
      <c r="A1997" s="100"/>
      <c r="B1997">
        <v>199</v>
      </c>
      <c r="C1997" s="104">
        <v>43257</v>
      </c>
      <c r="D1997" t="s">
        <v>231</v>
      </c>
      <c r="E1997" t="s">
        <v>370</v>
      </c>
      <c r="F1997">
        <v>0</v>
      </c>
      <c r="G1997">
        <v>0</v>
      </c>
      <c r="H1997" t="s">
        <v>40</v>
      </c>
      <c r="K1997" t="s">
        <v>40</v>
      </c>
      <c r="L1997" t="s">
        <v>219</v>
      </c>
      <c r="M1997" s="178">
        <v>2</v>
      </c>
      <c r="N1997" s="179">
        <v>30</v>
      </c>
      <c r="O1997" s="179">
        <v>60</v>
      </c>
      <c r="P1997" s="179"/>
      <c r="Q1997" s="180" t="str">
        <f>IF(PEDIDOS[[#This Row],[Valor do item pago]]=PEDIDOS[[#This Row],[Total Item ]],"PAGO", "")</f>
        <v/>
      </c>
      <c r="S1997"/>
      <c r="V1997"/>
      <c r="X1997"/>
      <c r="AB1997"/>
    </row>
    <row r="1998" spans="1:28" ht="39.950000000000003" customHeight="1" x14ac:dyDescent="0.25">
      <c r="A1998" s="100"/>
      <c r="B1998">
        <v>198</v>
      </c>
      <c r="C1998" s="104">
        <v>43257</v>
      </c>
      <c r="D1998" t="s">
        <v>231</v>
      </c>
      <c r="E1998" t="s">
        <v>705</v>
      </c>
      <c r="K1998" t="s">
        <v>40</v>
      </c>
      <c r="L1998" t="s">
        <v>3</v>
      </c>
      <c r="M1998" s="178">
        <v>2</v>
      </c>
      <c r="N1998" s="179">
        <v>30</v>
      </c>
      <c r="O1998" s="179">
        <v>60</v>
      </c>
      <c r="P1998" s="179"/>
      <c r="Q1998" s="180" t="str">
        <f>IF(PEDIDOS[[#This Row],[Valor do item pago]]=PEDIDOS[[#This Row],[Total Item ]],"PAGO", "")</f>
        <v/>
      </c>
      <c r="S1998"/>
      <c r="V1998"/>
      <c r="X1998"/>
      <c r="AB1998"/>
    </row>
    <row r="1999" spans="1:28" ht="39.950000000000003" customHeight="1" x14ac:dyDescent="0.25">
      <c r="A1999" s="100"/>
      <c r="B1999">
        <v>184</v>
      </c>
      <c r="C1999" s="104">
        <v>43196</v>
      </c>
      <c r="D1999" t="s">
        <v>40</v>
      </c>
      <c r="E1999" t="s">
        <v>26</v>
      </c>
      <c r="F1999">
        <v>0</v>
      </c>
      <c r="G1999" t="s">
        <v>27</v>
      </c>
      <c r="H1999" t="s">
        <v>389</v>
      </c>
      <c r="I1999" t="s">
        <v>254</v>
      </c>
      <c r="L1999" t="s">
        <v>219</v>
      </c>
      <c r="M1999" s="178">
        <v>1</v>
      </c>
      <c r="N1999" s="179">
        <v>30</v>
      </c>
      <c r="O1999" s="179">
        <v>30</v>
      </c>
      <c r="P1999" s="179"/>
      <c r="Q1999" s="180"/>
      <c r="S1999"/>
      <c r="V1999"/>
      <c r="X1999"/>
      <c r="AB1999"/>
    </row>
    <row r="2000" spans="1:28" ht="39.950000000000003" customHeight="1" x14ac:dyDescent="0.25">
      <c r="A2000" s="100"/>
      <c r="B2000">
        <v>29</v>
      </c>
      <c r="C2000" s="104">
        <v>43101</v>
      </c>
      <c r="D2000" t="s">
        <v>40</v>
      </c>
      <c r="E2000" t="s">
        <v>26</v>
      </c>
      <c r="F2000">
        <v>0</v>
      </c>
      <c r="G2000" t="s">
        <v>27</v>
      </c>
      <c r="H2000" t="s">
        <v>389</v>
      </c>
      <c r="I2000" t="s">
        <v>254</v>
      </c>
      <c r="K2000" t="s">
        <v>40</v>
      </c>
      <c r="L2000" t="s">
        <v>219</v>
      </c>
      <c r="M2000" s="156">
        <v>1</v>
      </c>
      <c r="N2000" s="180">
        <v>30</v>
      </c>
      <c r="O2000" s="180">
        <v>30</v>
      </c>
      <c r="P2000" s="180"/>
      <c r="Q2000" s="181" t="str">
        <f>IF(PEDIDOS[[#This Row],[Valor do item pago]]=PEDIDOS[[#This Row],[Total Item ]],"PAGO", "ABERTO")</f>
        <v>ABERTO</v>
      </c>
      <c r="S2000"/>
      <c r="V2000"/>
      <c r="X2000"/>
      <c r="AB2000"/>
    </row>
    <row r="2001" spans="1:28" ht="39.950000000000003" customHeight="1" x14ac:dyDescent="0.25">
      <c r="A2001" s="100"/>
      <c r="B2001">
        <v>198</v>
      </c>
      <c r="C2001" s="104">
        <v>43257</v>
      </c>
      <c r="D2001" t="s">
        <v>231</v>
      </c>
      <c r="E2001" t="s">
        <v>705</v>
      </c>
      <c r="K2001" t="s">
        <v>40</v>
      </c>
      <c r="L2001" t="s">
        <v>219</v>
      </c>
      <c r="M2001" s="178">
        <v>1</v>
      </c>
      <c r="N2001" s="179">
        <v>30</v>
      </c>
      <c r="O2001" s="179">
        <v>30</v>
      </c>
      <c r="P2001" s="179"/>
      <c r="Q2001" s="180" t="str">
        <f>IF(PEDIDOS[[#This Row],[Valor do item pago]]=PEDIDOS[[#This Row],[Total Item ]],"PAGO", "")</f>
        <v/>
      </c>
      <c r="S2001"/>
      <c r="V2001"/>
      <c r="X2001"/>
      <c r="AB2001"/>
    </row>
    <row r="2002" spans="1:28" ht="39.950000000000003" customHeight="1" x14ac:dyDescent="0.25">
      <c r="A2002" s="100"/>
      <c r="B2002">
        <v>100</v>
      </c>
      <c r="C2002" s="104">
        <v>43195</v>
      </c>
      <c r="D2002" t="s">
        <v>477</v>
      </c>
      <c r="E2002" t="s">
        <v>342</v>
      </c>
      <c r="F2002" t="s">
        <v>282</v>
      </c>
      <c r="G2002" t="s">
        <v>156</v>
      </c>
      <c r="H2002" t="s">
        <v>389</v>
      </c>
      <c r="I2002" t="s">
        <v>255</v>
      </c>
      <c r="L2002" t="s">
        <v>219</v>
      </c>
      <c r="M2002" s="178">
        <v>1</v>
      </c>
      <c r="N2002" s="179">
        <v>30</v>
      </c>
      <c r="O2002" s="179">
        <v>30</v>
      </c>
      <c r="P2002" s="179"/>
      <c r="Q2002" s="180"/>
      <c r="S2002"/>
      <c r="V2002"/>
      <c r="X2002"/>
      <c r="AB2002"/>
    </row>
    <row r="2003" spans="1:28" ht="39.950000000000003" customHeight="1" x14ac:dyDescent="0.25">
      <c r="A2003" s="100"/>
      <c r="B2003">
        <v>62</v>
      </c>
      <c r="C2003" s="104">
        <v>43101</v>
      </c>
      <c r="D2003" t="s">
        <v>477</v>
      </c>
      <c r="E2003" t="s">
        <v>342</v>
      </c>
      <c r="F2003" t="s">
        <v>282</v>
      </c>
      <c r="G2003" t="s">
        <v>156</v>
      </c>
      <c r="H2003" t="s">
        <v>389</v>
      </c>
      <c r="I2003" t="s">
        <v>255</v>
      </c>
      <c r="L2003" t="s">
        <v>219</v>
      </c>
      <c r="M2003" s="156">
        <v>1</v>
      </c>
      <c r="N2003" s="180">
        <v>30</v>
      </c>
      <c r="O2003" s="180">
        <v>30</v>
      </c>
      <c r="P2003" s="180"/>
      <c r="Q2003" s="181" t="str">
        <f>IF(PEDIDOS[[#This Row],[Valor do item pago]]=PEDIDOS[[#This Row],[Total Item ]],"PAGO", "ABERTO")</f>
        <v>ABERTO</v>
      </c>
      <c r="S2003"/>
      <c r="V2003"/>
      <c r="X2003"/>
      <c r="AB2003"/>
    </row>
    <row r="2004" spans="1:28" ht="39.950000000000003" customHeight="1" x14ac:dyDescent="0.25">
      <c r="A2004" s="100"/>
      <c r="B2004">
        <v>197</v>
      </c>
      <c r="C2004" s="104">
        <v>43257</v>
      </c>
      <c r="D2004" t="s">
        <v>231</v>
      </c>
      <c r="E2004" t="s">
        <v>704</v>
      </c>
      <c r="F2004" t="s">
        <v>805</v>
      </c>
      <c r="G2004">
        <v>0</v>
      </c>
      <c r="H2004" t="s">
        <v>40</v>
      </c>
      <c r="K2004" t="s">
        <v>40</v>
      </c>
      <c r="L2004" t="s">
        <v>3</v>
      </c>
      <c r="M2004" s="178">
        <v>1</v>
      </c>
      <c r="N2004" s="179">
        <v>30</v>
      </c>
      <c r="O2004" s="179">
        <v>30</v>
      </c>
      <c r="P2004" s="179"/>
      <c r="Q2004" s="180" t="str">
        <f>IF(PEDIDOS[[#This Row],[Valor do item pago]]=PEDIDOS[[#This Row],[Total Item ]],"PAGO", "")</f>
        <v/>
      </c>
      <c r="S2004"/>
      <c r="V2004"/>
      <c r="X2004"/>
      <c r="AB2004"/>
    </row>
    <row r="2005" spans="1:28" ht="39.950000000000003" customHeight="1" x14ac:dyDescent="0.25">
      <c r="A2005" s="100"/>
      <c r="B2005">
        <v>197</v>
      </c>
      <c r="C2005" s="104">
        <v>43257</v>
      </c>
      <c r="D2005" t="s">
        <v>231</v>
      </c>
      <c r="E2005" t="s">
        <v>704</v>
      </c>
      <c r="F2005" t="s">
        <v>805</v>
      </c>
      <c r="G2005">
        <v>0</v>
      </c>
      <c r="H2005" t="s">
        <v>40</v>
      </c>
      <c r="K2005" t="s">
        <v>40</v>
      </c>
      <c r="L2005" t="s">
        <v>219</v>
      </c>
      <c r="M2005" s="178">
        <v>2</v>
      </c>
      <c r="N2005" s="179">
        <v>30</v>
      </c>
      <c r="O2005" s="179">
        <v>60</v>
      </c>
      <c r="P2005" s="179"/>
      <c r="Q2005" s="180" t="str">
        <f>IF(PEDIDOS[[#This Row],[Valor do item pago]]=PEDIDOS[[#This Row],[Total Item ]],"PAGO", "")</f>
        <v/>
      </c>
      <c r="S2005"/>
      <c r="V2005"/>
      <c r="X2005"/>
      <c r="AB2005"/>
    </row>
    <row r="2006" spans="1:28" ht="39.950000000000003" customHeight="1" x14ac:dyDescent="0.25">
      <c r="A2006" s="100"/>
      <c r="B2006">
        <v>34</v>
      </c>
      <c r="C2006" s="104">
        <v>43101</v>
      </c>
      <c r="D2006" t="s">
        <v>40</v>
      </c>
      <c r="E2006" t="s">
        <v>206</v>
      </c>
      <c r="F2006" t="s">
        <v>310</v>
      </c>
      <c r="G2006" t="s">
        <v>51</v>
      </c>
      <c r="H2006" t="s">
        <v>446</v>
      </c>
      <c r="I2006" t="s">
        <v>447</v>
      </c>
      <c r="K2006" t="s">
        <v>40</v>
      </c>
      <c r="L2006" t="s">
        <v>219</v>
      </c>
      <c r="M2006" s="156">
        <v>1</v>
      </c>
      <c r="N2006" s="180">
        <v>30</v>
      </c>
      <c r="O2006" s="180">
        <v>30</v>
      </c>
      <c r="P2006" s="180"/>
      <c r="Q2006" s="181" t="str">
        <f>IF(PEDIDOS[[#This Row],[Valor do item pago]]=PEDIDOS[[#This Row],[Total Item ]],"PAGO", "ABERTO")</f>
        <v>ABERTO</v>
      </c>
      <c r="S2006"/>
      <c r="V2006"/>
      <c r="X2006"/>
      <c r="AB2006"/>
    </row>
    <row r="2007" spans="1:28" ht="39.950000000000003" customHeight="1" x14ac:dyDescent="0.25">
      <c r="A2007" s="100"/>
      <c r="B2007">
        <v>148</v>
      </c>
      <c r="C2007" s="104">
        <v>43196</v>
      </c>
      <c r="D2007" t="s">
        <v>231</v>
      </c>
      <c r="E2007" t="s">
        <v>362</v>
      </c>
      <c r="F2007">
        <v>0</v>
      </c>
      <c r="G2007" t="s">
        <v>186</v>
      </c>
      <c r="H2007" t="s">
        <v>398</v>
      </c>
      <c r="I2007" t="s">
        <v>431</v>
      </c>
      <c r="K2007" t="s">
        <v>40</v>
      </c>
      <c r="L2007" t="s">
        <v>219</v>
      </c>
      <c r="M2007" s="178">
        <v>1</v>
      </c>
      <c r="N2007" s="179">
        <v>30</v>
      </c>
      <c r="O2007" s="179">
        <v>30</v>
      </c>
      <c r="P2007" s="179"/>
      <c r="Q2007" s="180"/>
      <c r="S2007"/>
      <c r="V2007"/>
      <c r="X2007"/>
      <c r="AB2007"/>
    </row>
    <row r="2008" spans="1:28" ht="39.950000000000003" customHeight="1" x14ac:dyDescent="0.25">
      <c r="A2008" s="100"/>
      <c r="B2008">
        <v>148</v>
      </c>
      <c r="C2008" s="104">
        <v>43196</v>
      </c>
      <c r="D2008" t="s">
        <v>231</v>
      </c>
      <c r="E2008" t="s">
        <v>362</v>
      </c>
      <c r="F2008">
        <v>0</v>
      </c>
      <c r="G2008" t="s">
        <v>186</v>
      </c>
      <c r="H2008" t="s">
        <v>398</v>
      </c>
      <c r="I2008" t="s">
        <v>431</v>
      </c>
      <c r="K2008" t="s">
        <v>40</v>
      </c>
      <c r="L2008" t="s">
        <v>0</v>
      </c>
      <c r="M2008" s="178">
        <v>1</v>
      </c>
      <c r="N2008" s="179">
        <v>30</v>
      </c>
      <c r="O2008" s="179">
        <v>30</v>
      </c>
      <c r="P2008" s="179"/>
      <c r="Q2008" s="180"/>
      <c r="S2008"/>
      <c r="V2008"/>
      <c r="X2008"/>
      <c r="AB2008"/>
    </row>
    <row r="2009" spans="1:28" ht="39.950000000000003" customHeight="1" x14ac:dyDescent="0.25">
      <c r="A2009" s="100"/>
      <c r="B2009">
        <v>28</v>
      </c>
      <c r="C2009" s="104">
        <v>43101</v>
      </c>
      <c r="D2009" t="s">
        <v>231</v>
      </c>
      <c r="E2009" t="s">
        <v>362</v>
      </c>
      <c r="F2009">
        <v>0</v>
      </c>
      <c r="G2009" t="s">
        <v>186</v>
      </c>
      <c r="H2009" t="s">
        <v>398</v>
      </c>
      <c r="I2009" t="s">
        <v>431</v>
      </c>
      <c r="L2009" t="s">
        <v>0</v>
      </c>
      <c r="M2009" s="156">
        <v>1</v>
      </c>
      <c r="N2009" s="180">
        <v>30</v>
      </c>
      <c r="O2009" s="180">
        <v>30</v>
      </c>
      <c r="P2009" s="180"/>
      <c r="Q2009" s="181" t="str">
        <f>IF(PEDIDOS[[#This Row],[Valor do item pago]]=PEDIDOS[[#This Row],[Total Item ]],"PAGO", "ABERTO")</f>
        <v>ABERTO</v>
      </c>
      <c r="S2009"/>
      <c r="V2009"/>
      <c r="X2009"/>
      <c r="AB2009"/>
    </row>
    <row r="2010" spans="1:28" ht="39.950000000000003" customHeight="1" x14ac:dyDescent="0.25">
      <c r="A2010" s="100"/>
      <c r="B2010">
        <v>28</v>
      </c>
      <c r="C2010" s="104">
        <v>43101</v>
      </c>
      <c r="D2010" t="s">
        <v>231</v>
      </c>
      <c r="E2010" t="s">
        <v>362</v>
      </c>
      <c r="F2010">
        <v>0</v>
      </c>
      <c r="G2010" t="s">
        <v>186</v>
      </c>
      <c r="H2010" t="s">
        <v>398</v>
      </c>
      <c r="I2010" t="s">
        <v>431</v>
      </c>
      <c r="L2010" t="s">
        <v>219</v>
      </c>
      <c r="M2010" s="156">
        <v>1</v>
      </c>
      <c r="N2010" s="180">
        <v>30</v>
      </c>
      <c r="O2010" s="180">
        <v>30</v>
      </c>
      <c r="P2010" s="180"/>
      <c r="Q2010" s="181" t="str">
        <f>IF(PEDIDOS[[#This Row],[Valor do item pago]]=PEDIDOS[[#This Row],[Total Item ]],"PAGO", "ABERTO")</f>
        <v>ABERTO</v>
      </c>
      <c r="S2010"/>
      <c r="V2010"/>
      <c r="X2010"/>
      <c r="AB2010"/>
    </row>
    <row r="2011" spans="1:28" ht="39.950000000000003" customHeight="1" x14ac:dyDescent="0.25">
      <c r="A2011" s="100"/>
      <c r="B2011">
        <v>197</v>
      </c>
      <c r="C2011" s="104">
        <v>43257</v>
      </c>
      <c r="D2011" t="s">
        <v>231</v>
      </c>
      <c r="E2011" t="s">
        <v>704</v>
      </c>
      <c r="F2011" t="s">
        <v>805</v>
      </c>
      <c r="G2011">
        <v>0</v>
      </c>
      <c r="H2011" t="s">
        <v>40</v>
      </c>
      <c r="K2011" t="s">
        <v>40</v>
      </c>
      <c r="L2011" t="s">
        <v>1</v>
      </c>
      <c r="M2011" s="178">
        <v>2</v>
      </c>
      <c r="N2011" s="179">
        <v>30</v>
      </c>
      <c r="O2011" s="179">
        <v>60</v>
      </c>
      <c r="P2011" s="179"/>
      <c r="Q2011" s="180" t="str">
        <f>IF(PEDIDOS[[#This Row],[Valor do item pago]]=PEDIDOS[[#This Row],[Total Item ]],"PAGO", "")</f>
        <v/>
      </c>
      <c r="S2011"/>
      <c r="V2011"/>
      <c r="X2011"/>
      <c r="AB2011"/>
    </row>
    <row r="2012" spans="1:28" ht="39.950000000000003" customHeight="1" x14ac:dyDescent="0.25">
      <c r="A2012" s="100"/>
      <c r="B2012">
        <v>197</v>
      </c>
      <c r="C2012" s="104">
        <v>43257</v>
      </c>
      <c r="D2012" t="s">
        <v>231</v>
      </c>
      <c r="E2012" t="s">
        <v>704</v>
      </c>
      <c r="F2012" t="s">
        <v>805</v>
      </c>
      <c r="G2012">
        <v>0</v>
      </c>
      <c r="H2012" t="s">
        <v>40</v>
      </c>
      <c r="K2012" t="s">
        <v>40</v>
      </c>
      <c r="L2012" t="s">
        <v>0</v>
      </c>
      <c r="M2012" s="178">
        <v>1</v>
      </c>
      <c r="N2012" s="179">
        <v>30</v>
      </c>
      <c r="O2012" s="179">
        <v>30</v>
      </c>
      <c r="P2012" s="179"/>
      <c r="Q2012" s="180" t="str">
        <f>IF(PEDIDOS[[#This Row],[Valor do item pago]]=PEDIDOS[[#This Row],[Total Item ]],"PAGO", "")</f>
        <v/>
      </c>
      <c r="S2012"/>
      <c r="V2012"/>
      <c r="X2012"/>
      <c r="AB2012"/>
    </row>
    <row r="2013" spans="1:28" ht="39.950000000000003" customHeight="1" x14ac:dyDescent="0.25">
      <c r="A2013" s="100"/>
      <c r="B2013">
        <v>196</v>
      </c>
      <c r="C2013" s="104">
        <v>43257</v>
      </c>
      <c r="D2013" t="s">
        <v>231</v>
      </c>
      <c r="E2013" t="s">
        <v>90</v>
      </c>
      <c r="F2013" t="s">
        <v>806</v>
      </c>
      <c r="G2013">
        <v>0</v>
      </c>
      <c r="H2013" t="s">
        <v>40</v>
      </c>
      <c r="K2013" t="s">
        <v>40</v>
      </c>
      <c r="L2013" t="s">
        <v>219</v>
      </c>
      <c r="M2013" s="178">
        <v>2</v>
      </c>
      <c r="N2013" s="179">
        <v>30</v>
      </c>
      <c r="O2013" s="179">
        <v>60</v>
      </c>
      <c r="P2013" s="179"/>
      <c r="Q2013" s="180" t="str">
        <f>IF(PEDIDOS[[#This Row],[Valor do item pago]]=PEDIDOS[[#This Row],[Total Item ]],"PAGO", "")</f>
        <v/>
      </c>
      <c r="S2013"/>
      <c r="V2013"/>
      <c r="X2013"/>
      <c r="AB2013"/>
    </row>
    <row r="2014" spans="1:28" ht="39.950000000000003" customHeight="1" x14ac:dyDescent="0.25">
      <c r="A2014" s="100"/>
      <c r="B2014">
        <v>195</v>
      </c>
      <c r="C2014" s="104">
        <v>43257</v>
      </c>
      <c r="D2014" t="s">
        <v>231</v>
      </c>
      <c r="E2014" t="s">
        <v>597</v>
      </c>
      <c r="F2014" t="s">
        <v>703</v>
      </c>
      <c r="G2014" t="s">
        <v>596</v>
      </c>
      <c r="H2014" t="s">
        <v>84</v>
      </c>
      <c r="I2014" t="s">
        <v>679</v>
      </c>
      <c r="L2014" t="s">
        <v>219</v>
      </c>
      <c r="M2014" s="178">
        <v>1</v>
      </c>
      <c r="N2014" s="179">
        <v>30</v>
      </c>
      <c r="O2014" s="179">
        <v>30</v>
      </c>
      <c r="P2014" s="179"/>
      <c r="Q2014" s="180" t="str">
        <f>IF(PEDIDOS[[#This Row],[Valor do item pago]]=PEDIDOS[[#This Row],[Total Item ]],"PAGO", "")</f>
        <v/>
      </c>
      <c r="S2014"/>
      <c r="V2014"/>
      <c r="X2014"/>
      <c r="AB2014"/>
    </row>
    <row r="2015" spans="1:28" ht="39.950000000000003" customHeight="1" x14ac:dyDescent="0.25">
      <c r="A2015" s="100"/>
      <c r="B2015">
        <v>194</v>
      </c>
      <c r="C2015" s="104">
        <v>43257</v>
      </c>
      <c r="D2015" t="s">
        <v>231</v>
      </c>
      <c r="E2015" t="s">
        <v>356</v>
      </c>
      <c r="F2015" t="s">
        <v>700</v>
      </c>
      <c r="G2015" t="s">
        <v>699</v>
      </c>
      <c r="H2015" t="s">
        <v>701</v>
      </c>
      <c r="I2015" t="s">
        <v>702</v>
      </c>
      <c r="L2015" t="s">
        <v>219</v>
      </c>
      <c r="M2015" s="178">
        <v>1</v>
      </c>
      <c r="N2015" s="179">
        <v>30</v>
      </c>
      <c r="O2015" s="179">
        <v>30</v>
      </c>
      <c r="P2015" s="179"/>
      <c r="Q2015" s="180" t="str">
        <f>IF(PEDIDOS[[#This Row],[Valor do item pago]]=PEDIDOS[[#This Row],[Total Item ]],"PAGO", "")</f>
        <v/>
      </c>
      <c r="S2015"/>
      <c r="V2015"/>
      <c r="X2015"/>
      <c r="AB2015"/>
    </row>
    <row r="2016" spans="1:28" ht="39.950000000000003" customHeight="1" x14ac:dyDescent="0.25">
      <c r="A2016" s="100"/>
      <c r="B2016">
        <v>193</v>
      </c>
      <c r="C2016" s="104">
        <v>43257</v>
      </c>
      <c r="D2016" t="s">
        <v>231</v>
      </c>
      <c r="E2016" t="s">
        <v>346</v>
      </c>
      <c r="F2016" t="s">
        <v>286</v>
      </c>
      <c r="G2016" t="s">
        <v>595</v>
      </c>
      <c r="H2016" t="s">
        <v>512</v>
      </c>
      <c r="I2016" t="s">
        <v>655</v>
      </c>
      <c r="L2016" t="s">
        <v>219</v>
      </c>
      <c r="M2016" s="178">
        <v>1</v>
      </c>
      <c r="N2016" s="179">
        <v>30</v>
      </c>
      <c r="O2016" s="179">
        <v>30</v>
      </c>
      <c r="P2016" s="179"/>
      <c r="Q2016" s="180" t="str">
        <f>IF(PEDIDOS[[#This Row],[Valor do item pago]]=PEDIDOS[[#This Row],[Total Item ]],"PAGO", "")</f>
        <v/>
      </c>
      <c r="S2016"/>
      <c r="V2016"/>
      <c r="X2016"/>
      <c r="AB2016"/>
    </row>
    <row r="2017" spans="1:28" ht="39.950000000000003" customHeight="1" x14ac:dyDescent="0.25">
      <c r="A2017" s="100"/>
      <c r="B2017">
        <v>192</v>
      </c>
      <c r="C2017" s="104">
        <v>43257</v>
      </c>
      <c r="D2017" t="s">
        <v>34</v>
      </c>
      <c r="E2017" t="s">
        <v>588</v>
      </c>
      <c r="F2017" t="s">
        <v>587</v>
      </c>
      <c r="G2017" t="s">
        <v>586</v>
      </c>
      <c r="H2017" t="s">
        <v>544</v>
      </c>
      <c r="I2017" t="s">
        <v>677</v>
      </c>
      <c r="K2017" t="s">
        <v>34</v>
      </c>
      <c r="L2017" t="s">
        <v>3</v>
      </c>
      <c r="M2017" s="178">
        <v>1</v>
      </c>
      <c r="N2017" s="179">
        <v>30</v>
      </c>
      <c r="O2017" s="179">
        <v>30</v>
      </c>
      <c r="P2017" s="179"/>
      <c r="Q2017" s="180" t="str">
        <f>IF(PEDIDOS[[#This Row],[Valor do item pago]]=PEDIDOS[[#This Row],[Total Item ]],"PAGO", "")</f>
        <v/>
      </c>
      <c r="S2017"/>
      <c r="V2017"/>
      <c r="X2017"/>
      <c r="AB2017"/>
    </row>
    <row r="2018" spans="1:28" ht="39.950000000000003" customHeight="1" x14ac:dyDescent="0.25">
      <c r="A2018" s="100"/>
      <c r="B2018">
        <v>191</v>
      </c>
      <c r="C2018" s="104">
        <v>43257</v>
      </c>
      <c r="D2018" t="s">
        <v>34</v>
      </c>
      <c r="E2018" t="s">
        <v>695</v>
      </c>
      <c r="F2018" t="s">
        <v>696</v>
      </c>
      <c r="G2018" t="s">
        <v>697</v>
      </c>
      <c r="H2018" t="s">
        <v>542</v>
      </c>
      <c r="I2018" t="s">
        <v>698</v>
      </c>
      <c r="L2018" t="s">
        <v>3</v>
      </c>
      <c r="M2018" s="178">
        <v>1</v>
      </c>
      <c r="N2018" s="179">
        <v>30</v>
      </c>
      <c r="O2018" s="179">
        <v>30</v>
      </c>
      <c r="P2018" s="179"/>
      <c r="Q2018" s="180" t="str">
        <f>IF(PEDIDOS[[#This Row],[Valor do item pago]]=PEDIDOS[[#This Row],[Total Item ]],"PAGO", "")</f>
        <v/>
      </c>
      <c r="S2018"/>
      <c r="V2018"/>
      <c r="X2018"/>
      <c r="AB2018"/>
    </row>
    <row r="2019" spans="1:28" ht="39.950000000000003" customHeight="1" x14ac:dyDescent="0.25">
      <c r="A2019" s="100"/>
      <c r="B2019">
        <v>44</v>
      </c>
      <c r="C2019" s="104">
        <v>43101</v>
      </c>
      <c r="D2019" t="s">
        <v>48</v>
      </c>
      <c r="E2019" t="s">
        <v>214</v>
      </c>
      <c r="F2019" t="s">
        <v>322</v>
      </c>
      <c r="G2019" t="s">
        <v>87</v>
      </c>
      <c r="H2019" t="s">
        <v>404</v>
      </c>
      <c r="I2019" t="s">
        <v>256</v>
      </c>
      <c r="L2019" t="s">
        <v>219</v>
      </c>
      <c r="M2019" s="156">
        <v>1</v>
      </c>
      <c r="N2019" s="180">
        <v>30</v>
      </c>
      <c r="O2019" s="180">
        <v>30</v>
      </c>
      <c r="P2019" s="180"/>
      <c r="Q2019" s="181" t="str">
        <f>IF(PEDIDOS[[#This Row],[Valor do item pago]]=PEDIDOS[[#This Row],[Total Item ]],"PAGO", "ABERTO")</f>
        <v>ABERTO</v>
      </c>
      <c r="S2019"/>
      <c r="V2019"/>
      <c r="X2019"/>
      <c r="AB2019"/>
    </row>
    <row r="2020" spans="1:28" ht="39.950000000000003" customHeight="1" x14ac:dyDescent="0.25">
      <c r="A2020" s="100"/>
      <c r="B2020">
        <v>120</v>
      </c>
      <c r="C2020" s="104">
        <v>43195</v>
      </c>
      <c r="D2020" t="s">
        <v>477</v>
      </c>
      <c r="E2020" t="s">
        <v>379</v>
      </c>
      <c r="F2020" t="s">
        <v>318</v>
      </c>
      <c r="G2020" t="s">
        <v>258</v>
      </c>
      <c r="H2020" t="s">
        <v>404</v>
      </c>
      <c r="I2020" t="s">
        <v>257</v>
      </c>
      <c r="J2020" t="s">
        <v>525</v>
      </c>
      <c r="L2020" t="s">
        <v>1</v>
      </c>
      <c r="M2020" s="178">
        <v>1</v>
      </c>
      <c r="N2020" s="179">
        <v>30</v>
      </c>
      <c r="O2020" s="179">
        <v>30</v>
      </c>
      <c r="P2020" s="179"/>
      <c r="Q2020" s="180"/>
      <c r="S2020"/>
      <c r="V2020"/>
      <c r="X2020"/>
      <c r="AB2020"/>
    </row>
    <row r="2021" spans="1:28" ht="39.950000000000003" customHeight="1" x14ac:dyDescent="0.25">
      <c r="A2021" s="100"/>
      <c r="B2021">
        <v>75</v>
      </c>
      <c r="C2021" s="104">
        <v>43101</v>
      </c>
      <c r="D2021" t="s">
        <v>477</v>
      </c>
      <c r="E2021" t="s">
        <v>379</v>
      </c>
      <c r="F2021" t="s">
        <v>318</v>
      </c>
      <c r="G2021" t="s">
        <v>258</v>
      </c>
      <c r="H2021" t="s">
        <v>404</v>
      </c>
      <c r="I2021" t="s">
        <v>257</v>
      </c>
      <c r="L2021" t="s">
        <v>1</v>
      </c>
      <c r="M2021" s="156">
        <v>1</v>
      </c>
      <c r="N2021" s="180">
        <v>30</v>
      </c>
      <c r="O2021" s="180">
        <v>30</v>
      </c>
      <c r="P2021" s="180"/>
      <c r="Q2021" s="181" t="str">
        <f>IF(PEDIDOS[[#This Row],[Valor do item pago]]=PEDIDOS[[#This Row],[Total Item ]],"PAGO", "ABERTO")</f>
        <v>ABERTO</v>
      </c>
      <c r="S2021"/>
      <c r="V2021"/>
      <c r="X2021"/>
      <c r="AB2021"/>
    </row>
    <row r="2022" spans="1:28" ht="39.950000000000003" customHeight="1" x14ac:dyDescent="0.25">
      <c r="A2022" s="100"/>
      <c r="B2022">
        <v>190</v>
      </c>
      <c r="C2022" s="104">
        <v>43257</v>
      </c>
      <c r="D2022" t="s">
        <v>34</v>
      </c>
      <c r="E2022" t="s">
        <v>594</v>
      </c>
      <c r="F2022" t="s">
        <v>272</v>
      </c>
      <c r="G2022" t="s">
        <v>414</v>
      </c>
      <c r="H2022" t="s">
        <v>112</v>
      </c>
      <c r="I2022" t="s">
        <v>413</v>
      </c>
      <c r="K2022" t="s">
        <v>34</v>
      </c>
      <c r="L2022" t="s">
        <v>235</v>
      </c>
      <c r="M2022" s="178">
        <v>1</v>
      </c>
      <c r="N2022" s="179">
        <v>30</v>
      </c>
      <c r="O2022" s="179">
        <v>30</v>
      </c>
      <c r="P2022" s="179"/>
      <c r="Q2022" s="180" t="str">
        <f>IF(PEDIDOS[[#This Row],[Valor do item pago]]=PEDIDOS[[#This Row],[Total Item ]],"PAGO", "")</f>
        <v/>
      </c>
      <c r="S2022"/>
      <c r="V2022"/>
      <c r="X2022"/>
      <c r="AB2022"/>
    </row>
    <row r="2023" spans="1:28" ht="39.950000000000003" customHeight="1" x14ac:dyDescent="0.25">
      <c r="A2023" s="100"/>
      <c r="B2023">
        <v>189</v>
      </c>
      <c r="C2023" s="104">
        <v>43257</v>
      </c>
      <c r="D2023" t="s">
        <v>34</v>
      </c>
      <c r="E2023" t="s">
        <v>691</v>
      </c>
      <c r="F2023" t="s">
        <v>692</v>
      </c>
      <c r="G2023" t="s">
        <v>693</v>
      </c>
      <c r="H2023" t="s">
        <v>84</v>
      </c>
      <c r="I2023" t="s">
        <v>694</v>
      </c>
      <c r="L2023" t="s">
        <v>219</v>
      </c>
      <c r="M2023" s="178">
        <v>1</v>
      </c>
      <c r="N2023" s="179">
        <v>30</v>
      </c>
      <c r="O2023" s="179">
        <v>30</v>
      </c>
      <c r="P2023" s="179"/>
      <c r="Q2023" s="180" t="str">
        <f>IF(PEDIDOS[[#This Row],[Valor do item pago]]=PEDIDOS[[#This Row],[Total Item ]],"PAGO", "")</f>
        <v/>
      </c>
      <c r="S2023"/>
      <c r="V2023"/>
      <c r="X2023"/>
      <c r="AB2023"/>
    </row>
    <row r="2024" spans="1:28" ht="39.950000000000003" customHeight="1" x14ac:dyDescent="0.25">
      <c r="A2024" s="100"/>
      <c r="B2024">
        <v>188</v>
      </c>
      <c r="C2024" s="104">
        <v>43257</v>
      </c>
      <c r="D2024" t="s">
        <v>34</v>
      </c>
      <c r="E2024" t="s">
        <v>687</v>
      </c>
      <c r="F2024" t="s">
        <v>688</v>
      </c>
      <c r="G2024" t="s">
        <v>689</v>
      </c>
      <c r="H2024" t="s">
        <v>84</v>
      </c>
      <c r="I2024" t="s">
        <v>690</v>
      </c>
      <c r="L2024" t="s">
        <v>219</v>
      </c>
      <c r="M2024" s="178">
        <v>1</v>
      </c>
      <c r="N2024" s="179">
        <v>30</v>
      </c>
      <c r="O2024" s="179">
        <v>30</v>
      </c>
      <c r="P2024" s="179"/>
      <c r="Q2024" s="180" t="str">
        <f>IF(PEDIDOS[[#This Row],[Valor do item pago]]=PEDIDOS[[#This Row],[Total Item ]],"PAGO", "")</f>
        <v/>
      </c>
      <c r="S2024"/>
      <c r="V2024"/>
      <c r="X2024"/>
      <c r="AB2024"/>
    </row>
    <row r="2025" spans="1:28" ht="39.950000000000003" customHeight="1" x14ac:dyDescent="0.25">
      <c r="A2025" s="100"/>
      <c r="B2025">
        <v>114</v>
      </c>
      <c r="C2025" s="104">
        <v>43195</v>
      </c>
      <c r="D2025" t="s">
        <v>477</v>
      </c>
      <c r="E2025" t="s">
        <v>369</v>
      </c>
      <c r="F2025" t="s">
        <v>308</v>
      </c>
      <c r="G2025" t="s">
        <v>148</v>
      </c>
      <c r="H2025" t="s">
        <v>400</v>
      </c>
      <c r="I2025" t="s">
        <v>444</v>
      </c>
      <c r="J2025" t="s">
        <v>516</v>
      </c>
      <c r="L2025" t="s">
        <v>219</v>
      </c>
      <c r="M2025" s="178">
        <v>1</v>
      </c>
      <c r="N2025" s="179">
        <v>30</v>
      </c>
      <c r="O2025" s="179">
        <v>30</v>
      </c>
      <c r="P2025" s="179"/>
      <c r="Q2025" s="180"/>
      <c r="S2025"/>
      <c r="V2025"/>
      <c r="X2025"/>
      <c r="AB2025"/>
    </row>
    <row r="2026" spans="1:28" ht="39.950000000000003" customHeight="1" x14ac:dyDescent="0.25">
      <c r="A2026" s="100"/>
      <c r="B2026">
        <v>59</v>
      </c>
      <c r="C2026" s="104">
        <v>43101</v>
      </c>
      <c r="D2026" t="s">
        <v>477</v>
      </c>
      <c r="E2026" t="s">
        <v>369</v>
      </c>
      <c r="F2026" t="s">
        <v>308</v>
      </c>
      <c r="G2026" t="s">
        <v>148</v>
      </c>
      <c r="H2026" t="s">
        <v>400</v>
      </c>
      <c r="I2026" t="s">
        <v>444</v>
      </c>
      <c r="L2026" t="s">
        <v>219</v>
      </c>
      <c r="M2026" s="156">
        <v>1</v>
      </c>
      <c r="N2026" s="180">
        <v>30</v>
      </c>
      <c r="O2026" s="180">
        <v>30</v>
      </c>
      <c r="P2026" s="180"/>
      <c r="Q2026" s="181" t="str">
        <f>IF(PEDIDOS[[#This Row],[Valor do item pago]]=PEDIDOS[[#This Row],[Total Item ]],"PAGO", "ABERTO")</f>
        <v>ABERTO</v>
      </c>
      <c r="S2026"/>
      <c r="V2026"/>
      <c r="X2026"/>
      <c r="AB2026"/>
    </row>
    <row r="2027" spans="1:28" ht="39.950000000000003" customHeight="1" x14ac:dyDescent="0.25">
      <c r="A2027" s="100"/>
      <c r="B2027">
        <v>187</v>
      </c>
      <c r="C2027" s="104">
        <v>43257</v>
      </c>
      <c r="D2027" t="s">
        <v>34</v>
      </c>
      <c r="E2027" t="s">
        <v>25</v>
      </c>
      <c r="F2027" t="s">
        <v>291</v>
      </c>
      <c r="G2027" t="s">
        <v>330</v>
      </c>
      <c r="H2027" t="s">
        <v>406</v>
      </c>
      <c r="I2027" t="s">
        <v>329</v>
      </c>
      <c r="J2027" t="s">
        <v>686</v>
      </c>
      <c r="L2027" t="s">
        <v>219</v>
      </c>
      <c r="M2027" s="178">
        <v>1</v>
      </c>
      <c r="N2027" s="179">
        <v>30</v>
      </c>
      <c r="O2027" s="179">
        <v>30</v>
      </c>
      <c r="P2027" s="179"/>
      <c r="Q2027" s="180" t="str">
        <f>IF(PEDIDOS[[#This Row],[Valor do item pago]]=PEDIDOS[[#This Row],[Total Item ]],"PAGO", "")</f>
        <v/>
      </c>
      <c r="S2027"/>
      <c r="V2027"/>
      <c r="X2027"/>
      <c r="AB2027"/>
    </row>
    <row r="2028" spans="1:28" ht="39.950000000000003" customHeight="1" x14ac:dyDescent="0.25">
      <c r="A2028" s="100"/>
      <c r="B2028">
        <v>186</v>
      </c>
      <c r="C2028" s="104">
        <v>43257</v>
      </c>
      <c r="D2028" t="s">
        <v>34</v>
      </c>
      <c r="E2028" t="s">
        <v>591</v>
      </c>
      <c r="F2028" t="s">
        <v>590</v>
      </c>
      <c r="G2028" t="s">
        <v>592</v>
      </c>
      <c r="H2028" t="s">
        <v>593</v>
      </c>
      <c r="I2028" t="s">
        <v>678</v>
      </c>
      <c r="L2028" t="s">
        <v>3</v>
      </c>
      <c r="M2028" s="178">
        <v>1</v>
      </c>
      <c r="N2028" s="179">
        <v>30</v>
      </c>
      <c r="O2028" s="179">
        <v>30</v>
      </c>
      <c r="P2028" s="179"/>
      <c r="Q2028" s="180" t="str">
        <f>IF(PEDIDOS[[#This Row],[Valor do item pago]]=PEDIDOS[[#This Row],[Total Item ]],"PAGO", "")</f>
        <v/>
      </c>
      <c r="S2028"/>
      <c r="V2028"/>
      <c r="X2028"/>
      <c r="AB2028"/>
    </row>
    <row r="2029" spans="1:28" ht="39.950000000000003" customHeight="1" x14ac:dyDescent="0.25">
      <c r="A2029" s="100"/>
      <c r="B2029">
        <v>98</v>
      </c>
      <c r="C2029" s="104">
        <v>43195</v>
      </c>
      <c r="D2029" t="s">
        <v>477</v>
      </c>
      <c r="E2029" t="s">
        <v>338</v>
      </c>
      <c r="F2029" t="s">
        <v>273</v>
      </c>
      <c r="G2029" t="s">
        <v>500</v>
      </c>
      <c r="H2029" t="s">
        <v>502</v>
      </c>
      <c r="L2029" t="s">
        <v>1</v>
      </c>
      <c r="M2029" s="178">
        <v>1</v>
      </c>
      <c r="N2029" s="179">
        <v>30</v>
      </c>
      <c r="O2029" s="179">
        <v>30</v>
      </c>
      <c r="P2029" s="179"/>
      <c r="Q2029" s="180"/>
      <c r="S2029"/>
      <c r="V2029"/>
      <c r="X2029"/>
      <c r="AB2029"/>
    </row>
  </sheetData>
  <hyperlinks>
    <hyperlink ref="A1" location="PRINCIPAL!A1" display="Menu Principal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8"/>
  <dimension ref="A1:L53"/>
  <sheetViews>
    <sheetView workbookViewId="0">
      <selection activeCell="D11" sqref="D11"/>
    </sheetView>
  </sheetViews>
  <sheetFormatPr defaultRowHeight="15" x14ac:dyDescent="0.25"/>
  <cols>
    <col min="1" max="1" width="21.42578125" bestFit="1" customWidth="1"/>
    <col min="2" max="2" width="21.85546875" style="101" bestFit="1" customWidth="1"/>
    <col min="3" max="3" width="11.140625" style="101" bestFit="1" customWidth="1"/>
    <col min="4" max="4" width="7.140625" style="101" bestFit="1" customWidth="1"/>
    <col min="5" max="5" width="11.85546875" style="101" bestFit="1" customWidth="1"/>
    <col min="6" max="7" width="10.7109375" style="101" bestFit="1" customWidth="1"/>
    <col min="8" max="8" width="10.7109375" bestFit="1" customWidth="1"/>
    <col min="9" max="9" width="18.7109375" customWidth="1"/>
    <col min="10" max="10" width="21" bestFit="1" customWidth="1"/>
    <col min="11" max="11" width="18.7109375" customWidth="1"/>
    <col min="12" max="12" width="26.140625" bestFit="1" customWidth="1"/>
    <col min="13" max="13" width="23.7109375" customWidth="1"/>
  </cols>
  <sheetData>
    <row r="1" spans="1:12" x14ac:dyDescent="0.25">
      <c r="A1" s="273" t="s">
        <v>244</v>
      </c>
      <c r="B1" s="267" t="s">
        <v>605</v>
      </c>
    </row>
    <row r="3" spans="1:12" x14ac:dyDescent="0.25">
      <c r="A3" s="273" t="s">
        <v>474</v>
      </c>
      <c r="B3" s="271" t="s">
        <v>250</v>
      </c>
      <c r="C3" s="267"/>
      <c r="D3" s="267"/>
      <c r="E3" s="267"/>
      <c r="F3" s="267"/>
      <c r="G3"/>
    </row>
    <row r="4" spans="1:12" ht="20.100000000000001" customHeight="1" x14ac:dyDescent="0.25">
      <c r="A4" s="273" t="s">
        <v>249</v>
      </c>
      <c r="B4" s="267" t="s">
        <v>0</v>
      </c>
      <c r="C4" s="267" t="s">
        <v>1</v>
      </c>
      <c r="D4" s="267" t="s">
        <v>219</v>
      </c>
      <c r="E4" s="267" t="s">
        <v>3</v>
      </c>
      <c r="F4" s="267" t="s">
        <v>1542</v>
      </c>
      <c r="G4"/>
    </row>
    <row r="5" spans="1:12" ht="19.5" customHeight="1" x14ac:dyDescent="0.25">
      <c r="A5" s="274" t="s">
        <v>45</v>
      </c>
      <c r="B5" s="265">
        <v>1</v>
      </c>
      <c r="C5" s="265">
        <v>1</v>
      </c>
      <c r="D5" s="265">
        <v>1</v>
      </c>
      <c r="E5" s="265"/>
      <c r="F5" s="266">
        <v>3</v>
      </c>
      <c r="G5"/>
    </row>
    <row r="6" spans="1:12" ht="20.100000000000001" customHeight="1" x14ac:dyDescent="0.25">
      <c r="A6" s="272" t="s">
        <v>1934</v>
      </c>
      <c r="B6" s="265">
        <v>2</v>
      </c>
      <c r="C6" s="265"/>
      <c r="D6" s="265">
        <v>1</v>
      </c>
      <c r="E6" s="265"/>
      <c r="F6" s="265">
        <v>3</v>
      </c>
      <c r="G6"/>
    </row>
    <row r="7" spans="1:12" ht="20.100000000000001" customHeight="1" x14ac:dyDescent="0.25">
      <c r="A7" s="274" t="s">
        <v>732</v>
      </c>
      <c r="B7" s="265">
        <v>1</v>
      </c>
      <c r="C7" s="265">
        <v>1</v>
      </c>
      <c r="D7" s="265">
        <v>1</v>
      </c>
      <c r="E7" s="265"/>
      <c r="F7" s="265">
        <v>3</v>
      </c>
      <c r="G7"/>
    </row>
    <row r="8" spans="1:12" ht="20.100000000000001" customHeight="1" x14ac:dyDescent="0.25">
      <c r="A8" s="272" t="s">
        <v>49</v>
      </c>
      <c r="B8" s="265"/>
      <c r="C8" s="265">
        <v>2</v>
      </c>
      <c r="D8" s="265"/>
      <c r="E8" s="265">
        <v>2</v>
      </c>
      <c r="F8" s="266">
        <v>4</v>
      </c>
      <c r="G8"/>
    </row>
    <row r="9" spans="1:12" ht="20.100000000000001" customHeight="1" x14ac:dyDescent="0.25">
      <c r="A9" s="274" t="s">
        <v>1025</v>
      </c>
      <c r="B9" s="265">
        <v>1</v>
      </c>
      <c r="C9" s="265">
        <v>5</v>
      </c>
      <c r="D9" s="265">
        <v>4</v>
      </c>
      <c r="E9" s="265"/>
      <c r="F9" s="265">
        <v>10</v>
      </c>
      <c r="G9"/>
    </row>
    <row r="10" spans="1:12" ht="20.100000000000001" customHeight="1" x14ac:dyDescent="0.25">
      <c r="A10" s="274" t="s">
        <v>411</v>
      </c>
      <c r="B10" s="265"/>
      <c r="C10" s="265">
        <v>7</v>
      </c>
      <c r="D10" s="265">
        <v>10</v>
      </c>
      <c r="E10" s="265">
        <v>6</v>
      </c>
      <c r="F10" s="266">
        <v>23</v>
      </c>
      <c r="G10"/>
      <c r="J10" t="s">
        <v>1860</v>
      </c>
    </row>
    <row r="11" spans="1:12" ht="20.100000000000001" customHeight="1" x14ac:dyDescent="0.25">
      <c r="A11" s="274" t="s">
        <v>229</v>
      </c>
      <c r="B11" s="265">
        <v>1</v>
      </c>
      <c r="C11" s="265">
        <v>4</v>
      </c>
      <c r="D11" s="265">
        <v>3</v>
      </c>
      <c r="E11" s="265">
        <v>3</v>
      </c>
      <c r="F11" s="266">
        <v>11</v>
      </c>
      <c r="G11"/>
    </row>
    <row r="12" spans="1:12" ht="20.100000000000001" customHeight="1" x14ac:dyDescent="0.25">
      <c r="A12" s="274" t="s">
        <v>1134</v>
      </c>
      <c r="B12" s="265">
        <v>1</v>
      </c>
      <c r="C12" s="265">
        <v>3</v>
      </c>
      <c r="D12" s="265">
        <v>6</v>
      </c>
      <c r="E12" s="265">
        <v>1</v>
      </c>
      <c r="F12" s="265">
        <v>11</v>
      </c>
      <c r="G12"/>
    </row>
    <row r="13" spans="1:12" ht="20.100000000000001" customHeight="1" x14ac:dyDescent="0.25">
      <c r="A13" s="274" t="s">
        <v>11</v>
      </c>
      <c r="B13" s="265">
        <v>2</v>
      </c>
      <c r="C13" s="265">
        <v>14</v>
      </c>
      <c r="D13" s="265">
        <v>15</v>
      </c>
      <c r="E13" s="265">
        <v>1</v>
      </c>
      <c r="F13" s="265">
        <v>32</v>
      </c>
      <c r="G13"/>
    </row>
    <row r="14" spans="1:12" ht="20.100000000000001" customHeight="1" x14ac:dyDescent="0.25">
      <c r="A14" s="272" t="s">
        <v>1953</v>
      </c>
      <c r="B14" s="265"/>
      <c r="C14" s="265">
        <v>3</v>
      </c>
      <c r="D14" s="265">
        <v>1</v>
      </c>
      <c r="E14" s="265">
        <v>1</v>
      </c>
      <c r="F14" s="265">
        <v>5</v>
      </c>
      <c r="G14"/>
      <c r="K14" t="s">
        <v>1869</v>
      </c>
      <c r="L14" s="255"/>
    </row>
    <row r="15" spans="1:12" ht="20.100000000000001" customHeight="1" x14ac:dyDescent="0.25">
      <c r="A15" s="274" t="s">
        <v>34</v>
      </c>
      <c r="B15" s="266"/>
      <c r="C15" s="266">
        <v>6</v>
      </c>
      <c r="D15" s="266">
        <v>1</v>
      </c>
      <c r="E15" s="266">
        <v>1</v>
      </c>
      <c r="F15" s="265">
        <v>8</v>
      </c>
      <c r="G15"/>
      <c r="J15">
        <v>97</v>
      </c>
      <c r="K15" t="s">
        <v>1870</v>
      </c>
      <c r="L15" s="255"/>
    </row>
    <row r="16" spans="1:12" ht="20.100000000000001" customHeight="1" x14ac:dyDescent="0.25">
      <c r="A16" s="272" t="s">
        <v>24</v>
      </c>
      <c r="B16" s="265"/>
      <c r="C16" s="265">
        <v>2</v>
      </c>
      <c r="D16" s="265">
        <v>3</v>
      </c>
      <c r="E16" s="265">
        <v>3</v>
      </c>
      <c r="F16" s="266">
        <v>8</v>
      </c>
      <c r="G16"/>
      <c r="J16">
        <v>1</v>
      </c>
      <c r="K16" t="s">
        <v>1871</v>
      </c>
      <c r="L16" s="255"/>
    </row>
    <row r="17" spans="1:12" ht="20.100000000000001" customHeight="1" x14ac:dyDescent="0.25">
      <c r="A17" s="272" t="s">
        <v>1542</v>
      </c>
      <c r="B17" s="265">
        <v>9</v>
      </c>
      <c r="C17" s="265">
        <v>48</v>
      </c>
      <c r="D17" s="265">
        <v>46</v>
      </c>
      <c r="E17" s="265">
        <v>18</v>
      </c>
      <c r="F17" s="265">
        <v>121</v>
      </c>
      <c r="G17"/>
      <c r="I17" s="101"/>
      <c r="J17">
        <v>1</v>
      </c>
      <c r="K17" t="s">
        <v>1872</v>
      </c>
      <c r="L17" s="255"/>
    </row>
    <row r="18" spans="1:12" ht="20.100000000000001" customHeight="1" x14ac:dyDescent="0.25">
      <c r="B18"/>
      <c r="C18"/>
      <c r="D18"/>
      <c r="E18"/>
      <c r="F18"/>
      <c r="G18"/>
      <c r="J18">
        <v>2</v>
      </c>
      <c r="K18" t="s">
        <v>1873</v>
      </c>
    </row>
    <row r="19" spans="1:12" x14ac:dyDescent="0.25">
      <c r="B19"/>
      <c r="C19"/>
      <c r="D19"/>
      <c r="E19"/>
      <c r="F19"/>
      <c r="G19"/>
    </row>
    <row r="20" spans="1:12" x14ac:dyDescent="0.25">
      <c r="B20"/>
      <c r="C20"/>
      <c r="D20"/>
      <c r="E20"/>
      <c r="F20"/>
      <c r="G20"/>
    </row>
    <row r="21" spans="1:12" x14ac:dyDescent="0.25">
      <c r="B21"/>
      <c r="C21"/>
      <c r="D21"/>
      <c r="E21"/>
      <c r="F21"/>
      <c r="G21"/>
    </row>
    <row r="22" spans="1:12" x14ac:dyDescent="0.25">
      <c r="B22"/>
      <c r="C22"/>
      <c r="D22"/>
      <c r="E22"/>
      <c r="F22"/>
      <c r="G22"/>
    </row>
    <row r="23" spans="1:12" x14ac:dyDescent="0.25">
      <c r="B23"/>
      <c r="C23"/>
      <c r="D23"/>
      <c r="E23"/>
      <c r="F23"/>
      <c r="G23"/>
    </row>
    <row r="24" spans="1:12" x14ac:dyDescent="0.25">
      <c r="B24"/>
      <c r="C24"/>
      <c r="D24"/>
      <c r="E24"/>
      <c r="F24"/>
      <c r="G24"/>
    </row>
    <row r="25" spans="1:12" x14ac:dyDescent="0.25">
      <c r="B25"/>
      <c r="C25"/>
      <c r="D25"/>
      <c r="E25"/>
      <c r="F25"/>
      <c r="G25"/>
    </row>
    <row r="26" spans="1:12" x14ac:dyDescent="0.25">
      <c r="B26"/>
      <c r="C26"/>
      <c r="D26"/>
      <c r="E26"/>
      <c r="F26"/>
      <c r="G26"/>
    </row>
    <row r="27" spans="1:12" x14ac:dyDescent="0.25">
      <c r="B27"/>
      <c r="C27"/>
      <c r="D27"/>
      <c r="E27"/>
      <c r="F27"/>
      <c r="G27"/>
    </row>
    <row r="28" spans="1:12" x14ac:dyDescent="0.25">
      <c r="B28"/>
      <c r="C28"/>
      <c r="D28"/>
      <c r="E28"/>
      <c r="F28"/>
      <c r="G28"/>
    </row>
    <row r="29" spans="1:12" x14ac:dyDescent="0.25">
      <c r="B29"/>
      <c r="C29"/>
      <c r="D29"/>
      <c r="E29"/>
      <c r="F29"/>
      <c r="G29"/>
    </row>
    <row r="30" spans="1:12" x14ac:dyDescent="0.25">
      <c r="B30"/>
      <c r="C30"/>
      <c r="D30"/>
      <c r="E30"/>
      <c r="F30"/>
      <c r="G30"/>
    </row>
    <row r="31" spans="1:12" x14ac:dyDescent="0.25">
      <c r="B31"/>
      <c r="C31"/>
      <c r="D31"/>
      <c r="E31"/>
      <c r="F31"/>
      <c r="G31"/>
    </row>
    <row r="32" spans="1:12" x14ac:dyDescent="0.25">
      <c r="B32"/>
      <c r="C32"/>
      <c r="D32"/>
      <c r="E32"/>
      <c r="F32"/>
      <c r="G32"/>
    </row>
    <row r="33" spans="2:7" x14ac:dyDescent="0.25">
      <c r="B33"/>
      <c r="C33"/>
      <c r="D33"/>
      <c r="E33"/>
      <c r="F33"/>
      <c r="G33"/>
    </row>
    <row r="34" spans="2:7" x14ac:dyDescent="0.25">
      <c r="B34"/>
      <c r="C34"/>
      <c r="D34"/>
      <c r="E34"/>
      <c r="F34"/>
      <c r="G34"/>
    </row>
    <row r="35" spans="2:7" x14ac:dyDescent="0.25">
      <c r="B35"/>
      <c r="C35"/>
      <c r="D35"/>
      <c r="E35"/>
      <c r="F35"/>
      <c r="G35"/>
    </row>
    <row r="36" spans="2:7" x14ac:dyDescent="0.25">
      <c r="B36"/>
      <c r="C36"/>
      <c r="D36"/>
      <c r="E36"/>
      <c r="F36"/>
      <c r="G36"/>
    </row>
    <row r="37" spans="2:7" x14ac:dyDescent="0.25">
      <c r="B37"/>
      <c r="C37"/>
      <c r="D37"/>
      <c r="E37"/>
      <c r="F37"/>
      <c r="G37"/>
    </row>
    <row r="38" spans="2:7" x14ac:dyDescent="0.25">
      <c r="B38"/>
      <c r="C38"/>
      <c r="D38"/>
      <c r="E38"/>
      <c r="F38"/>
      <c r="G38"/>
    </row>
    <row r="39" spans="2:7" x14ac:dyDescent="0.25">
      <c r="B39"/>
      <c r="C39"/>
      <c r="D39"/>
      <c r="E39"/>
      <c r="F39"/>
      <c r="G39"/>
    </row>
    <row r="40" spans="2:7" x14ac:dyDescent="0.25">
      <c r="B40"/>
      <c r="C40"/>
      <c r="D40"/>
      <c r="E40"/>
      <c r="F40"/>
      <c r="G40"/>
    </row>
    <row r="41" spans="2:7" x14ac:dyDescent="0.25">
      <c r="B41"/>
      <c r="C41"/>
      <c r="D41"/>
      <c r="E41"/>
      <c r="F41"/>
      <c r="G41"/>
    </row>
    <row r="42" spans="2:7" x14ac:dyDescent="0.25">
      <c r="B42"/>
      <c r="C42"/>
      <c r="D42"/>
      <c r="E42"/>
      <c r="F42"/>
      <c r="G42"/>
    </row>
    <row r="43" spans="2:7" x14ac:dyDescent="0.25">
      <c r="B43"/>
      <c r="C43"/>
      <c r="D43"/>
      <c r="E43"/>
      <c r="F43"/>
      <c r="G43"/>
    </row>
    <row r="44" spans="2:7" x14ac:dyDescent="0.25">
      <c r="B44"/>
      <c r="C44"/>
      <c r="D44"/>
      <c r="E44"/>
      <c r="F44"/>
      <c r="G44"/>
    </row>
    <row r="45" spans="2:7" x14ac:dyDescent="0.25">
      <c r="B45"/>
      <c r="C45"/>
      <c r="D45"/>
      <c r="E45"/>
      <c r="F45"/>
      <c r="G45"/>
    </row>
    <row r="46" spans="2:7" x14ac:dyDescent="0.25">
      <c r="B46"/>
      <c r="C46"/>
      <c r="D46"/>
      <c r="E46"/>
      <c r="F46"/>
      <c r="G46"/>
    </row>
    <row r="47" spans="2:7" x14ac:dyDescent="0.25">
      <c r="B47"/>
      <c r="C47"/>
      <c r="D47"/>
      <c r="E47"/>
      <c r="F47"/>
      <c r="G47"/>
    </row>
    <row r="48" spans="2:7" x14ac:dyDescent="0.25">
      <c r="B48"/>
      <c r="C48"/>
      <c r="D48"/>
      <c r="E48"/>
      <c r="F48"/>
      <c r="G48"/>
    </row>
    <row r="49" spans="2:7" x14ac:dyDescent="0.25">
      <c r="B49"/>
      <c r="C49"/>
      <c r="D49"/>
      <c r="E49"/>
      <c r="F49"/>
      <c r="G49"/>
    </row>
    <row r="50" spans="2:7" x14ac:dyDescent="0.25">
      <c r="B50"/>
      <c r="C50"/>
      <c r="D50"/>
      <c r="E50"/>
      <c r="F50"/>
    </row>
    <row r="51" spans="2:7" x14ac:dyDescent="0.25">
      <c r="B51"/>
      <c r="C51"/>
      <c r="D51"/>
      <c r="E51"/>
      <c r="F51"/>
    </row>
    <row r="52" spans="2:7" x14ac:dyDescent="0.25">
      <c r="B52"/>
      <c r="C52"/>
      <c r="D52"/>
      <c r="E52"/>
      <c r="F52"/>
    </row>
    <row r="53" spans="2:7" x14ac:dyDescent="0.25">
      <c r="B53"/>
      <c r="C53"/>
      <c r="D53"/>
      <c r="E53"/>
      <c r="F53"/>
    </row>
  </sheetData>
  <pageMargins left="0.511811024" right="0.511811024" top="0.78740157499999996" bottom="0.78740157499999996" header="0.31496062000000002" footer="0.31496062000000002"/>
  <pageSetup paperSize="9"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1"/>
  <dimension ref="A1:E44"/>
  <sheetViews>
    <sheetView topLeftCell="A13" workbookViewId="0">
      <selection activeCell="B30" sqref="B30"/>
    </sheetView>
  </sheetViews>
  <sheetFormatPr defaultRowHeight="15" x14ac:dyDescent="0.25"/>
  <cols>
    <col min="1" max="1" width="24.140625" bestFit="1" customWidth="1"/>
    <col min="2" max="2" width="21.42578125" bestFit="1" customWidth="1"/>
    <col min="3" max="7" width="10.7109375" bestFit="1" customWidth="1"/>
  </cols>
  <sheetData>
    <row r="1" spans="1:5" x14ac:dyDescent="0.25">
      <c r="A1" s="124" t="s">
        <v>474</v>
      </c>
      <c r="B1" s="124" t="s">
        <v>250</v>
      </c>
    </row>
    <row r="2" spans="1:5" x14ac:dyDescent="0.25">
      <c r="A2" s="124" t="s">
        <v>249</v>
      </c>
      <c r="B2" s="104">
        <v>43258</v>
      </c>
      <c r="C2" s="104">
        <v>43257</v>
      </c>
      <c r="D2" s="104">
        <v>43259</v>
      </c>
      <c r="E2" s="104" t="s">
        <v>1542</v>
      </c>
    </row>
    <row r="3" spans="1:5" x14ac:dyDescent="0.25">
      <c r="A3" s="125" t="s">
        <v>1</v>
      </c>
      <c r="B3" s="246">
        <v>8</v>
      </c>
      <c r="C3" s="246">
        <v>22</v>
      </c>
      <c r="D3" s="246">
        <v>12</v>
      </c>
      <c r="E3" s="246">
        <v>42</v>
      </c>
    </row>
    <row r="4" spans="1:5" x14ac:dyDescent="0.25">
      <c r="A4" s="125" t="s">
        <v>0</v>
      </c>
      <c r="B4" s="246">
        <v>1</v>
      </c>
      <c r="C4" s="246">
        <v>9</v>
      </c>
      <c r="D4" s="246">
        <v>2</v>
      </c>
      <c r="E4" s="246">
        <v>12</v>
      </c>
    </row>
    <row r="5" spans="1:5" x14ac:dyDescent="0.25">
      <c r="A5" s="125" t="s">
        <v>219</v>
      </c>
      <c r="B5" s="246">
        <v>30</v>
      </c>
      <c r="C5" s="246">
        <v>31</v>
      </c>
      <c r="D5" s="246">
        <v>19</v>
      </c>
      <c r="E5" s="246">
        <v>80</v>
      </c>
    </row>
    <row r="6" spans="1:5" x14ac:dyDescent="0.25">
      <c r="A6" s="125" t="s">
        <v>3</v>
      </c>
      <c r="B6" s="246">
        <v>10</v>
      </c>
      <c r="C6" s="246">
        <v>18</v>
      </c>
      <c r="D6" s="246">
        <v>1</v>
      </c>
      <c r="E6" s="246">
        <v>29</v>
      </c>
    </row>
    <row r="7" spans="1:5" x14ac:dyDescent="0.25">
      <c r="A7" s="125" t="s">
        <v>604</v>
      </c>
      <c r="B7" s="246"/>
      <c r="C7" s="246"/>
      <c r="D7" s="246"/>
      <c r="E7" s="246"/>
    </row>
    <row r="8" spans="1:5" x14ac:dyDescent="0.25">
      <c r="A8" s="125" t="s">
        <v>235</v>
      </c>
      <c r="B8" s="246"/>
      <c r="C8" s="246">
        <v>2</v>
      </c>
      <c r="D8" s="246">
        <v>2</v>
      </c>
      <c r="E8" s="246">
        <v>4</v>
      </c>
    </row>
    <row r="9" spans="1:5" x14ac:dyDescent="0.25">
      <c r="A9" s="125" t="s">
        <v>1542</v>
      </c>
      <c r="B9" s="246">
        <v>49</v>
      </c>
      <c r="C9" s="246">
        <v>82</v>
      </c>
      <c r="D9" s="246">
        <v>36</v>
      </c>
      <c r="E9" s="246">
        <v>167</v>
      </c>
    </row>
    <row r="16" spans="1:5" x14ac:dyDescent="0.25">
      <c r="A16" s="124" t="s">
        <v>244</v>
      </c>
      <c r="B16" t="s">
        <v>605</v>
      </c>
    </row>
    <row r="18" spans="1:2" x14ac:dyDescent="0.25">
      <c r="A18" s="124" t="s">
        <v>249</v>
      </c>
      <c r="B18" t="s">
        <v>474</v>
      </c>
    </row>
    <row r="19" spans="1:2" x14ac:dyDescent="0.25">
      <c r="A19" s="125" t="s">
        <v>185</v>
      </c>
      <c r="B19" s="246">
        <v>6</v>
      </c>
    </row>
    <row r="20" spans="1:2" x14ac:dyDescent="0.25">
      <c r="A20" s="125" t="s">
        <v>40</v>
      </c>
      <c r="B20" s="246">
        <v>20</v>
      </c>
    </row>
    <row r="21" spans="1:2" x14ac:dyDescent="0.25">
      <c r="A21" s="125" t="s">
        <v>48</v>
      </c>
      <c r="B21" s="246">
        <v>7</v>
      </c>
    </row>
    <row r="22" spans="1:2" x14ac:dyDescent="0.25">
      <c r="A22" s="125" t="s">
        <v>49</v>
      </c>
      <c r="B22" s="246">
        <v>6</v>
      </c>
    </row>
    <row r="23" spans="1:2" x14ac:dyDescent="0.25">
      <c r="A23" s="125" t="s">
        <v>44</v>
      </c>
      <c r="B23" s="246">
        <v>11</v>
      </c>
    </row>
    <row r="24" spans="1:2" x14ac:dyDescent="0.25">
      <c r="A24" s="125" t="s">
        <v>229</v>
      </c>
      <c r="B24" s="246">
        <v>10</v>
      </c>
    </row>
    <row r="25" spans="1:2" x14ac:dyDescent="0.25">
      <c r="A25" s="125" t="s">
        <v>60</v>
      </c>
      <c r="B25" s="246">
        <v>16</v>
      </c>
    </row>
    <row r="26" spans="1:2" x14ac:dyDescent="0.25">
      <c r="A26" s="125" t="s">
        <v>477</v>
      </c>
      <c r="B26" s="246">
        <v>36</v>
      </c>
    </row>
    <row r="27" spans="1:2" x14ac:dyDescent="0.25">
      <c r="A27" s="125" t="s">
        <v>24</v>
      </c>
      <c r="B27" s="246">
        <v>4</v>
      </c>
    </row>
    <row r="28" spans="1:2" x14ac:dyDescent="0.25">
      <c r="A28" s="125" t="s">
        <v>47</v>
      </c>
      <c r="B28" s="246">
        <v>1</v>
      </c>
    </row>
    <row r="29" spans="1:2" x14ac:dyDescent="0.25">
      <c r="A29" s="125" t="s">
        <v>231</v>
      </c>
      <c r="B29" s="246">
        <v>25</v>
      </c>
    </row>
    <row r="30" spans="1:2" x14ac:dyDescent="0.25">
      <c r="A30" s="125" t="s">
        <v>584</v>
      </c>
      <c r="B30" s="246">
        <v>9</v>
      </c>
    </row>
    <row r="31" spans="1:2" x14ac:dyDescent="0.25">
      <c r="A31" s="125" t="s">
        <v>34</v>
      </c>
      <c r="B31" s="246">
        <v>7</v>
      </c>
    </row>
    <row r="32" spans="1:2" x14ac:dyDescent="0.25">
      <c r="A32" s="125" t="s">
        <v>804</v>
      </c>
      <c r="B32" s="246">
        <v>2</v>
      </c>
    </row>
    <row r="33" spans="1:2" x14ac:dyDescent="0.25">
      <c r="A33" s="125" t="s">
        <v>823</v>
      </c>
      <c r="B33" s="246">
        <v>7</v>
      </c>
    </row>
    <row r="34" spans="1:2" x14ac:dyDescent="0.25">
      <c r="A34" s="125" t="s">
        <v>1542</v>
      </c>
      <c r="B34" s="246">
        <v>167</v>
      </c>
    </row>
    <row r="37" spans="1:2" x14ac:dyDescent="0.25">
      <c r="A37" s="124" t="s">
        <v>244</v>
      </c>
      <c r="B37" t="s">
        <v>481</v>
      </c>
    </row>
    <row r="39" spans="1:2" x14ac:dyDescent="0.25">
      <c r="A39" s="124" t="s">
        <v>249</v>
      </c>
      <c r="B39" t="s">
        <v>474</v>
      </c>
    </row>
    <row r="40" spans="1:2" x14ac:dyDescent="0.25">
      <c r="A40" s="125" t="s">
        <v>488</v>
      </c>
      <c r="B40" s="246">
        <v>42</v>
      </c>
    </row>
    <row r="41" spans="1:2" x14ac:dyDescent="0.25">
      <c r="A41" s="125" t="s">
        <v>489</v>
      </c>
      <c r="B41" s="246">
        <v>544</v>
      </c>
    </row>
    <row r="42" spans="1:2" x14ac:dyDescent="0.25">
      <c r="A42" s="125" t="s">
        <v>604</v>
      </c>
      <c r="B42" s="246">
        <v>43</v>
      </c>
    </row>
    <row r="43" spans="1:2" x14ac:dyDescent="0.25">
      <c r="A43" s="125"/>
      <c r="B43" s="246">
        <v>2075</v>
      </c>
    </row>
    <row r="44" spans="1:2" x14ac:dyDescent="0.25">
      <c r="A44" s="125" t="s">
        <v>1542</v>
      </c>
      <c r="B44" s="246">
        <v>2704</v>
      </c>
    </row>
  </sheetData>
  <pageMargins left="0.511811024" right="0.511811024" top="0.78740157499999996" bottom="0.78740157499999996" header="0.31496062000000002" footer="0.31496062000000002"/>
  <pageSetup paperSize="9" orientation="portrait" r:id="rId4"/>
  <drawing r:id="rId5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2"/>
  <dimension ref="A1:T206"/>
  <sheetViews>
    <sheetView topLeftCell="C4" workbookViewId="0">
      <selection activeCell="C18" sqref="C18"/>
    </sheetView>
  </sheetViews>
  <sheetFormatPr defaultColWidth="9.140625" defaultRowHeight="15" x14ac:dyDescent="0.25"/>
  <cols>
    <col min="1" max="2" width="0" style="145" hidden="1" customWidth="1"/>
    <col min="3" max="3" width="22.85546875" style="145" customWidth="1"/>
    <col min="4" max="4" width="11.140625" style="145" customWidth="1"/>
    <col min="5" max="5" width="46.5703125" style="216" customWidth="1"/>
    <col min="6" max="6" width="14.7109375" style="145" customWidth="1"/>
    <col min="7" max="7" width="11.5703125" style="145" bestFit="1" customWidth="1"/>
    <col min="8" max="8" width="7.5703125" style="145" customWidth="1"/>
    <col min="9" max="10" width="0" style="145" hidden="1" customWidth="1"/>
    <col min="11" max="11" width="7.28515625" style="224" customWidth="1"/>
    <col min="12" max="12" width="0" style="145" hidden="1" customWidth="1"/>
    <col min="13" max="13" width="12.7109375" style="145" customWidth="1"/>
    <col min="14" max="14" width="8.28515625" style="145" customWidth="1"/>
    <col min="15" max="15" width="18.28515625" style="145" customWidth="1"/>
    <col min="16" max="16384" width="9.140625" style="145"/>
  </cols>
  <sheetData>
    <row r="1" spans="1:20" s="205" customFormat="1" ht="21" customHeight="1" thickBot="1" x14ac:dyDescent="0.3">
      <c r="A1" s="201"/>
      <c r="B1" s="202" t="s">
        <v>807</v>
      </c>
      <c r="C1" s="211" t="s">
        <v>807</v>
      </c>
      <c r="D1" s="277" t="s">
        <v>40</v>
      </c>
      <c r="E1" s="277"/>
      <c r="F1" s="277"/>
      <c r="G1" s="203" t="s">
        <v>808</v>
      </c>
      <c r="H1" s="225"/>
      <c r="I1" s="203"/>
      <c r="J1" s="203"/>
      <c r="K1" s="218"/>
      <c r="L1" s="203"/>
      <c r="M1" s="203"/>
      <c r="N1" s="203"/>
      <c r="O1" s="203"/>
      <c r="P1" s="204"/>
      <c r="Q1" s="145"/>
      <c r="R1" s="145"/>
      <c r="S1" s="145"/>
      <c r="T1" s="145"/>
    </row>
    <row r="2" spans="1:20" s="187" customFormat="1" ht="27.75" customHeight="1" thickBot="1" x14ac:dyDescent="0.3">
      <c r="B2" s="188"/>
      <c r="C2" s="206" t="s">
        <v>237</v>
      </c>
      <c r="D2" s="207" t="s">
        <v>809</v>
      </c>
      <c r="E2" s="207" t="s">
        <v>220</v>
      </c>
      <c r="F2" s="207" t="s">
        <v>262</v>
      </c>
      <c r="G2" s="208" t="s">
        <v>483</v>
      </c>
      <c r="H2" s="208" t="s">
        <v>811</v>
      </c>
      <c r="I2" s="207" t="s">
        <v>483</v>
      </c>
      <c r="J2" s="208" t="s">
        <v>810</v>
      </c>
      <c r="K2" s="219" t="s">
        <v>813</v>
      </c>
      <c r="L2" s="209" t="s">
        <v>407</v>
      </c>
      <c r="M2" s="208" t="s">
        <v>245</v>
      </c>
      <c r="N2" s="210" t="s">
        <v>812</v>
      </c>
      <c r="O2" s="210" t="s">
        <v>814</v>
      </c>
      <c r="P2" s="217" t="s">
        <v>233</v>
      </c>
    </row>
    <row r="3" spans="1:20" ht="15" customHeight="1" x14ac:dyDescent="0.25">
      <c r="A3" s="145">
        <v>262</v>
      </c>
      <c r="B3" s="183">
        <v>43258</v>
      </c>
      <c r="C3" s="189" t="s">
        <v>804</v>
      </c>
      <c r="D3" s="189" t="s">
        <v>803</v>
      </c>
      <c r="E3" s="212">
        <v>0</v>
      </c>
      <c r="F3" s="189">
        <v>0</v>
      </c>
      <c r="G3" s="189" t="s">
        <v>3</v>
      </c>
      <c r="H3" s="190">
        <v>2</v>
      </c>
      <c r="I3" s="191">
        <v>30</v>
      </c>
      <c r="J3" s="191">
        <v>60</v>
      </c>
      <c r="K3" s="220"/>
      <c r="L3" s="192"/>
      <c r="M3" s="189" t="s">
        <v>804</v>
      </c>
      <c r="N3" s="189"/>
      <c r="O3" s="189" t="s">
        <v>804</v>
      </c>
      <c r="P3" s="189">
        <v>0</v>
      </c>
    </row>
    <row r="4" spans="1:20" ht="15" customHeight="1" x14ac:dyDescent="0.25">
      <c r="A4" s="145">
        <v>261</v>
      </c>
      <c r="B4" s="183">
        <v>43258</v>
      </c>
      <c r="C4" s="184" t="s">
        <v>584</v>
      </c>
      <c r="D4" s="184" t="s">
        <v>585</v>
      </c>
      <c r="E4" s="213">
        <v>0</v>
      </c>
      <c r="F4" s="184">
        <v>0</v>
      </c>
      <c r="G4" s="184" t="s">
        <v>219</v>
      </c>
      <c r="H4" s="182">
        <v>6</v>
      </c>
      <c r="I4" s="185">
        <v>30</v>
      </c>
      <c r="J4" s="185">
        <v>180</v>
      </c>
      <c r="K4" s="221"/>
      <c r="L4" s="186"/>
      <c r="M4" s="184" t="s">
        <v>584</v>
      </c>
      <c r="N4" s="184"/>
      <c r="O4" s="184" t="s">
        <v>584</v>
      </c>
      <c r="P4" s="184">
        <v>0</v>
      </c>
    </row>
    <row r="5" spans="1:20" ht="15" customHeight="1" x14ac:dyDescent="0.25">
      <c r="A5" s="145">
        <v>261</v>
      </c>
      <c r="B5" s="183">
        <v>43258</v>
      </c>
      <c r="C5" s="184" t="s">
        <v>584</v>
      </c>
      <c r="D5" s="184" t="s">
        <v>585</v>
      </c>
      <c r="E5" s="213">
        <v>0</v>
      </c>
      <c r="F5" s="184">
        <v>0</v>
      </c>
      <c r="G5" s="184" t="s">
        <v>1</v>
      </c>
      <c r="H5" s="182">
        <v>2</v>
      </c>
      <c r="I5" s="185">
        <v>30</v>
      </c>
      <c r="J5" s="185">
        <v>60</v>
      </c>
      <c r="K5" s="221"/>
      <c r="L5" s="186"/>
      <c r="M5" s="184" t="s">
        <v>584</v>
      </c>
      <c r="N5" s="184"/>
      <c r="O5" s="184" t="s">
        <v>584</v>
      </c>
      <c r="P5" s="184">
        <v>0</v>
      </c>
    </row>
    <row r="6" spans="1:20" ht="15" customHeight="1" x14ac:dyDescent="0.25">
      <c r="A6" s="145">
        <v>261</v>
      </c>
      <c r="B6" s="183">
        <v>43258</v>
      </c>
      <c r="C6" s="184" t="s">
        <v>584</v>
      </c>
      <c r="D6" s="184" t="s">
        <v>585</v>
      </c>
      <c r="E6" s="213">
        <v>0</v>
      </c>
      <c r="F6" s="184">
        <v>0</v>
      </c>
      <c r="G6" s="184" t="s">
        <v>0</v>
      </c>
      <c r="H6" s="182">
        <v>1</v>
      </c>
      <c r="I6" s="185">
        <v>30</v>
      </c>
      <c r="J6" s="185">
        <v>30</v>
      </c>
      <c r="K6" s="221"/>
      <c r="L6" s="186"/>
      <c r="M6" s="184" t="s">
        <v>584</v>
      </c>
      <c r="N6" s="184"/>
      <c r="O6" s="184" t="s">
        <v>584</v>
      </c>
      <c r="P6" s="184">
        <v>0</v>
      </c>
    </row>
    <row r="7" spans="1:20" ht="15" customHeight="1" x14ac:dyDescent="0.25">
      <c r="A7" s="145">
        <v>260</v>
      </c>
      <c r="B7" s="183">
        <v>43258</v>
      </c>
      <c r="C7" s="184" t="s">
        <v>50</v>
      </c>
      <c r="D7" s="184">
        <v>0</v>
      </c>
      <c r="E7" s="213">
        <v>0</v>
      </c>
      <c r="F7" s="184">
        <v>0</v>
      </c>
      <c r="G7" s="184" t="s">
        <v>3</v>
      </c>
      <c r="H7" s="182">
        <v>3</v>
      </c>
      <c r="I7" s="185">
        <v>30</v>
      </c>
      <c r="J7" s="185">
        <v>90</v>
      </c>
      <c r="K7" s="221"/>
      <c r="L7" s="186"/>
      <c r="M7" s="184" t="s">
        <v>229</v>
      </c>
      <c r="N7" s="184"/>
      <c r="O7" s="184" t="s">
        <v>229</v>
      </c>
      <c r="P7" s="184">
        <v>0</v>
      </c>
    </row>
    <row r="8" spans="1:20" ht="15" customHeight="1" x14ac:dyDescent="0.25">
      <c r="A8" s="145">
        <v>260</v>
      </c>
      <c r="B8" s="183">
        <v>43258</v>
      </c>
      <c r="C8" s="184" t="s">
        <v>50</v>
      </c>
      <c r="D8" s="184">
        <v>0</v>
      </c>
      <c r="E8" s="213">
        <v>0</v>
      </c>
      <c r="F8" s="184">
        <v>0</v>
      </c>
      <c r="G8" s="184" t="s">
        <v>219</v>
      </c>
      <c r="H8" s="182">
        <v>3</v>
      </c>
      <c r="I8" s="185">
        <v>30</v>
      </c>
      <c r="J8" s="185">
        <v>90</v>
      </c>
      <c r="K8" s="221"/>
      <c r="L8" s="186"/>
      <c r="M8" s="184" t="s">
        <v>229</v>
      </c>
      <c r="N8" s="184"/>
      <c r="O8" s="184" t="s">
        <v>229</v>
      </c>
      <c r="P8" s="184">
        <v>0</v>
      </c>
    </row>
    <row r="9" spans="1:20" ht="15" customHeight="1" x14ac:dyDescent="0.25">
      <c r="A9" s="145">
        <v>260</v>
      </c>
      <c r="B9" s="183">
        <v>43258</v>
      </c>
      <c r="C9" s="184" t="s">
        <v>50</v>
      </c>
      <c r="D9" s="184">
        <v>0</v>
      </c>
      <c r="E9" s="213">
        <v>0</v>
      </c>
      <c r="F9" s="184">
        <v>0</v>
      </c>
      <c r="G9" s="184" t="s">
        <v>1</v>
      </c>
      <c r="H9" s="182">
        <v>4</v>
      </c>
      <c r="I9" s="185">
        <v>30</v>
      </c>
      <c r="J9" s="185">
        <v>120</v>
      </c>
      <c r="K9" s="221"/>
      <c r="L9" s="186"/>
      <c r="M9" s="184" t="s">
        <v>229</v>
      </c>
      <c r="N9" s="184"/>
      <c r="O9" s="184" t="s">
        <v>229</v>
      </c>
      <c r="P9" s="184">
        <v>0</v>
      </c>
    </row>
    <row r="10" spans="1:20" ht="15" customHeight="1" x14ac:dyDescent="0.25">
      <c r="A10" s="145">
        <v>228</v>
      </c>
      <c r="B10" s="183">
        <v>43257</v>
      </c>
      <c r="C10" s="184" t="s">
        <v>734</v>
      </c>
      <c r="D10" s="184">
        <v>0</v>
      </c>
      <c r="E10" s="213">
        <v>0</v>
      </c>
      <c r="F10" s="184">
        <v>0</v>
      </c>
      <c r="G10" s="184" t="s">
        <v>1</v>
      </c>
      <c r="H10" s="182">
        <v>1</v>
      </c>
      <c r="I10" s="185">
        <v>30</v>
      </c>
      <c r="J10" s="185">
        <v>30</v>
      </c>
      <c r="K10" s="221"/>
      <c r="L10" s="186"/>
      <c r="M10" s="184" t="s">
        <v>40</v>
      </c>
      <c r="N10" s="184"/>
      <c r="O10" s="184"/>
      <c r="P10" s="184">
        <v>0</v>
      </c>
    </row>
    <row r="11" spans="1:20" ht="15" customHeight="1" x14ac:dyDescent="0.25">
      <c r="A11" s="145">
        <v>227</v>
      </c>
      <c r="B11" s="183">
        <v>43257</v>
      </c>
      <c r="C11" s="184" t="s">
        <v>732</v>
      </c>
      <c r="D11" s="184" t="s">
        <v>733</v>
      </c>
      <c r="E11" s="213">
        <v>0</v>
      </c>
      <c r="F11" s="184" t="s">
        <v>40</v>
      </c>
      <c r="G11" s="184" t="s">
        <v>1</v>
      </c>
      <c r="H11" s="182">
        <v>1</v>
      </c>
      <c r="I11" s="185">
        <v>30</v>
      </c>
      <c r="J11" s="185">
        <v>30</v>
      </c>
      <c r="K11" s="221"/>
      <c r="L11" s="186"/>
      <c r="M11" s="184" t="s">
        <v>40</v>
      </c>
      <c r="N11" s="184"/>
      <c r="O11" s="184"/>
      <c r="P11" s="184">
        <v>0</v>
      </c>
    </row>
    <row r="12" spans="1:20" ht="15" customHeight="1" x14ac:dyDescent="0.25">
      <c r="A12" s="145">
        <v>222</v>
      </c>
      <c r="B12" s="183">
        <v>43257</v>
      </c>
      <c r="C12" s="184" t="s">
        <v>473</v>
      </c>
      <c r="D12" s="184" t="s">
        <v>315</v>
      </c>
      <c r="E12" s="213">
        <v>0</v>
      </c>
      <c r="F12" s="184">
        <v>0</v>
      </c>
      <c r="G12" s="184" t="s">
        <v>1</v>
      </c>
      <c r="H12" s="182">
        <v>1</v>
      </c>
      <c r="I12" s="185">
        <v>30</v>
      </c>
      <c r="J12" s="185">
        <v>30</v>
      </c>
      <c r="K12" s="221"/>
      <c r="L12" s="186"/>
      <c r="M12" s="184" t="s">
        <v>40</v>
      </c>
      <c r="N12" s="184"/>
      <c r="O12" s="184" t="s">
        <v>40</v>
      </c>
      <c r="P12" s="184">
        <v>0</v>
      </c>
    </row>
    <row r="13" spans="1:20" ht="15" customHeight="1" x14ac:dyDescent="0.25">
      <c r="A13" s="145">
        <v>258</v>
      </c>
      <c r="B13" s="183">
        <v>43258</v>
      </c>
      <c r="C13" s="197" t="s">
        <v>23</v>
      </c>
      <c r="D13" s="197">
        <v>0</v>
      </c>
      <c r="E13" s="215">
        <v>0</v>
      </c>
      <c r="F13" s="197">
        <v>0</v>
      </c>
      <c r="G13" s="197" t="s">
        <v>219</v>
      </c>
      <c r="H13" s="198">
        <v>3</v>
      </c>
      <c r="I13" s="199">
        <v>30</v>
      </c>
      <c r="J13" s="199">
        <v>90</v>
      </c>
      <c r="K13" s="223"/>
      <c r="L13" s="200"/>
      <c r="M13" s="197" t="s">
        <v>24</v>
      </c>
      <c r="N13" s="197"/>
      <c r="O13" s="197" t="s">
        <v>24</v>
      </c>
      <c r="P13" s="197">
        <v>0</v>
      </c>
    </row>
    <row r="14" spans="1:20" ht="15" customHeight="1" x14ac:dyDescent="0.25">
      <c r="A14" s="145">
        <v>217</v>
      </c>
      <c r="B14" s="183">
        <v>43257</v>
      </c>
      <c r="C14" s="197" t="s">
        <v>204</v>
      </c>
      <c r="D14" s="197" t="s">
        <v>279</v>
      </c>
      <c r="E14" s="215">
        <v>0</v>
      </c>
      <c r="F14" s="197">
        <v>0</v>
      </c>
      <c r="G14" s="197" t="s">
        <v>3</v>
      </c>
      <c r="H14" s="198">
        <v>2</v>
      </c>
      <c r="I14" s="199">
        <v>30</v>
      </c>
      <c r="J14" s="199">
        <v>60</v>
      </c>
      <c r="K14" s="223"/>
      <c r="L14" s="200"/>
      <c r="M14" s="197" t="s">
        <v>40</v>
      </c>
      <c r="N14" s="197"/>
      <c r="O14" s="197"/>
      <c r="P14" s="197">
        <v>0</v>
      </c>
    </row>
    <row r="15" spans="1:20" ht="15" customHeight="1" x14ac:dyDescent="0.25">
      <c r="A15" s="145">
        <v>218</v>
      </c>
      <c r="B15" s="183">
        <v>43257</v>
      </c>
      <c r="C15" s="197" t="s">
        <v>13</v>
      </c>
      <c r="D15" s="197">
        <v>0</v>
      </c>
      <c r="E15" s="215">
        <v>0</v>
      </c>
      <c r="F15" s="197">
        <v>0</v>
      </c>
      <c r="G15" s="197" t="s">
        <v>219</v>
      </c>
      <c r="H15" s="198">
        <v>2</v>
      </c>
      <c r="I15" s="199">
        <v>30</v>
      </c>
      <c r="J15" s="199">
        <v>60</v>
      </c>
      <c r="K15" s="223"/>
      <c r="L15" s="200"/>
      <c r="M15" s="197" t="s">
        <v>40</v>
      </c>
      <c r="N15" s="197"/>
      <c r="O15" s="197"/>
      <c r="P15" s="197">
        <v>0</v>
      </c>
    </row>
    <row r="16" spans="1:20" ht="15" customHeight="1" x14ac:dyDescent="0.25">
      <c r="A16" s="145">
        <v>198</v>
      </c>
      <c r="B16" s="183">
        <v>43257</v>
      </c>
      <c r="C16" s="184" t="s">
        <v>705</v>
      </c>
      <c r="D16" s="184"/>
      <c r="E16" s="213"/>
      <c r="F16" s="184"/>
      <c r="G16" s="184" t="s">
        <v>3</v>
      </c>
      <c r="H16" s="182">
        <v>2</v>
      </c>
      <c r="I16" s="185">
        <v>30</v>
      </c>
      <c r="J16" s="185">
        <v>60</v>
      </c>
      <c r="K16" s="221"/>
      <c r="L16" s="186"/>
      <c r="M16" s="184" t="s">
        <v>231</v>
      </c>
      <c r="N16" s="184"/>
      <c r="O16" s="184" t="s">
        <v>40</v>
      </c>
      <c r="P16" s="184" t="e">
        <v>#N/A</v>
      </c>
    </row>
    <row r="17" spans="1:20" ht="15" customHeight="1" x14ac:dyDescent="0.25">
      <c r="A17" s="145">
        <v>198</v>
      </c>
      <c r="B17" s="183">
        <v>43257</v>
      </c>
      <c r="C17" s="184" t="s">
        <v>705</v>
      </c>
      <c r="D17" s="184"/>
      <c r="E17" s="213"/>
      <c r="F17" s="184"/>
      <c r="G17" s="184" t="s">
        <v>219</v>
      </c>
      <c r="H17" s="182">
        <v>1</v>
      </c>
      <c r="I17" s="185">
        <v>30</v>
      </c>
      <c r="J17" s="185">
        <v>30</v>
      </c>
      <c r="K17" s="221"/>
      <c r="L17" s="186"/>
      <c r="M17" s="184" t="s">
        <v>231</v>
      </c>
      <c r="N17" s="184"/>
      <c r="O17" s="184" t="s">
        <v>40</v>
      </c>
      <c r="P17" s="184" t="e">
        <v>#N/A</v>
      </c>
    </row>
    <row r="18" spans="1:20" ht="15" customHeight="1" x14ac:dyDescent="0.25">
      <c r="A18" s="145">
        <v>201</v>
      </c>
      <c r="B18" s="183">
        <v>43257</v>
      </c>
      <c r="C18" s="184" t="s">
        <v>706</v>
      </c>
      <c r="D18" s="184" t="s">
        <v>707</v>
      </c>
      <c r="E18" s="213">
        <v>0</v>
      </c>
      <c r="F18" s="184" t="s">
        <v>40</v>
      </c>
      <c r="G18" s="184" t="s">
        <v>3</v>
      </c>
      <c r="H18" s="182">
        <v>1</v>
      </c>
      <c r="I18" s="185">
        <v>30</v>
      </c>
      <c r="J18" s="185">
        <v>30</v>
      </c>
      <c r="K18" s="221"/>
      <c r="L18" s="186"/>
      <c r="M18" s="184" t="s">
        <v>231</v>
      </c>
      <c r="N18" s="184"/>
      <c r="O18" s="184" t="s">
        <v>40</v>
      </c>
      <c r="P18" s="184">
        <v>0</v>
      </c>
    </row>
    <row r="19" spans="1:20" ht="15" customHeight="1" x14ac:dyDescent="0.25">
      <c r="A19" s="145">
        <v>201</v>
      </c>
      <c r="B19" s="183">
        <v>43257</v>
      </c>
      <c r="C19" s="184" t="s">
        <v>706</v>
      </c>
      <c r="D19" s="184" t="s">
        <v>707</v>
      </c>
      <c r="E19" s="213">
        <v>0</v>
      </c>
      <c r="F19" s="184" t="s">
        <v>40</v>
      </c>
      <c r="G19" s="184" t="s">
        <v>219</v>
      </c>
      <c r="H19" s="182">
        <v>2</v>
      </c>
      <c r="I19" s="185">
        <v>30</v>
      </c>
      <c r="J19" s="185">
        <v>60</v>
      </c>
      <c r="K19" s="221"/>
      <c r="L19" s="186"/>
      <c r="M19" s="184" t="s">
        <v>231</v>
      </c>
      <c r="N19" s="184"/>
      <c r="O19" s="184" t="s">
        <v>40</v>
      </c>
      <c r="P19" s="184">
        <v>0</v>
      </c>
    </row>
    <row r="20" spans="1:20" ht="15" customHeight="1" x14ac:dyDescent="0.25">
      <c r="A20" s="145">
        <v>201</v>
      </c>
      <c r="B20" s="183">
        <v>43257</v>
      </c>
      <c r="C20" s="184" t="s">
        <v>706</v>
      </c>
      <c r="D20" s="184" t="s">
        <v>707</v>
      </c>
      <c r="E20" s="213">
        <v>0</v>
      </c>
      <c r="F20" s="184" t="s">
        <v>40</v>
      </c>
      <c r="G20" s="184" t="s">
        <v>1</v>
      </c>
      <c r="H20" s="182">
        <v>1</v>
      </c>
      <c r="I20" s="185">
        <v>30</v>
      </c>
      <c r="J20" s="185">
        <v>30</v>
      </c>
      <c r="K20" s="221"/>
      <c r="L20" s="186"/>
      <c r="M20" s="184" t="s">
        <v>231</v>
      </c>
      <c r="N20" s="184"/>
      <c r="O20" s="184" t="s">
        <v>40</v>
      </c>
      <c r="P20" s="184">
        <v>0</v>
      </c>
    </row>
    <row r="21" spans="1:20" ht="15" customHeight="1" x14ac:dyDescent="0.25">
      <c r="A21" s="145">
        <v>200</v>
      </c>
      <c r="B21" s="183">
        <v>43257</v>
      </c>
      <c r="C21" s="184" t="s">
        <v>382</v>
      </c>
      <c r="D21" s="184">
        <v>0</v>
      </c>
      <c r="E21" s="213">
        <v>0</v>
      </c>
      <c r="F21" s="184" t="s">
        <v>40</v>
      </c>
      <c r="G21" s="184" t="s">
        <v>219</v>
      </c>
      <c r="H21" s="182">
        <v>1</v>
      </c>
      <c r="I21" s="185">
        <v>30</v>
      </c>
      <c r="J21" s="185">
        <v>30</v>
      </c>
      <c r="K21" s="221"/>
      <c r="L21" s="186"/>
      <c r="M21" s="184" t="s">
        <v>231</v>
      </c>
      <c r="N21" s="184"/>
      <c r="O21" s="184" t="s">
        <v>40</v>
      </c>
      <c r="P21" s="184">
        <v>0</v>
      </c>
    </row>
    <row r="22" spans="1:20" ht="15" customHeight="1" x14ac:dyDescent="0.25">
      <c r="A22" s="145">
        <v>199</v>
      </c>
      <c r="B22" s="183">
        <v>43257</v>
      </c>
      <c r="C22" s="184" t="s">
        <v>370</v>
      </c>
      <c r="D22" s="184">
        <v>0</v>
      </c>
      <c r="E22" s="213">
        <v>0</v>
      </c>
      <c r="F22" s="184" t="s">
        <v>40</v>
      </c>
      <c r="G22" s="184" t="s">
        <v>219</v>
      </c>
      <c r="H22" s="182">
        <v>2</v>
      </c>
      <c r="I22" s="185">
        <v>30</v>
      </c>
      <c r="J22" s="185">
        <v>60</v>
      </c>
      <c r="K22" s="221"/>
      <c r="L22" s="186"/>
      <c r="M22" s="184" t="s">
        <v>231</v>
      </c>
      <c r="N22" s="184"/>
      <c r="O22" s="184" t="s">
        <v>40</v>
      </c>
      <c r="P22" s="184">
        <v>0</v>
      </c>
    </row>
    <row r="23" spans="1:20" ht="15" customHeight="1" x14ac:dyDescent="0.25">
      <c r="A23" s="145">
        <v>197</v>
      </c>
      <c r="B23" s="183">
        <v>43257</v>
      </c>
      <c r="C23" s="184" t="s">
        <v>704</v>
      </c>
      <c r="D23" s="184">
        <v>0</v>
      </c>
      <c r="E23" s="213">
        <v>0</v>
      </c>
      <c r="F23" s="184" t="s">
        <v>40</v>
      </c>
      <c r="G23" s="184" t="s">
        <v>3</v>
      </c>
      <c r="H23" s="182">
        <v>1</v>
      </c>
      <c r="I23" s="185">
        <v>30</v>
      </c>
      <c r="J23" s="185">
        <v>30</v>
      </c>
      <c r="K23" s="221"/>
      <c r="L23" s="186"/>
      <c r="M23" s="184" t="s">
        <v>231</v>
      </c>
      <c r="N23" s="184"/>
      <c r="O23" s="184" t="s">
        <v>40</v>
      </c>
      <c r="P23" s="184">
        <v>0</v>
      </c>
    </row>
    <row r="24" spans="1:20" ht="15" customHeight="1" x14ac:dyDescent="0.25">
      <c r="A24" s="145">
        <v>197</v>
      </c>
      <c r="B24" s="183">
        <v>43257</v>
      </c>
      <c r="C24" s="184" t="s">
        <v>704</v>
      </c>
      <c r="D24" s="184">
        <v>0</v>
      </c>
      <c r="E24" s="213">
        <v>0</v>
      </c>
      <c r="F24" s="184" t="s">
        <v>40</v>
      </c>
      <c r="G24" s="184" t="s">
        <v>219</v>
      </c>
      <c r="H24" s="182">
        <v>2</v>
      </c>
      <c r="I24" s="185">
        <v>30</v>
      </c>
      <c r="J24" s="185">
        <v>60</v>
      </c>
      <c r="K24" s="221"/>
      <c r="L24" s="186"/>
      <c r="M24" s="184" t="s">
        <v>231</v>
      </c>
      <c r="N24" s="184"/>
      <c r="O24" s="184" t="s">
        <v>40</v>
      </c>
      <c r="P24" s="184">
        <v>0</v>
      </c>
    </row>
    <row r="25" spans="1:20" ht="15" customHeight="1" x14ac:dyDescent="0.25">
      <c r="A25" s="145">
        <v>197</v>
      </c>
      <c r="B25" s="183">
        <v>43257</v>
      </c>
      <c r="C25" s="184" t="s">
        <v>704</v>
      </c>
      <c r="D25" s="184">
        <v>0</v>
      </c>
      <c r="E25" s="213">
        <v>0</v>
      </c>
      <c r="F25" s="184" t="s">
        <v>40</v>
      </c>
      <c r="G25" s="184" t="s">
        <v>1</v>
      </c>
      <c r="H25" s="182">
        <v>2</v>
      </c>
      <c r="I25" s="185">
        <v>30</v>
      </c>
      <c r="J25" s="185">
        <v>60</v>
      </c>
      <c r="K25" s="221"/>
      <c r="L25" s="186"/>
      <c r="M25" s="184" t="s">
        <v>231</v>
      </c>
      <c r="N25" s="184"/>
      <c r="O25" s="184" t="s">
        <v>40</v>
      </c>
      <c r="P25" s="184">
        <v>0</v>
      </c>
    </row>
    <row r="26" spans="1:20" ht="15" customHeight="1" x14ac:dyDescent="0.25">
      <c r="A26" s="145">
        <v>197</v>
      </c>
      <c r="B26" s="183">
        <v>43257</v>
      </c>
      <c r="C26" s="184" t="s">
        <v>704</v>
      </c>
      <c r="D26" s="184">
        <v>0</v>
      </c>
      <c r="E26" s="213">
        <v>0</v>
      </c>
      <c r="F26" s="184" t="s">
        <v>40</v>
      </c>
      <c r="G26" s="184" t="s">
        <v>0</v>
      </c>
      <c r="H26" s="182">
        <v>1</v>
      </c>
      <c r="I26" s="185">
        <v>30</v>
      </c>
      <c r="J26" s="185">
        <v>30</v>
      </c>
      <c r="K26" s="221"/>
      <c r="L26" s="186"/>
      <c r="M26" s="184" t="s">
        <v>231</v>
      </c>
      <c r="N26" s="184"/>
      <c r="O26" s="184" t="s">
        <v>40</v>
      </c>
      <c r="P26" s="184">
        <v>0</v>
      </c>
    </row>
    <row r="27" spans="1:20" ht="15" customHeight="1" thickBot="1" x14ac:dyDescent="0.3">
      <c r="A27" s="145">
        <v>196</v>
      </c>
      <c r="B27" s="183">
        <v>43257</v>
      </c>
      <c r="C27" s="193" t="s">
        <v>90</v>
      </c>
      <c r="D27" s="193">
        <v>0</v>
      </c>
      <c r="E27" s="214">
        <v>0</v>
      </c>
      <c r="F27" s="193" t="s">
        <v>40</v>
      </c>
      <c r="G27" s="193" t="s">
        <v>219</v>
      </c>
      <c r="H27" s="194">
        <v>2</v>
      </c>
      <c r="I27" s="195">
        <v>30</v>
      </c>
      <c r="J27" s="195">
        <v>60</v>
      </c>
      <c r="K27" s="222"/>
      <c r="L27" s="196"/>
      <c r="M27" s="193" t="s">
        <v>231</v>
      </c>
      <c r="N27" s="193"/>
      <c r="O27" s="193" t="s">
        <v>40</v>
      </c>
      <c r="P27" s="193">
        <v>0</v>
      </c>
    </row>
    <row r="28" spans="1:20" s="205" customFormat="1" ht="21" customHeight="1" thickBot="1" x14ac:dyDescent="0.3">
      <c r="A28" s="201"/>
      <c r="B28" s="202" t="s">
        <v>807</v>
      </c>
      <c r="C28" s="211" t="s">
        <v>807</v>
      </c>
      <c r="D28" s="277" t="s">
        <v>60</v>
      </c>
      <c r="E28" s="277"/>
      <c r="F28" s="277"/>
      <c r="G28" s="203" t="s">
        <v>808</v>
      </c>
      <c r="H28" s="225">
        <f>SUM(H30:H35)</f>
        <v>6</v>
      </c>
      <c r="I28" s="203"/>
      <c r="J28" s="203"/>
      <c r="K28" s="218"/>
      <c r="L28" s="203"/>
      <c r="M28" s="203"/>
      <c r="N28" s="203"/>
      <c r="O28" s="203"/>
      <c r="P28" s="204"/>
      <c r="Q28" s="145"/>
      <c r="R28" s="145"/>
      <c r="S28" s="145"/>
      <c r="T28" s="145"/>
    </row>
    <row r="29" spans="1:20" s="187" customFormat="1" ht="27.75" customHeight="1" thickBot="1" x14ac:dyDescent="0.3">
      <c r="B29" s="188"/>
      <c r="C29" s="206" t="s">
        <v>237</v>
      </c>
      <c r="D29" s="207" t="s">
        <v>809</v>
      </c>
      <c r="E29" s="207" t="s">
        <v>220</v>
      </c>
      <c r="F29" s="207" t="s">
        <v>262</v>
      </c>
      <c r="G29" s="208" t="s">
        <v>483</v>
      </c>
      <c r="H29" s="208" t="s">
        <v>811</v>
      </c>
      <c r="I29" s="207" t="s">
        <v>483</v>
      </c>
      <c r="J29" s="208" t="s">
        <v>810</v>
      </c>
      <c r="K29" s="219" t="s">
        <v>813</v>
      </c>
      <c r="L29" s="209" t="s">
        <v>407</v>
      </c>
      <c r="M29" s="208" t="s">
        <v>245</v>
      </c>
      <c r="N29" s="210" t="s">
        <v>812</v>
      </c>
      <c r="O29" s="210" t="s">
        <v>814</v>
      </c>
      <c r="P29" s="217" t="s">
        <v>233</v>
      </c>
    </row>
    <row r="30" spans="1:20" ht="15" customHeight="1" x14ac:dyDescent="0.25">
      <c r="A30" s="145">
        <v>255</v>
      </c>
      <c r="B30" s="183">
        <v>43258</v>
      </c>
      <c r="C30" s="184" t="s">
        <v>758</v>
      </c>
      <c r="D30" s="184">
        <v>0</v>
      </c>
      <c r="E30" s="213" t="s">
        <v>763</v>
      </c>
      <c r="F30" s="184">
        <v>0</v>
      </c>
      <c r="G30" s="184" t="s">
        <v>3</v>
      </c>
      <c r="H30" s="182">
        <v>1</v>
      </c>
      <c r="I30" s="185">
        <v>30</v>
      </c>
      <c r="J30" s="185">
        <v>30</v>
      </c>
      <c r="K30" s="221"/>
      <c r="L30" s="186"/>
      <c r="M30" s="184" t="s">
        <v>60</v>
      </c>
      <c r="N30" s="184"/>
      <c r="O30" s="184" t="s">
        <v>60</v>
      </c>
      <c r="P30" s="184">
        <v>0</v>
      </c>
    </row>
    <row r="31" spans="1:20" ht="15" customHeight="1" x14ac:dyDescent="0.25">
      <c r="A31" s="145">
        <v>254</v>
      </c>
      <c r="B31" s="183">
        <v>43258</v>
      </c>
      <c r="C31" s="184" t="s">
        <v>757</v>
      </c>
      <c r="D31" s="184">
        <v>0</v>
      </c>
      <c r="E31" s="213" t="s">
        <v>763</v>
      </c>
      <c r="F31" s="184">
        <v>0</v>
      </c>
      <c r="G31" s="184" t="s">
        <v>1</v>
      </c>
      <c r="H31" s="182">
        <v>1</v>
      </c>
      <c r="I31" s="185">
        <v>30</v>
      </c>
      <c r="J31" s="185">
        <v>30</v>
      </c>
      <c r="K31" s="221">
        <v>30</v>
      </c>
      <c r="L31" s="186"/>
      <c r="M31" s="184" t="s">
        <v>60</v>
      </c>
      <c r="N31" s="184"/>
      <c r="O31" s="184" t="s">
        <v>60</v>
      </c>
      <c r="P31" s="184">
        <v>0</v>
      </c>
    </row>
    <row r="32" spans="1:20" ht="15" customHeight="1" x14ac:dyDescent="0.25">
      <c r="A32" s="145">
        <v>253</v>
      </c>
      <c r="B32" s="183">
        <v>43258</v>
      </c>
      <c r="C32" s="184" t="s">
        <v>756</v>
      </c>
      <c r="D32" s="184">
        <v>0</v>
      </c>
      <c r="E32" s="213" t="s">
        <v>763</v>
      </c>
      <c r="F32" s="184">
        <v>0</v>
      </c>
      <c r="G32" s="184" t="s">
        <v>219</v>
      </c>
      <c r="H32" s="182">
        <v>1</v>
      </c>
      <c r="I32" s="185">
        <v>30</v>
      </c>
      <c r="J32" s="185">
        <v>30</v>
      </c>
      <c r="K32" s="221"/>
      <c r="L32" s="186"/>
      <c r="M32" s="184" t="s">
        <v>60</v>
      </c>
      <c r="N32" s="184"/>
      <c r="O32" s="184" t="s">
        <v>60</v>
      </c>
      <c r="P32" s="184">
        <v>0</v>
      </c>
    </row>
    <row r="33" spans="1:20" ht="15" customHeight="1" x14ac:dyDescent="0.25">
      <c r="A33" s="145">
        <v>252</v>
      </c>
      <c r="B33" s="183">
        <v>43258</v>
      </c>
      <c r="C33" s="184" t="s">
        <v>755</v>
      </c>
      <c r="D33" s="184">
        <v>0</v>
      </c>
      <c r="E33" s="213" t="s">
        <v>763</v>
      </c>
      <c r="F33" s="184">
        <v>0</v>
      </c>
      <c r="G33" s="184" t="s">
        <v>219</v>
      </c>
      <c r="H33" s="182">
        <v>1</v>
      </c>
      <c r="I33" s="185">
        <v>30</v>
      </c>
      <c r="J33" s="185">
        <v>30</v>
      </c>
      <c r="K33" s="221"/>
      <c r="L33" s="186"/>
      <c r="M33" s="184" t="s">
        <v>60</v>
      </c>
      <c r="N33" s="184"/>
      <c r="O33" s="184" t="s">
        <v>60</v>
      </c>
      <c r="P33" s="184">
        <v>0</v>
      </c>
    </row>
    <row r="34" spans="1:20" ht="15" customHeight="1" x14ac:dyDescent="0.25">
      <c r="A34" s="145">
        <v>251</v>
      </c>
      <c r="B34" s="183">
        <v>43258</v>
      </c>
      <c r="C34" s="184" t="s">
        <v>762</v>
      </c>
      <c r="D34" s="184">
        <v>0</v>
      </c>
      <c r="E34" s="213" t="s">
        <v>763</v>
      </c>
      <c r="F34" s="184">
        <v>0</v>
      </c>
      <c r="G34" s="184" t="s">
        <v>3</v>
      </c>
      <c r="H34" s="182">
        <v>1</v>
      </c>
      <c r="I34" s="185">
        <v>30</v>
      </c>
      <c r="J34" s="185">
        <v>30</v>
      </c>
      <c r="K34" s="221"/>
      <c r="L34" s="186"/>
      <c r="M34" s="184" t="s">
        <v>60</v>
      </c>
      <c r="N34" s="184"/>
      <c r="O34" s="184"/>
      <c r="P34" s="184">
        <v>0</v>
      </c>
    </row>
    <row r="35" spans="1:20" ht="15" customHeight="1" thickBot="1" x14ac:dyDescent="0.3">
      <c r="A35" s="145">
        <v>251</v>
      </c>
      <c r="B35" s="183">
        <v>43258</v>
      </c>
      <c r="C35" s="184" t="s">
        <v>762</v>
      </c>
      <c r="D35" s="184">
        <v>0</v>
      </c>
      <c r="E35" s="213" t="s">
        <v>763</v>
      </c>
      <c r="F35" s="184">
        <v>0</v>
      </c>
      <c r="G35" s="184" t="s">
        <v>219</v>
      </c>
      <c r="H35" s="182">
        <v>1</v>
      </c>
      <c r="I35" s="185">
        <v>30</v>
      </c>
      <c r="J35" s="185">
        <v>30</v>
      </c>
      <c r="K35" s="221"/>
      <c r="L35" s="186"/>
      <c r="M35" s="184" t="s">
        <v>60</v>
      </c>
      <c r="N35" s="184"/>
      <c r="O35" s="184"/>
      <c r="P35" s="184">
        <v>0</v>
      </c>
    </row>
    <row r="36" spans="1:20" s="205" customFormat="1" ht="21" customHeight="1" thickBot="1" x14ac:dyDescent="0.3">
      <c r="A36" s="201"/>
      <c r="B36" s="202" t="s">
        <v>807</v>
      </c>
      <c r="C36" s="211" t="s">
        <v>807</v>
      </c>
      <c r="D36" s="277" t="str">
        <f>F40</f>
        <v>ZÉ LUIZ</v>
      </c>
      <c r="E36" s="277"/>
      <c r="F36" s="277"/>
      <c r="G36" s="203" t="s">
        <v>808</v>
      </c>
      <c r="H36" s="225">
        <f>SUM(H38:H43)</f>
        <v>7</v>
      </c>
      <c r="I36" s="203"/>
      <c r="J36" s="203"/>
      <c r="K36" s="218"/>
      <c r="L36" s="203"/>
      <c r="M36" s="203"/>
      <c r="N36" s="203"/>
      <c r="O36" s="203"/>
      <c r="P36" s="204"/>
      <c r="Q36" s="145"/>
      <c r="R36" s="145"/>
      <c r="S36" s="145"/>
      <c r="T36" s="145"/>
    </row>
    <row r="37" spans="1:20" s="187" customFormat="1" ht="27.75" customHeight="1" thickBot="1" x14ac:dyDescent="0.3">
      <c r="B37" s="188"/>
      <c r="C37" s="206" t="s">
        <v>237</v>
      </c>
      <c r="D37" s="207" t="s">
        <v>809</v>
      </c>
      <c r="E37" s="207" t="s">
        <v>220</v>
      </c>
      <c r="F37" s="207" t="s">
        <v>262</v>
      </c>
      <c r="G37" s="208" t="s">
        <v>483</v>
      </c>
      <c r="H37" s="208" t="s">
        <v>811</v>
      </c>
      <c r="I37" s="207" t="s">
        <v>483</v>
      </c>
      <c r="J37" s="208" t="s">
        <v>810</v>
      </c>
      <c r="K37" s="219" t="s">
        <v>813</v>
      </c>
      <c r="L37" s="209" t="s">
        <v>407</v>
      </c>
      <c r="M37" s="208" t="s">
        <v>245</v>
      </c>
      <c r="N37" s="210" t="s">
        <v>812</v>
      </c>
      <c r="O37" s="210" t="s">
        <v>814</v>
      </c>
      <c r="P37" s="217" t="s">
        <v>233</v>
      </c>
    </row>
    <row r="38" spans="1:20" ht="15" customHeight="1" x14ac:dyDescent="0.25">
      <c r="A38" s="145">
        <v>237</v>
      </c>
      <c r="B38" s="183">
        <v>43257</v>
      </c>
      <c r="C38" s="184" t="s">
        <v>380</v>
      </c>
      <c r="D38" s="184">
        <v>0</v>
      </c>
      <c r="E38" s="213">
        <v>0</v>
      </c>
      <c r="F38" s="184" t="s">
        <v>38</v>
      </c>
      <c r="G38" s="184" t="s">
        <v>219</v>
      </c>
      <c r="H38" s="182">
        <v>1</v>
      </c>
      <c r="I38" s="185">
        <v>30</v>
      </c>
      <c r="J38" s="185">
        <v>30</v>
      </c>
      <c r="K38" s="221"/>
      <c r="L38" s="186"/>
      <c r="M38" s="184" t="s">
        <v>44</v>
      </c>
      <c r="N38" s="184"/>
      <c r="O38" s="184" t="s">
        <v>44</v>
      </c>
      <c r="P38" s="184">
        <v>0</v>
      </c>
    </row>
    <row r="39" spans="1:20" ht="15" customHeight="1" x14ac:dyDescent="0.25">
      <c r="A39" s="145">
        <v>237</v>
      </c>
      <c r="B39" s="183">
        <v>43257</v>
      </c>
      <c r="C39" s="184" t="s">
        <v>380</v>
      </c>
      <c r="D39" s="184">
        <v>0</v>
      </c>
      <c r="E39" s="213">
        <v>0</v>
      </c>
      <c r="F39" s="184" t="s">
        <v>38</v>
      </c>
      <c r="G39" s="184" t="s">
        <v>1</v>
      </c>
      <c r="H39" s="182">
        <v>1</v>
      </c>
      <c r="I39" s="185">
        <v>30</v>
      </c>
      <c r="J39" s="185">
        <v>30</v>
      </c>
      <c r="K39" s="221"/>
      <c r="L39" s="186"/>
      <c r="M39" s="184" t="s">
        <v>44</v>
      </c>
      <c r="N39" s="184"/>
      <c r="O39" s="184" t="s">
        <v>44</v>
      </c>
      <c r="P39" s="184">
        <v>0</v>
      </c>
    </row>
    <row r="40" spans="1:20" ht="15" customHeight="1" x14ac:dyDescent="0.25">
      <c r="A40" s="145">
        <v>235</v>
      </c>
      <c r="B40" s="183">
        <v>43257</v>
      </c>
      <c r="C40" s="184" t="s">
        <v>744</v>
      </c>
      <c r="D40" s="184" t="s">
        <v>745</v>
      </c>
      <c r="E40" s="213">
        <v>0</v>
      </c>
      <c r="F40" s="184" t="s">
        <v>38</v>
      </c>
      <c r="G40" s="184" t="s">
        <v>1</v>
      </c>
      <c r="H40" s="182">
        <v>1</v>
      </c>
      <c r="I40" s="185">
        <v>30</v>
      </c>
      <c r="J40" s="185">
        <v>30</v>
      </c>
      <c r="K40" s="221"/>
      <c r="L40" s="186"/>
      <c r="M40" s="184" t="s">
        <v>44</v>
      </c>
      <c r="N40" s="184"/>
      <c r="O40" s="184" t="s">
        <v>44</v>
      </c>
      <c r="P40" s="184">
        <v>0</v>
      </c>
    </row>
    <row r="41" spans="1:20" ht="15" customHeight="1" x14ac:dyDescent="0.25">
      <c r="A41" s="145">
        <v>233</v>
      </c>
      <c r="B41" s="183">
        <v>43257</v>
      </c>
      <c r="C41" s="184" t="s">
        <v>741</v>
      </c>
      <c r="D41" s="184" t="s">
        <v>742</v>
      </c>
      <c r="E41" s="213">
        <v>0</v>
      </c>
      <c r="F41" s="184" t="s">
        <v>40</v>
      </c>
      <c r="G41" s="184" t="s">
        <v>235</v>
      </c>
      <c r="H41" s="182">
        <v>1</v>
      </c>
      <c r="I41" s="185">
        <v>30</v>
      </c>
      <c r="J41" s="185">
        <v>30</v>
      </c>
      <c r="K41" s="221"/>
      <c r="L41" s="186"/>
      <c r="M41" s="184" t="s">
        <v>44</v>
      </c>
      <c r="N41" s="184"/>
      <c r="O41" s="184"/>
      <c r="P41" s="184">
        <v>0</v>
      </c>
    </row>
    <row r="42" spans="1:20" ht="15" customHeight="1" x14ac:dyDescent="0.25">
      <c r="A42" s="145">
        <v>203</v>
      </c>
      <c r="B42" s="183">
        <v>43257</v>
      </c>
      <c r="C42" s="184" t="s">
        <v>381</v>
      </c>
      <c r="D42" s="184">
        <v>0</v>
      </c>
      <c r="E42" s="213">
        <v>0</v>
      </c>
      <c r="F42" s="184" t="str">
        <f>M42</f>
        <v>XANDE/ELIS</v>
      </c>
      <c r="G42" s="184" t="s">
        <v>1</v>
      </c>
      <c r="H42" s="182">
        <v>2</v>
      </c>
      <c r="I42" s="185">
        <v>30</v>
      </c>
      <c r="J42" s="185">
        <v>60</v>
      </c>
      <c r="K42" s="221"/>
      <c r="L42" s="186"/>
      <c r="M42" s="184" t="s">
        <v>231</v>
      </c>
      <c r="N42" s="184"/>
      <c r="O42" s="184" t="s">
        <v>231</v>
      </c>
      <c r="P42" s="184">
        <v>0</v>
      </c>
    </row>
    <row r="43" spans="1:20" ht="15" customHeight="1" x14ac:dyDescent="0.25">
      <c r="A43" s="145">
        <v>202</v>
      </c>
      <c r="B43" s="183">
        <v>43257</v>
      </c>
      <c r="C43" s="184" t="s">
        <v>345</v>
      </c>
      <c r="D43" s="184" t="s">
        <v>285</v>
      </c>
      <c r="E43" s="213">
        <v>0</v>
      </c>
      <c r="F43" s="184" t="str">
        <f>M43</f>
        <v>XANDE/ELIS</v>
      </c>
      <c r="G43" s="184" t="s">
        <v>219</v>
      </c>
      <c r="H43" s="182">
        <v>1</v>
      </c>
      <c r="I43" s="185">
        <v>30</v>
      </c>
      <c r="J43" s="185">
        <v>30</v>
      </c>
      <c r="K43" s="221"/>
      <c r="L43" s="186"/>
      <c r="M43" s="184" t="s">
        <v>231</v>
      </c>
      <c r="N43" s="184"/>
      <c r="O43" s="184" t="s">
        <v>231</v>
      </c>
      <c r="P43" s="184">
        <v>0</v>
      </c>
    </row>
    <row r="44" spans="1:20" ht="15" customHeight="1" thickBot="1" x14ac:dyDescent="0.3">
      <c r="A44" s="145">
        <v>202</v>
      </c>
      <c r="B44" s="183">
        <v>43257</v>
      </c>
      <c r="C44" s="184" t="s">
        <v>345</v>
      </c>
      <c r="D44" s="184" t="s">
        <v>285</v>
      </c>
      <c r="E44" s="213">
        <v>0</v>
      </c>
      <c r="F44" s="184" t="str">
        <f>M44</f>
        <v>XANDE/ELIS</v>
      </c>
      <c r="G44" s="184" t="s">
        <v>0</v>
      </c>
      <c r="H44" s="182">
        <v>1</v>
      </c>
      <c r="I44" s="185">
        <v>30</v>
      </c>
      <c r="J44" s="185">
        <v>30</v>
      </c>
      <c r="K44" s="221"/>
      <c r="L44" s="186"/>
      <c r="M44" s="184" t="s">
        <v>231</v>
      </c>
      <c r="N44" s="184"/>
      <c r="O44" s="184" t="s">
        <v>231</v>
      </c>
      <c r="P44" s="184">
        <v>0</v>
      </c>
    </row>
    <row r="45" spans="1:20" s="205" customFormat="1" ht="21" customHeight="1" thickBot="1" x14ac:dyDescent="0.3">
      <c r="A45" s="201"/>
      <c r="B45" s="202" t="s">
        <v>807</v>
      </c>
      <c r="C45" s="211" t="s">
        <v>807</v>
      </c>
      <c r="D45" s="277"/>
      <c r="E45" s="277"/>
      <c r="F45" s="277"/>
      <c r="G45" s="203" t="s">
        <v>808</v>
      </c>
      <c r="H45" s="225">
        <f>SUM(H47:H52)</f>
        <v>6</v>
      </c>
      <c r="I45" s="203"/>
      <c r="J45" s="203"/>
      <c r="K45" s="218"/>
      <c r="L45" s="203"/>
      <c r="M45" s="203"/>
      <c r="N45" s="203"/>
      <c r="O45" s="203"/>
      <c r="P45" s="204"/>
      <c r="Q45" s="145"/>
      <c r="R45" s="145"/>
      <c r="S45" s="145"/>
      <c r="T45" s="145"/>
    </row>
    <row r="46" spans="1:20" s="187" customFormat="1" ht="27.75" customHeight="1" thickBot="1" x14ac:dyDescent="0.3">
      <c r="B46" s="188"/>
      <c r="C46" s="206" t="s">
        <v>237</v>
      </c>
      <c r="D46" s="207" t="s">
        <v>809</v>
      </c>
      <c r="E46" s="207" t="s">
        <v>220</v>
      </c>
      <c r="F46" s="207" t="s">
        <v>262</v>
      </c>
      <c r="G46" s="208" t="s">
        <v>483</v>
      </c>
      <c r="H46" s="208" t="s">
        <v>811</v>
      </c>
      <c r="I46" s="207" t="s">
        <v>483</v>
      </c>
      <c r="J46" s="208" t="s">
        <v>810</v>
      </c>
      <c r="K46" s="219" t="s">
        <v>813</v>
      </c>
      <c r="L46" s="209" t="s">
        <v>407</v>
      </c>
      <c r="M46" s="208" t="s">
        <v>245</v>
      </c>
      <c r="N46" s="210" t="s">
        <v>812</v>
      </c>
      <c r="O46" s="210" t="s">
        <v>814</v>
      </c>
      <c r="P46" s="217" t="s">
        <v>233</v>
      </c>
    </row>
    <row r="47" spans="1:20" ht="15" customHeight="1" x14ac:dyDescent="0.25">
      <c r="A47" s="145">
        <v>239</v>
      </c>
      <c r="B47" s="183">
        <v>43257</v>
      </c>
      <c r="C47" s="197" t="s">
        <v>374</v>
      </c>
      <c r="D47" s="197" t="s">
        <v>313</v>
      </c>
      <c r="E47" s="215" t="s">
        <v>107</v>
      </c>
      <c r="F47" s="197" t="s">
        <v>402</v>
      </c>
      <c r="G47" s="197" t="s">
        <v>1</v>
      </c>
      <c r="H47" s="198">
        <v>1</v>
      </c>
      <c r="I47" s="199">
        <v>30</v>
      </c>
      <c r="J47" s="199">
        <v>30</v>
      </c>
      <c r="K47" s="223"/>
      <c r="L47" s="200"/>
      <c r="M47" s="197" t="s">
        <v>44</v>
      </c>
      <c r="N47" s="197"/>
      <c r="O47" s="197"/>
      <c r="P47" s="197" t="s">
        <v>658</v>
      </c>
    </row>
    <row r="48" spans="1:20" ht="15" customHeight="1" x14ac:dyDescent="0.25">
      <c r="A48" s="145">
        <v>239</v>
      </c>
      <c r="B48" s="183">
        <v>43257</v>
      </c>
      <c r="C48" s="197" t="s">
        <v>374</v>
      </c>
      <c r="D48" s="197" t="s">
        <v>313</v>
      </c>
      <c r="E48" s="215" t="s">
        <v>107</v>
      </c>
      <c r="F48" s="197" t="s">
        <v>402</v>
      </c>
      <c r="G48" s="197" t="s">
        <v>0</v>
      </c>
      <c r="H48" s="198">
        <v>1</v>
      </c>
      <c r="I48" s="199">
        <v>30</v>
      </c>
      <c r="J48" s="199">
        <v>30</v>
      </c>
      <c r="K48" s="223"/>
      <c r="L48" s="200"/>
      <c r="M48" s="197" t="s">
        <v>44</v>
      </c>
      <c r="N48" s="197"/>
      <c r="O48" s="197"/>
      <c r="P48" s="197" t="s">
        <v>658</v>
      </c>
    </row>
    <row r="49" spans="1:20" ht="15" customHeight="1" x14ac:dyDescent="0.25">
      <c r="A49" s="145">
        <v>211</v>
      </c>
      <c r="B49" s="183">
        <v>43257</v>
      </c>
      <c r="C49" s="197" t="s">
        <v>350</v>
      </c>
      <c r="D49" s="197" t="s">
        <v>290</v>
      </c>
      <c r="E49" s="215" t="s">
        <v>63</v>
      </c>
      <c r="F49" s="197" t="s">
        <v>394</v>
      </c>
      <c r="G49" s="197" t="s">
        <v>0</v>
      </c>
      <c r="H49" s="198">
        <v>1</v>
      </c>
      <c r="I49" s="199">
        <v>30</v>
      </c>
      <c r="J49" s="199">
        <v>30</v>
      </c>
      <c r="K49" s="223"/>
      <c r="L49" s="200"/>
      <c r="M49" s="197" t="s">
        <v>185</v>
      </c>
      <c r="N49" s="197"/>
      <c r="O49" s="197"/>
      <c r="P49" s="197" t="s">
        <v>424</v>
      </c>
    </row>
    <row r="50" spans="1:20" ht="15" customHeight="1" x14ac:dyDescent="0.25">
      <c r="A50" s="145">
        <v>193</v>
      </c>
      <c r="B50" s="183">
        <v>43257</v>
      </c>
      <c r="C50" s="197" t="s">
        <v>346</v>
      </c>
      <c r="D50" s="197" t="s">
        <v>286</v>
      </c>
      <c r="E50" s="215" t="s">
        <v>595</v>
      </c>
      <c r="F50" s="197" t="s">
        <v>512</v>
      </c>
      <c r="G50" s="197" t="s">
        <v>219</v>
      </c>
      <c r="H50" s="198">
        <v>1</v>
      </c>
      <c r="I50" s="199">
        <v>30</v>
      </c>
      <c r="J50" s="199">
        <v>30</v>
      </c>
      <c r="K50" s="223"/>
      <c r="L50" s="200"/>
      <c r="M50" s="197" t="s">
        <v>231</v>
      </c>
      <c r="N50" s="197"/>
      <c r="O50" s="197"/>
      <c r="P50" s="197" t="s">
        <v>655</v>
      </c>
    </row>
    <row r="51" spans="1:20" ht="15" customHeight="1" x14ac:dyDescent="0.25">
      <c r="A51" s="145">
        <v>221</v>
      </c>
      <c r="B51" s="183">
        <v>43257</v>
      </c>
      <c r="C51" s="197" t="s">
        <v>649</v>
      </c>
      <c r="D51" s="197" t="s">
        <v>310</v>
      </c>
      <c r="E51" s="215" t="s">
        <v>650</v>
      </c>
      <c r="F51" s="197" t="s">
        <v>651</v>
      </c>
      <c r="G51" s="197" t="s">
        <v>219</v>
      </c>
      <c r="H51" s="198">
        <v>1</v>
      </c>
      <c r="I51" s="199">
        <v>30</v>
      </c>
      <c r="J51" s="199">
        <v>30</v>
      </c>
      <c r="K51" s="223"/>
      <c r="L51" s="200"/>
      <c r="M51" s="197" t="s">
        <v>40</v>
      </c>
      <c r="N51" s="197"/>
      <c r="O51" s="197"/>
      <c r="P51" s="197" t="s">
        <v>653</v>
      </c>
    </row>
    <row r="52" spans="1:20" ht="15" customHeight="1" x14ac:dyDescent="0.25">
      <c r="A52" s="145">
        <v>229</v>
      </c>
      <c r="B52" s="183">
        <v>43257</v>
      </c>
      <c r="C52" s="197" t="s">
        <v>611</v>
      </c>
      <c r="D52" s="197" t="s">
        <v>276</v>
      </c>
      <c r="E52" s="215" t="s">
        <v>66</v>
      </c>
      <c r="F52" s="197" t="s">
        <v>390</v>
      </c>
      <c r="G52" s="197" t="s">
        <v>3</v>
      </c>
      <c r="H52" s="198">
        <v>1</v>
      </c>
      <c r="I52" s="199">
        <v>30</v>
      </c>
      <c r="J52" s="199">
        <v>30</v>
      </c>
      <c r="K52" s="223"/>
      <c r="L52" s="200"/>
      <c r="M52" s="197" t="s">
        <v>49</v>
      </c>
      <c r="N52" s="197" t="s">
        <v>740</v>
      </c>
      <c r="O52" s="197"/>
      <c r="P52" s="197" t="s">
        <v>253</v>
      </c>
    </row>
    <row r="53" spans="1:20" ht="15" customHeight="1" x14ac:dyDescent="0.25">
      <c r="A53" s="145">
        <v>204</v>
      </c>
      <c r="B53" s="183">
        <v>43257</v>
      </c>
      <c r="C53" s="197" t="s">
        <v>211</v>
      </c>
      <c r="D53" s="197" t="s">
        <v>293</v>
      </c>
      <c r="E53" s="215" t="s">
        <v>82</v>
      </c>
      <c r="F53" s="197" t="s">
        <v>390</v>
      </c>
      <c r="G53" s="197" t="s">
        <v>219</v>
      </c>
      <c r="H53" s="198">
        <v>1</v>
      </c>
      <c r="I53" s="199">
        <v>30</v>
      </c>
      <c r="J53" s="199">
        <v>30</v>
      </c>
      <c r="K53" s="223">
        <v>30</v>
      </c>
      <c r="L53" s="200"/>
      <c r="M53" s="197" t="s">
        <v>48</v>
      </c>
      <c r="N53" s="197"/>
      <c r="O53" s="197"/>
      <c r="P53" s="197" t="s">
        <v>252</v>
      </c>
    </row>
    <row r="54" spans="1:20" ht="15" customHeight="1" thickBot="1" x14ac:dyDescent="0.3">
      <c r="A54" s="145">
        <v>240</v>
      </c>
      <c r="B54" s="183">
        <v>43257</v>
      </c>
      <c r="C54" s="197" t="s">
        <v>736</v>
      </c>
      <c r="D54" s="197" t="s">
        <v>737</v>
      </c>
      <c r="E54" s="215" t="s">
        <v>738</v>
      </c>
      <c r="F54" s="197" t="s">
        <v>651</v>
      </c>
      <c r="G54" s="197" t="s">
        <v>219</v>
      </c>
      <c r="H54" s="198">
        <v>1</v>
      </c>
      <c r="I54" s="199">
        <v>30</v>
      </c>
      <c r="J54" s="199">
        <v>30</v>
      </c>
      <c r="K54" s="223"/>
      <c r="L54" s="200"/>
      <c r="M54" s="197" t="s">
        <v>44</v>
      </c>
      <c r="N54" s="197"/>
      <c r="O54" s="197"/>
      <c r="P54" s="197" t="s">
        <v>739</v>
      </c>
    </row>
    <row r="55" spans="1:20" s="205" customFormat="1" ht="21" customHeight="1" thickBot="1" x14ac:dyDescent="0.3">
      <c r="A55" s="201"/>
      <c r="B55" s="202" t="s">
        <v>807</v>
      </c>
      <c r="C55" s="211" t="s">
        <v>807</v>
      </c>
      <c r="D55" s="277"/>
      <c r="E55" s="277"/>
      <c r="F55" s="277"/>
      <c r="G55" s="203" t="s">
        <v>808</v>
      </c>
      <c r="H55" s="225">
        <f>SUM(H57:H62)</f>
        <v>7</v>
      </c>
      <c r="I55" s="203"/>
      <c r="J55" s="203"/>
      <c r="K55" s="218"/>
      <c r="L55" s="203"/>
      <c r="M55" s="203"/>
      <c r="N55" s="203"/>
      <c r="O55" s="203"/>
      <c r="P55" s="204"/>
      <c r="Q55" s="145"/>
      <c r="R55" s="145"/>
      <c r="S55" s="145"/>
      <c r="T55" s="145"/>
    </row>
    <row r="56" spans="1:20" s="187" customFormat="1" ht="27.75" customHeight="1" thickBot="1" x14ac:dyDescent="0.3">
      <c r="B56" s="188"/>
      <c r="C56" s="206" t="s">
        <v>237</v>
      </c>
      <c r="D56" s="207" t="s">
        <v>809</v>
      </c>
      <c r="E56" s="207" t="s">
        <v>220</v>
      </c>
      <c r="F56" s="207" t="s">
        <v>262</v>
      </c>
      <c r="G56" s="208" t="s">
        <v>483</v>
      </c>
      <c r="H56" s="208" t="s">
        <v>811</v>
      </c>
      <c r="I56" s="207" t="s">
        <v>483</v>
      </c>
      <c r="J56" s="208" t="s">
        <v>810</v>
      </c>
      <c r="K56" s="219" t="s">
        <v>813</v>
      </c>
      <c r="L56" s="209" t="s">
        <v>407</v>
      </c>
      <c r="M56" s="208" t="s">
        <v>245</v>
      </c>
      <c r="N56" s="210" t="s">
        <v>812</v>
      </c>
      <c r="O56" s="210" t="s">
        <v>814</v>
      </c>
      <c r="P56" s="217" t="s">
        <v>233</v>
      </c>
    </row>
    <row r="57" spans="1:20" ht="15" customHeight="1" x14ac:dyDescent="0.25">
      <c r="A57" s="145">
        <v>210</v>
      </c>
      <c r="B57" s="183">
        <v>43257</v>
      </c>
      <c r="C57" s="184" t="s">
        <v>718</v>
      </c>
      <c r="D57" s="184" t="s">
        <v>717</v>
      </c>
      <c r="E57" s="213" t="s">
        <v>719</v>
      </c>
      <c r="F57" s="184" t="s">
        <v>112</v>
      </c>
      <c r="G57" s="184" t="s">
        <v>3</v>
      </c>
      <c r="H57" s="182">
        <v>2</v>
      </c>
      <c r="I57" s="185">
        <v>30</v>
      </c>
      <c r="J57" s="185">
        <v>60</v>
      </c>
      <c r="K57" s="221"/>
      <c r="L57" s="186"/>
      <c r="M57" s="184" t="s">
        <v>185</v>
      </c>
      <c r="N57" s="184"/>
      <c r="O57" s="184"/>
      <c r="P57" s="184" t="s">
        <v>720</v>
      </c>
    </row>
    <row r="58" spans="1:20" ht="15" customHeight="1" x14ac:dyDescent="0.25">
      <c r="A58" s="145">
        <v>226</v>
      </c>
      <c r="B58" s="183">
        <v>43257</v>
      </c>
      <c r="C58" s="184" t="s">
        <v>209</v>
      </c>
      <c r="D58" s="184" t="s">
        <v>306</v>
      </c>
      <c r="E58" s="213" t="s">
        <v>114</v>
      </c>
      <c r="F58" s="184" t="s">
        <v>115</v>
      </c>
      <c r="G58" s="184" t="s">
        <v>0</v>
      </c>
      <c r="H58" s="182">
        <v>1</v>
      </c>
      <c r="I58" s="185">
        <v>30</v>
      </c>
      <c r="J58" s="185">
        <v>30</v>
      </c>
      <c r="K58" s="221"/>
      <c r="L58" s="186"/>
      <c r="M58" s="184" t="s">
        <v>40</v>
      </c>
      <c r="N58" s="184"/>
      <c r="O58" s="184"/>
      <c r="P58" s="184" t="s">
        <v>443</v>
      </c>
    </row>
    <row r="59" spans="1:20" ht="15" customHeight="1" x14ac:dyDescent="0.25">
      <c r="A59" s="145">
        <v>190</v>
      </c>
      <c r="B59" s="183">
        <v>43257</v>
      </c>
      <c r="C59" s="184" t="s">
        <v>594</v>
      </c>
      <c r="D59" s="184" t="s">
        <v>272</v>
      </c>
      <c r="E59" s="213" t="s">
        <v>414</v>
      </c>
      <c r="F59" s="184" t="s">
        <v>112</v>
      </c>
      <c r="G59" s="184" t="s">
        <v>235</v>
      </c>
      <c r="H59" s="182">
        <v>1</v>
      </c>
      <c r="I59" s="185">
        <v>30</v>
      </c>
      <c r="J59" s="185">
        <v>30</v>
      </c>
      <c r="K59" s="221"/>
      <c r="L59" s="186"/>
      <c r="M59" s="184" t="s">
        <v>34</v>
      </c>
      <c r="N59" s="184"/>
      <c r="O59" s="184" t="s">
        <v>34</v>
      </c>
      <c r="P59" s="184" t="s">
        <v>413</v>
      </c>
    </row>
    <row r="60" spans="1:20" ht="15" customHeight="1" x14ac:dyDescent="0.25">
      <c r="A60" s="145">
        <v>225</v>
      </c>
      <c r="B60" s="183">
        <v>43257</v>
      </c>
      <c r="C60" s="197" t="s">
        <v>640</v>
      </c>
      <c r="D60" s="197">
        <v>0</v>
      </c>
      <c r="E60" s="215" t="s">
        <v>633</v>
      </c>
      <c r="F60" s="197" t="s">
        <v>461</v>
      </c>
      <c r="G60" s="197" t="s">
        <v>219</v>
      </c>
      <c r="H60" s="198">
        <v>1</v>
      </c>
      <c r="I60" s="199">
        <v>30</v>
      </c>
      <c r="J60" s="199">
        <v>30</v>
      </c>
      <c r="K60" s="223"/>
      <c r="L60" s="200"/>
      <c r="M60" s="197" t="s">
        <v>40</v>
      </c>
      <c r="N60" s="197"/>
      <c r="O60" s="197"/>
      <c r="P60" s="197" t="s">
        <v>656</v>
      </c>
    </row>
    <row r="61" spans="1:20" ht="15" customHeight="1" x14ac:dyDescent="0.25">
      <c r="A61" s="145">
        <v>224</v>
      </c>
      <c r="B61" s="183">
        <v>43257</v>
      </c>
      <c r="C61" s="197" t="s">
        <v>632</v>
      </c>
      <c r="D61" s="197" t="s">
        <v>641</v>
      </c>
      <c r="E61" s="215" t="s">
        <v>633</v>
      </c>
      <c r="F61" s="197" t="s">
        <v>461</v>
      </c>
      <c r="G61" s="197" t="s">
        <v>3</v>
      </c>
      <c r="H61" s="198">
        <v>1</v>
      </c>
      <c r="I61" s="199">
        <v>30</v>
      </c>
      <c r="J61" s="199">
        <v>30</v>
      </c>
      <c r="K61" s="223"/>
      <c r="L61" s="200"/>
      <c r="M61" s="197" t="s">
        <v>40</v>
      </c>
      <c r="N61" s="197"/>
      <c r="O61" s="197"/>
      <c r="P61" s="197" t="s">
        <v>656</v>
      </c>
    </row>
    <row r="62" spans="1:20" ht="15" customHeight="1" x14ac:dyDescent="0.25">
      <c r="A62" s="145">
        <v>224</v>
      </c>
      <c r="B62" s="183">
        <v>43257</v>
      </c>
      <c r="C62" s="197" t="s">
        <v>632</v>
      </c>
      <c r="D62" s="197" t="s">
        <v>641</v>
      </c>
      <c r="E62" s="215" t="s">
        <v>633</v>
      </c>
      <c r="F62" s="197" t="s">
        <v>461</v>
      </c>
      <c r="G62" s="197" t="s">
        <v>0</v>
      </c>
      <c r="H62" s="198">
        <v>1</v>
      </c>
      <c r="I62" s="199">
        <v>30</v>
      </c>
      <c r="J62" s="199">
        <v>30</v>
      </c>
      <c r="K62" s="223"/>
      <c r="L62" s="200"/>
      <c r="M62" s="197" t="s">
        <v>40</v>
      </c>
      <c r="N62" s="197"/>
      <c r="O62" s="197"/>
      <c r="P62" s="197" t="s">
        <v>656</v>
      </c>
    </row>
    <row r="63" spans="1:20" ht="15" customHeight="1" x14ac:dyDescent="0.25">
      <c r="A63" s="145">
        <v>186</v>
      </c>
      <c r="B63" s="183">
        <v>43257</v>
      </c>
      <c r="C63" s="197" t="s">
        <v>591</v>
      </c>
      <c r="D63" s="197" t="s">
        <v>590</v>
      </c>
      <c r="E63" s="215" t="s">
        <v>592</v>
      </c>
      <c r="F63" s="197" t="s">
        <v>593</v>
      </c>
      <c r="G63" s="197" t="s">
        <v>3</v>
      </c>
      <c r="H63" s="198">
        <v>1</v>
      </c>
      <c r="I63" s="199">
        <v>30</v>
      </c>
      <c r="J63" s="199">
        <v>30</v>
      </c>
      <c r="K63" s="223"/>
      <c r="L63" s="200"/>
      <c r="M63" s="197" t="s">
        <v>34</v>
      </c>
      <c r="N63" s="197"/>
      <c r="O63" s="197"/>
      <c r="P63" s="197" t="s">
        <v>678</v>
      </c>
    </row>
    <row r="64" spans="1:20" ht="15" customHeight="1" x14ac:dyDescent="0.25">
      <c r="A64" s="145">
        <v>236</v>
      </c>
      <c r="B64" s="183">
        <v>43257</v>
      </c>
      <c r="C64" s="197" t="s">
        <v>750</v>
      </c>
      <c r="D64" s="197" t="s">
        <v>751</v>
      </c>
      <c r="E64" s="215" t="s">
        <v>752</v>
      </c>
      <c r="F64" s="197" t="s">
        <v>753</v>
      </c>
      <c r="G64" s="197" t="s">
        <v>219</v>
      </c>
      <c r="H64" s="198">
        <v>1</v>
      </c>
      <c r="I64" s="199">
        <v>30</v>
      </c>
      <c r="J64" s="199">
        <v>30</v>
      </c>
      <c r="K64" s="223"/>
      <c r="L64" s="200"/>
      <c r="M64" s="197" t="s">
        <v>44</v>
      </c>
      <c r="N64" s="197"/>
      <c r="O64" s="197"/>
      <c r="P64" s="197" t="s">
        <v>754</v>
      </c>
    </row>
    <row r="65" spans="1:16" ht="15" customHeight="1" x14ac:dyDescent="0.25">
      <c r="A65" s="145">
        <v>259</v>
      </c>
      <c r="B65" s="183">
        <v>43258</v>
      </c>
      <c r="C65" s="197" t="s">
        <v>25</v>
      </c>
      <c r="D65" s="197" t="s">
        <v>291</v>
      </c>
      <c r="E65" s="215" t="s">
        <v>330</v>
      </c>
      <c r="F65" s="197" t="s">
        <v>406</v>
      </c>
      <c r="G65" s="197" t="s">
        <v>219</v>
      </c>
      <c r="H65" s="198">
        <v>1</v>
      </c>
      <c r="I65" s="199">
        <v>30</v>
      </c>
      <c r="J65" s="199">
        <v>30</v>
      </c>
      <c r="K65" s="223"/>
      <c r="L65" s="200"/>
      <c r="M65" s="197" t="s">
        <v>24</v>
      </c>
      <c r="N65" s="197"/>
      <c r="O65" s="197"/>
      <c r="P65" s="197" t="s">
        <v>329</v>
      </c>
    </row>
    <row r="66" spans="1:16" ht="15" customHeight="1" x14ac:dyDescent="0.25">
      <c r="A66" s="145">
        <v>234</v>
      </c>
      <c r="B66" s="183">
        <v>43257</v>
      </c>
      <c r="C66" s="197" t="s">
        <v>25</v>
      </c>
      <c r="D66" s="197" t="s">
        <v>291</v>
      </c>
      <c r="E66" s="215" t="s">
        <v>330</v>
      </c>
      <c r="F66" s="197" t="s">
        <v>406</v>
      </c>
      <c r="G66" s="197" t="s">
        <v>219</v>
      </c>
      <c r="H66" s="198">
        <v>1</v>
      </c>
      <c r="I66" s="199">
        <v>30</v>
      </c>
      <c r="J66" s="199">
        <v>30</v>
      </c>
      <c r="K66" s="223"/>
      <c r="L66" s="200"/>
      <c r="M66" s="197" t="s">
        <v>44</v>
      </c>
      <c r="N66" s="197" t="s">
        <v>743</v>
      </c>
      <c r="O66" s="197"/>
      <c r="P66" s="197" t="s">
        <v>329</v>
      </c>
    </row>
    <row r="67" spans="1:16" ht="15" customHeight="1" x14ac:dyDescent="0.25">
      <c r="A67" s="145">
        <v>187</v>
      </c>
      <c r="B67" s="183">
        <v>43257</v>
      </c>
      <c r="C67" s="197" t="s">
        <v>25</v>
      </c>
      <c r="D67" s="197" t="s">
        <v>291</v>
      </c>
      <c r="E67" s="215" t="s">
        <v>330</v>
      </c>
      <c r="F67" s="197" t="s">
        <v>406</v>
      </c>
      <c r="G67" s="197" t="s">
        <v>219</v>
      </c>
      <c r="H67" s="198">
        <v>1</v>
      </c>
      <c r="I67" s="199">
        <v>30</v>
      </c>
      <c r="J67" s="199">
        <v>30</v>
      </c>
      <c r="K67" s="223"/>
      <c r="L67" s="200"/>
      <c r="M67" s="197" t="s">
        <v>34</v>
      </c>
      <c r="N67" s="197" t="s">
        <v>686</v>
      </c>
      <c r="O67" s="197"/>
      <c r="P67" s="197" t="s">
        <v>329</v>
      </c>
    </row>
    <row r="68" spans="1:16" ht="15" customHeight="1" x14ac:dyDescent="0.25">
      <c r="A68" s="145">
        <v>207</v>
      </c>
      <c r="B68" s="183">
        <v>43257</v>
      </c>
      <c r="C68" s="197" t="s">
        <v>712</v>
      </c>
      <c r="D68" s="197" t="s">
        <v>713</v>
      </c>
      <c r="E68" s="215" t="s">
        <v>714</v>
      </c>
      <c r="F68" s="197" t="s">
        <v>716</v>
      </c>
      <c r="G68" s="197" t="s">
        <v>219</v>
      </c>
      <c r="H68" s="198">
        <v>1</v>
      </c>
      <c r="I68" s="199">
        <v>30</v>
      </c>
      <c r="J68" s="199">
        <v>30</v>
      </c>
      <c r="K68" s="223"/>
      <c r="L68" s="200"/>
      <c r="M68" s="197" t="s">
        <v>48</v>
      </c>
      <c r="N68" s="197"/>
      <c r="O68" s="197"/>
      <c r="P68" s="197" t="s">
        <v>715</v>
      </c>
    </row>
    <row r="69" spans="1:16" ht="15" customHeight="1" x14ac:dyDescent="0.25">
      <c r="A69" s="145">
        <v>256</v>
      </c>
      <c r="B69" s="183">
        <v>43258</v>
      </c>
      <c r="C69" s="184" t="s">
        <v>799</v>
      </c>
      <c r="D69" s="184" t="s">
        <v>800</v>
      </c>
      <c r="E69" s="213" t="s">
        <v>801</v>
      </c>
      <c r="F69" s="184" t="s">
        <v>544</v>
      </c>
      <c r="G69" s="184" t="s">
        <v>219</v>
      </c>
      <c r="H69" s="182">
        <v>1</v>
      </c>
      <c r="I69" s="185">
        <v>30</v>
      </c>
      <c r="J69" s="185">
        <v>30</v>
      </c>
      <c r="K69" s="221"/>
      <c r="L69" s="186"/>
      <c r="M69" s="184" t="s">
        <v>60</v>
      </c>
      <c r="N69" s="184"/>
      <c r="O69" s="184" t="s">
        <v>60</v>
      </c>
      <c r="P69" s="184" t="s">
        <v>802</v>
      </c>
    </row>
    <row r="70" spans="1:16" ht="15" customHeight="1" x14ac:dyDescent="0.25">
      <c r="A70" s="145">
        <v>192</v>
      </c>
      <c r="B70" s="183">
        <v>43257</v>
      </c>
      <c r="C70" s="184" t="s">
        <v>588</v>
      </c>
      <c r="D70" s="184" t="s">
        <v>587</v>
      </c>
      <c r="E70" s="213" t="s">
        <v>586</v>
      </c>
      <c r="F70" s="184" t="s">
        <v>544</v>
      </c>
      <c r="G70" s="184" t="s">
        <v>3</v>
      </c>
      <c r="H70" s="182">
        <v>1</v>
      </c>
      <c r="I70" s="185">
        <v>30</v>
      </c>
      <c r="J70" s="185">
        <v>30</v>
      </c>
      <c r="K70" s="221"/>
      <c r="L70" s="186"/>
      <c r="M70" s="184" t="s">
        <v>34</v>
      </c>
      <c r="N70" s="184"/>
      <c r="O70" s="184" t="s">
        <v>34</v>
      </c>
      <c r="P70" s="184" t="s">
        <v>677</v>
      </c>
    </row>
    <row r="71" spans="1:16" ht="15" customHeight="1" x14ac:dyDescent="0.25">
      <c r="A71" s="145">
        <v>206</v>
      </c>
      <c r="B71" s="183">
        <v>43257</v>
      </c>
      <c r="C71" s="184" t="s">
        <v>709</v>
      </c>
      <c r="D71" s="184" t="s">
        <v>708</v>
      </c>
      <c r="E71" s="213" t="s">
        <v>710</v>
      </c>
      <c r="F71" s="184" t="s">
        <v>523</v>
      </c>
      <c r="G71" s="184" t="s">
        <v>1</v>
      </c>
      <c r="H71" s="182">
        <v>1</v>
      </c>
      <c r="I71" s="185">
        <v>30</v>
      </c>
      <c r="J71" s="185">
        <v>30</v>
      </c>
      <c r="K71" s="221">
        <v>30</v>
      </c>
      <c r="L71" s="186"/>
      <c r="M71" s="184" t="s">
        <v>48</v>
      </c>
      <c r="N71" s="184"/>
      <c r="O71" s="184"/>
      <c r="P71" s="184" t="s">
        <v>711</v>
      </c>
    </row>
    <row r="72" spans="1:16" ht="15" customHeight="1" x14ac:dyDescent="0.25">
      <c r="A72" s="145">
        <v>231</v>
      </c>
      <c r="B72" s="183">
        <v>43257</v>
      </c>
      <c r="C72" s="189" t="s">
        <v>615</v>
      </c>
      <c r="D72" s="189" t="s">
        <v>324</v>
      </c>
      <c r="E72" s="212" t="s">
        <v>616</v>
      </c>
      <c r="F72" s="189" t="s">
        <v>523</v>
      </c>
      <c r="G72" s="189" t="s">
        <v>3</v>
      </c>
      <c r="H72" s="190">
        <v>1</v>
      </c>
      <c r="I72" s="191">
        <v>30</v>
      </c>
      <c r="J72" s="191">
        <v>30</v>
      </c>
      <c r="K72" s="220">
        <v>30</v>
      </c>
      <c r="L72" s="192"/>
      <c r="M72" s="189" t="s">
        <v>49</v>
      </c>
      <c r="N72" s="189"/>
      <c r="O72" s="189"/>
      <c r="P72" s="189" t="s">
        <v>657</v>
      </c>
    </row>
    <row r="73" spans="1:16" ht="15" customHeight="1" x14ac:dyDescent="0.25">
      <c r="A73" s="145">
        <v>231</v>
      </c>
      <c r="B73" s="183">
        <v>43257</v>
      </c>
      <c r="C73" s="184" t="s">
        <v>615</v>
      </c>
      <c r="D73" s="184" t="s">
        <v>324</v>
      </c>
      <c r="E73" s="213" t="s">
        <v>616</v>
      </c>
      <c r="F73" s="184" t="s">
        <v>523</v>
      </c>
      <c r="G73" s="184" t="s">
        <v>1</v>
      </c>
      <c r="H73" s="182">
        <v>1</v>
      </c>
      <c r="I73" s="185">
        <v>30</v>
      </c>
      <c r="J73" s="185">
        <v>30</v>
      </c>
      <c r="K73" s="221">
        <v>30</v>
      </c>
      <c r="L73" s="186"/>
      <c r="M73" s="184" t="s">
        <v>49</v>
      </c>
      <c r="N73" s="184"/>
      <c r="O73" s="184"/>
      <c r="P73" s="184" t="s">
        <v>657</v>
      </c>
    </row>
    <row r="74" spans="1:16" ht="15" customHeight="1" x14ac:dyDescent="0.25">
      <c r="A74" s="145">
        <v>219</v>
      </c>
      <c r="B74" s="183">
        <v>43257</v>
      </c>
      <c r="C74" s="184" t="s">
        <v>630</v>
      </c>
      <c r="D74" s="184" t="s">
        <v>312</v>
      </c>
      <c r="E74" s="213" t="s">
        <v>616</v>
      </c>
      <c r="F74" s="184" t="s">
        <v>523</v>
      </c>
      <c r="G74" s="184" t="s">
        <v>1</v>
      </c>
      <c r="H74" s="182">
        <v>4</v>
      </c>
      <c r="I74" s="185">
        <v>30</v>
      </c>
      <c r="J74" s="185">
        <v>120</v>
      </c>
      <c r="K74" s="221">
        <v>120</v>
      </c>
      <c r="L74" s="186"/>
      <c r="M74" s="184" t="s">
        <v>40</v>
      </c>
      <c r="N74" s="184" t="s">
        <v>731</v>
      </c>
      <c r="O74" s="184"/>
      <c r="P74" s="184" t="s">
        <v>735</v>
      </c>
    </row>
    <row r="75" spans="1:16" ht="15" customHeight="1" x14ac:dyDescent="0.25">
      <c r="A75" s="145">
        <v>243</v>
      </c>
      <c r="B75" s="183">
        <v>43258</v>
      </c>
      <c r="C75" s="184" t="s">
        <v>765</v>
      </c>
      <c r="D75" s="184" t="s">
        <v>777</v>
      </c>
      <c r="E75" s="213" t="s">
        <v>778</v>
      </c>
      <c r="F75" s="184" t="s">
        <v>581</v>
      </c>
      <c r="G75" s="184" t="s">
        <v>219</v>
      </c>
      <c r="H75" s="182">
        <v>1</v>
      </c>
      <c r="I75" s="185">
        <v>30</v>
      </c>
      <c r="J75" s="185">
        <v>30</v>
      </c>
      <c r="K75" s="221">
        <v>30</v>
      </c>
      <c r="L75" s="186"/>
      <c r="M75" s="184" t="s">
        <v>60</v>
      </c>
      <c r="N75" s="184"/>
      <c r="O75" s="184"/>
      <c r="P75" s="184" t="s">
        <v>787</v>
      </c>
    </row>
    <row r="76" spans="1:16" ht="15" customHeight="1" x14ac:dyDescent="0.25">
      <c r="A76" s="145">
        <v>250</v>
      </c>
      <c r="B76" s="183">
        <v>43258</v>
      </c>
      <c r="C76" s="184" t="s">
        <v>770</v>
      </c>
      <c r="D76" s="184" t="s">
        <v>769</v>
      </c>
      <c r="E76" s="213" t="s">
        <v>795</v>
      </c>
      <c r="F76" s="184" t="s">
        <v>797</v>
      </c>
      <c r="G76" s="184" t="s">
        <v>219</v>
      </c>
      <c r="H76" s="182">
        <v>1</v>
      </c>
      <c r="I76" s="185">
        <v>30</v>
      </c>
      <c r="J76" s="185">
        <v>30</v>
      </c>
      <c r="K76" s="221">
        <v>30</v>
      </c>
      <c r="L76" s="186"/>
      <c r="M76" s="184" t="s">
        <v>60</v>
      </c>
      <c r="N76" s="184"/>
      <c r="O76" s="184"/>
      <c r="P76" s="184" t="s">
        <v>796</v>
      </c>
    </row>
    <row r="77" spans="1:16" ht="15" customHeight="1" x14ac:dyDescent="0.25">
      <c r="A77" s="145">
        <v>241</v>
      </c>
      <c r="B77" s="183">
        <v>43257</v>
      </c>
      <c r="C77" s="184" t="s">
        <v>746</v>
      </c>
      <c r="D77" s="184">
        <v>0</v>
      </c>
      <c r="E77" s="213" t="s">
        <v>747</v>
      </c>
      <c r="F77" s="184" t="s">
        <v>748</v>
      </c>
      <c r="G77" s="184" t="s">
        <v>0</v>
      </c>
      <c r="H77" s="182">
        <v>1</v>
      </c>
      <c r="I77" s="185">
        <v>30</v>
      </c>
      <c r="J77" s="185">
        <v>30</v>
      </c>
      <c r="K77" s="221"/>
      <c r="L77" s="186"/>
      <c r="M77" s="184" t="s">
        <v>44</v>
      </c>
      <c r="N77" s="184"/>
      <c r="O77" s="184"/>
      <c r="P77" s="184" t="s">
        <v>749</v>
      </c>
    </row>
    <row r="78" spans="1:16" ht="15" customHeight="1" x14ac:dyDescent="0.25">
      <c r="A78" s="145">
        <v>213</v>
      </c>
      <c r="B78" s="183">
        <v>43257</v>
      </c>
      <c r="C78" s="197" t="s">
        <v>726</v>
      </c>
      <c r="D78" s="197" t="s">
        <v>727</v>
      </c>
      <c r="E78" s="215" t="s">
        <v>728</v>
      </c>
      <c r="F78" s="197" t="s">
        <v>723</v>
      </c>
      <c r="G78" s="197" t="s">
        <v>219</v>
      </c>
      <c r="H78" s="198">
        <v>1</v>
      </c>
      <c r="I78" s="199">
        <v>30</v>
      </c>
      <c r="J78" s="199">
        <v>30</v>
      </c>
      <c r="K78" s="223"/>
      <c r="L78" s="200"/>
      <c r="M78" s="197" t="s">
        <v>185</v>
      </c>
      <c r="N78" s="197"/>
      <c r="O78" s="197"/>
      <c r="P78" s="197" t="s">
        <v>729</v>
      </c>
    </row>
    <row r="79" spans="1:16" ht="15" customHeight="1" x14ac:dyDescent="0.25">
      <c r="A79" s="145">
        <v>242</v>
      </c>
      <c r="B79" s="183">
        <v>43258</v>
      </c>
      <c r="C79" s="197" t="s">
        <v>764</v>
      </c>
      <c r="D79" s="197" t="s">
        <v>775</v>
      </c>
      <c r="E79" s="215" t="s">
        <v>776</v>
      </c>
      <c r="F79" s="197" t="s">
        <v>84</v>
      </c>
      <c r="G79" s="197" t="s">
        <v>3</v>
      </c>
      <c r="H79" s="198">
        <v>1</v>
      </c>
      <c r="I79" s="199">
        <v>30</v>
      </c>
      <c r="J79" s="199">
        <v>30</v>
      </c>
      <c r="K79" s="223">
        <v>30</v>
      </c>
      <c r="L79" s="200"/>
      <c r="M79" s="197" t="s">
        <v>60</v>
      </c>
      <c r="N79" s="197"/>
      <c r="O79" s="197"/>
      <c r="P79" s="197" t="s">
        <v>786</v>
      </c>
    </row>
    <row r="80" spans="1:16" ht="15" customHeight="1" x14ac:dyDescent="0.25">
      <c r="A80" s="145">
        <v>232</v>
      </c>
      <c r="B80" s="183">
        <v>43257</v>
      </c>
      <c r="C80" s="197" t="s">
        <v>613</v>
      </c>
      <c r="D80" s="197" t="s">
        <v>296</v>
      </c>
      <c r="E80" s="215" t="s">
        <v>76</v>
      </c>
      <c r="F80" s="197" t="s">
        <v>84</v>
      </c>
      <c r="G80" s="197" t="s">
        <v>1</v>
      </c>
      <c r="H80" s="198">
        <v>1</v>
      </c>
      <c r="I80" s="199">
        <v>30</v>
      </c>
      <c r="J80" s="199">
        <v>30</v>
      </c>
      <c r="K80" s="223">
        <v>30</v>
      </c>
      <c r="L80" s="200"/>
      <c r="M80" s="197" t="s">
        <v>49</v>
      </c>
      <c r="N80" s="197"/>
      <c r="O80" s="197"/>
      <c r="P80" s="197" t="s">
        <v>428</v>
      </c>
    </row>
    <row r="81" spans="1:16" ht="15" customHeight="1" x14ac:dyDescent="0.25">
      <c r="A81" s="145">
        <v>232</v>
      </c>
      <c r="B81" s="183">
        <v>43257</v>
      </c>
      <c r="C81" s="197" t="s">
        <v>613</v>
      </c>
      <c r="D81" s="197" t="s">
        <v>296</v>
      </c>
      <c r="E81" s="215" t="s">
        <v>76</v>
      </c>
      <c r="F81" s="197" t="s">
        <v>84</v>
      </c>
      <c r="G81" s="197" t="s">
        <v>0</v>
      </c>
      <c r="H81" s="198">
        <v>1</v>
      </c>
      <c r="I81" s="199">
        <v>30</v>
      </c>
      <c r="J81" s="199">
        <v>30</v>
      </c>
      <c r="K81" s="223">
        <v>30</v>
      </c>
      <c r="L81" s="200"/>
      <c r="M81" s="197" t="s">
        <v>49</v>
      </c>
      <c r="N81" s="197"/>
      <c r="O81" s="197"/>
      <c r="P81" s="197" t="s">
        <v>428</v>
      </c>
    </row>
    <row r="82" spans="1:16" ht="15" customHeight="1" x14ac:dyDescent="0.25">
      <c r="A82" s="145">
        <v>188</v>
      </c>
      <c r="B82" s="183">
        <v>43257</v>
      </c>
      <c r="C82" s="197" t="s">
        <v>687</v>
      </c>
      <c r="D82" s="197" t="s">
        <v>688</v>
      </c>
      <c r="E82" s="215" t="s">
        <v>689</v>
      </c>
      <c r="F82" s="197" t="s">
        <v>84</v>
      </c>
      <c r="G82" s="197" t="s">
        <v>219</v>
      </c>
      <c r="H82" s="198">
        <v>1</v>
      </c>
      <c r="I82" s="199">
        <v>30</v>
      </c>
      <c r="J82" s="199">
        <v>30</v>
      </c>
      <c r="K82" s="223"/>
      <c r="L82" s="200"/>
      <c r="M82" s="197" t="s">
        <v>34</v>
      </c>
      <c r="N82" s="197"/>
      <c r="O82" s="197"/>
      <c r="P82" s="197" t="s">
        <v>690</v>
      </c>
    </row>
    <row r="83" spans="1:16" ht="15" customHeight="1" x14ac:dyDescent="0.25">
      <c r="A83" s="145">
        <v>205</v>
      </c>
      <c r="B83" s="183">
        <v>43257</v>
      </c>
      <c r="C83" s="197" t="s">
        <v>610</v>
      </c>
      <c r="D83" s="197" t="s">
        <v>319</v>
      </c>
      <c r="E83" s="215" t="s">
        <v>455</v>
      </c>
      <c r="F83" s="197" t="s">
        <v>396</v>
      </c>
      <c r="G83" s="197" t="s">
        <v>3</v>
      </c>
      <c r="H83" s="198">
        <v>2</v>
      </c>
      <c r="I83" s="199">
        <v>30</v>
      </c>
      <c r="J83" s="199">
        <v>60</v>
      </c>
      <c r="K83" s="223">
        <v>60</v>
      </c>
      <c r="L83" s="200"/>
      <c r="M83" s="197" t="s">
        <v>48</v>
      </c>
      <c r="N83" s="197"/>
      <c r="O83" s="197"/>
      <c r="P83" s="197" t="s">
        <v>454</v>
      </c>
    </row>
    <row r="84" spans="1:16" ht="15" customHeight="1" x14ac:dyDescent="0.25">
      <c r="A84" s="145">
        <v>245</v>
      </c>
      <c r="B84" s="183">
        <v>43258</v>
      </c>
      <c r="C84" s="197" t="s">
        <v>767</v>
      </c>
      <c r="D84" s="197" t="s">
        <v>772</v>
      </c>
      <c r="E84" s="215" t="s">
        <v>782</v>
      </c>
      <c r="F84" s="197" t="s">
        <v>84</v>
      </c>
      <c r="G84" s="197" t="s">
        <v>219</v>
      </c>
      <c r="H84" s="198">
        <v>1</v>
      </c>
      <c r="I84" s="199">
        <v>30</v>
      </c>
      <c r="J84" s="199">
        <v>30</v>
      </c>
      <c r="K84" s="223">
        <v>30</v>
      </c>
      <c r="L84" s="200"/>
      <c r="M84" s="197" t="s">
        <v>60</v>
      </c>
      <c r="N84" s="197"/>
      <c r="O84" s="197"/>
      <c r="P84" s="197" t="s">
        <v>679</v>
      </c>
    </row>
    <row r="85" spans="1:16" ht="15" customHeight="1" x14ac:dyDescent="0.25">
      <c r="A85" s="145">
        <v>195</v>
      </c>
      <c r="B85" s="183">
        <v>43257</v>
      </c>
      <c r="C85" s="197" t="s">
        <v>597</v>
      </c>
      <c r="D85" s="197" t="s">
        <v>703</v>
      </c>
      <c r="E85" s="215" t="s">
        <v>596</v>
      </c>
      <c r="F85" s="197" t="s">
        <v>84</v>
      </c>
      <c r="G85" s="197" t="s">
        <v>219</v>
      </c>
      <c r="H85" s="198">
        <v>1</v>
      </c>
      <c r="I85" s="199">
        <v>30</v>
      </c>
      <c r="J85" s="199">
        <v>30</v>
      </c>
      <c r="K85" s="223"/>
      <c r="L85" s="200"/>
      <c r="M85" s="197" t="s">
        <v>231</v>
      </c>
      <c r="N85" s="197"/>
      <c r="O85" s="197"/>
      <c r="P85" s="197" t="s">
        <v>679</v>
      </c>
    </row>
    <row r="86" spans="1:16" ht="15" customHeight="1" x14ac:dyDescent="0.25">
      <c r="A86" s="145">
        <v>247</v>
      </c>
      <c r="B86" s="183">
        <v>43258</v>
      </c>
      <c r="C86" s="197" t="s">
        <v>768</v>
      </c>
      <c r="D86" s="197" t="s">
        <v>773</v>
      </c>
      <c r="E86" s="215" t="s">
        <v>783</v>
      </c>
      <c r="F86" s="197" t="s">
        <v>84</v>
      </c>
      <c r="G86" s="197" t="s">
        <v>3</v>
      </c>
      <c r="H86" s="198">
        <v>1</v>
      </c>
      <c r="I86" s="199">
        <v>30</v>
      </c>
      <c r="J86" s="199">
        <v>30</v>
      </c>
      <c r="K86" s="223"/>
      <c r="L86" s="200"/>
      <c r="M86" s="197" t="s">
        <v>60</v>
      </c>
      <c r="N86" s="197"/>
      <c r="O86" s="197"/>
      <c r="P86" s="197" t="s">
        <v>792</v>
      </c>
    </row>
    <row r="87" spans="1:16" ht="15" customHeight="1" x14ac:dyDescent="0.25">
      <c r="A87" s="145">
        <v>220</v>
      </c>
      <c r="B87" s="183">
        <v>43257</v>
      </c>
      <c r="C87" s="197" t="s">
        <v>647</v>
      </c>
      <c r="D87" s="197" t="s">
        <v>303</v>
      </c>
      <c r="E87" s="215" t="s">
        <v>437</v>
      </c>
      <c r="F87" s="197" t="s">
        <v>84</v>
      </c>
      <c r="G87" s="197" t="s">
        <v>1</v>
      </c>
      <c r="H87" s="198">
        <v>1</v>
      </c>
      <c r="I87" s="199">
        <v>30</v>
      </c>
      <c r="J87" s="199">
        <v>30</v>
      </c>
      <c r="K87" s="223"/>
      <c r="L87" s="200"/>
      <c r="M87" s="197" t="s">
        <v>40</v>
      </c>
      <c r="N87" s="197"/>
      <c r="O87" s="197"/>
      <c r="P87" s="197" t="s">
        <v>439</v>
      </c>
    </row>
    <row r="88" spans="1:16" ht="15" customHeight="1" x14ac:dyDescent="0.25">
      <c r="A88" s="145">
        <v>189</v>
      </c>
      <c r="B88" s="183">
        <v>43257</v>
      </c>
      <c r="C88" s="197" t="s">
        <v>691</v>
      </c>
      <c r="D88" s="197" t="s">
        <v>692</v>
      </c>
      <c r="E88" s="215" t="s">
        <v>693</v>
      </c>
      <c r="F88" s="197" t="s">
        <v>84</v>
      </c>
      <c r="G88" s="197" t="s">
        <v>219</v>
      </c>
      <c r="H88" s="198">
        <v>1</v>
      </c>
      <c r="I88" s="199">
        <v>30</v>
      </c>
      <c r="J88" s="199">
        <v>30</v>
      </c>
      <c r="K88" s="223"/>
      <c r="L88" s="200"/>
      <c r="M88" s="197" t="s">
        <v>34</v>
      </c>
      <c r="N88" s="197"/>
      <c r="O88" s="197"/>
      <c r="P88" s="197" t="s">
        <v>694</v>
      </c>
    </row>
    <row r="89" spans="1:16" ht="15" customHeight="1" x14ac:dyDescent="0.25">
      <c r="A89" s="145">
        <v>212</v>
      </c>
      <c r="B89" s="183">
        <v>43257</v>
      </c>
      <c r="C89" s="197" t="s">
        <v>721</v>
      </c>
      <c r="D89" s="197" t="s">
        <v>722</v>
      </c>
      <c r="E89" s="215" t="s">
        <v>724</v>
      </c>
      <c r="F89" s="197" t="s">
        <v>723</v>
      </c>
      <c r="G89" s="197" t="s">
        <v>1</v>
      </c>
      <c r="H89" s="198">
        <v>1</v>
      </c>
      <c r="I89" s="199">
        <v>30</v>
      </c>
      <c r="J89" s="199">
        <v>30</v>
      </c>
      <c r="K89" s="223"/>
      <c r="L89" s="200"/>
      <c r="M89" s="197" t="s">
        <v>185</v>
      </c>
      <c r="N89" s="197"/>
      <c r="O89" s="197"/>
      <c r="P89" s="197" t="s">
        <v>725</v>
      </c>
    </row>
    <row r="90" spans="1:16" ht="15" customHeight="1" x14ac:dyDescent="0.25">
      <c r="A90" s="145">
        <v>257</v>
      </c>
      <c r="B90" s="183">
        <v>43258</v>
      </c>
      <c r="C90" s="184" t="s">
        <v>37</v>
      </c>
      <c r="D90" s="184" t="s">
        <v>321</v>
      </c>
      <c r="E90" s="213" t="s">
        <v>15</v>
      </c>
      <c r="F90" s="184" t="s">
        <v>459</v>
      </c>
      <c r="G90" s="184" t="s">
        <v>3</v>
      </c>
      <c r="H90" s="182">
        <v>1</v>
      </c>
      <c r="I90" s="185">
        <v>30</v>
      </c>
      <c r="J90" s="185">
        <v>30</v>
      </c>
      <c r="K90" s="221"/>
      <c r="L90" s="186"/>
      <c r="M90" s="184" t="s">
        <v>47</v>
      </c>
      <c r="N90" s="184"/>
      <c r="O90" s="184" t="s">
        <v>47</v>
      </c>
      <c r="P90" s="184" t="s">
        <v>458</v>
      </c>
    </row>
    <row r="91" spans="1:16" ht="15" customHeight="1" x14ac:dyDescent="0.25">
      <c r="A91" s="145">
        <v>244</v>
      </c>
      <c r="B91" s="183">
        <v>43258</v>
      </c>
      <c r="C91" s="184" t="s">
        <v>766</v>
      </c>
      <c r="D91" s="184" t="s">
        <v>771</v>
      </c>
      <c r="E91" s="213" t="s">
        <v>781</v>
      </c>
      <c r="F91" s="184" t="s">
        <v>779</v>
      </c>
      <c r="G91" s="184" t="s">
        <v>1</v>
      </c>
      <c r="H91" s="182">
        <v>1</v>
      </c>
      <c r="I91" s="185">
        <v>30</v>
      </c>
      <c r="J91" s="185">
        <v>30</v>
      </c>
      <c r="K91" s="221"/>
      <c r="L91" s="186"/>
      <c r="M91" s="184" t="s">
        <v>60</v>
      </c>
      <c r="N91" s="184"/>
      <c r="O91" s="184"/>
      <c r="P91" s="184" t="s">
        <v>788</v>
      </c>
    </row>
    <row r="92" spans="1:16" ht="15" customHeight="1" x14ac:dyDescent="0.25">
      <c r="A92" s="145">
        <v>230</v>
      </c>
      <c r="B92" s="183">
        <v>43257</v>
      </c>
      <c r="C92" s="184" t="s">
        <v>614</v>
      </c>
      <c r="D92" s="184" t="s">
        <v>289</v>
      </c>
      <c r="E92" s="213" t="s">
        <v>72</v>
      </c>
      <c r="F92" s="184" t="s">
        <v>393</v>
      </c>
      <c r="G92" s="184" t="s">
        <v>219</v>
      </c>
      <c r="H92" s="182">
        <v>1</v>
      </c>
      <c r="I92" s="185">
        <v>30</v>
      </c>
      <c r="J92" s="185">
        <v>30</v>
      </c>
      <c r="K92" s="221">
        <v>30</v>
      </c>
      <c r="L92" s="186"/>
      <c r="M92" s="184" t="s">
        <v>49</v>
      </c>
      <c r="N92" s="184"/>
      <c r="O92" s="184"/>
      <c r="P92" s="184" t="s">
        <v>423</v>
      </c>
    </row>
    <row r="93" spans="1:16" ht="15" customHeight="1" x14ac:dyDescent="0.25">
      <c r="A93" s="145">
        <v>216</v>
      </c>
      <c r="B93" s="183">
        <v>43257</v>
      </c>
      <c r="C93" s="197" t="s">
        <v>203</v>
      </c>
      <c r="D93" s="197" t="s">
        <v>305</v>
      </c>
      <c r="E93" s="215" t="s">
        <v>41</v>
      </c>
      <c r="F93" s="197" t="s">
        <v>441</v>
      </c>
      <c r="G93" s="197" t="s">
        <v>1</v>
      </c>
      <c r="H93" s="198">
        <v>1</v>
      </c>
      <c r="I93" s="199">
        <v>30</v>
      </c>
      <c r="J93" s="199">
        <v>30</v>
      </c>
      <c r="K93" s="223"/>
      <c r="L93" s="200"/>
      <c r="M93" s="197" t="s">
        <v>40</v>
      </c>
      <c r="N93" s="197"/>
      <c r="O93" s="197"/>
      <c r="P93" s="197" t="s">
        <v>442</v>
      </c>
    </row>
    <row r="94" spans="1:16" ht="15" customHeight="1" x14ac:dyDescent="0.25">
      <c r="A94" s="145">
        <v>216</v>
      </c>
      <c r="B94" s="183">
        <v>43257</v>
      </c>
      <c r="C94" s="197" t="s">
        <v>203</v>
      </c>
      <c r="D94" s="197" t="s">
        <v>305</v>
      </c>
      <c r="E94" s="215" t="s">
        <v>41</v>
      </c>
      <c r="F94" s="197" t="s">
        <v>441</v>
      </c>
      <c r="G94" s="197" t="s">
        <v>0</v>
      </c>
      <c r="H94" s="198">
        <v>1</v>
      </c>
      <c r="I94" s="199">
        <v>30</v>
      </c>
      <c r="J94" s="199">
        <v>30</v>
      </c>
      <c r="K94" s="223"/>
      <c r="L94" s="200"/>
      <c r="M94" s="197" t="s">
        <v>40</v>
      </c>
      <c r="N94" s="197"/>
      <c r="O94" s="197"/>
      <c r="P94" s="197" t="s">
        <v>442</v>
      </c>
    </row>
    <row r="95" spans="1:16" ht="15" customHeight="1" x14ac:dyDescent="0.25">
      <c r="A95" s="145">
        <v>191</v>
      </c>
      <c r="B95" s="183">
        <v>43257</v>
      </c>
      <c r="C95" s="197" t="s">
        <v>695</v>
      </c>
      <c r="D95" s="197" t="s">
        <v>696</v>
      </c>
      <c r="E95" s="215" t="s">
        <v>697</v>
      </c>
      <c r="F95" s="197" t="s">
        <v>542</v>
      </c>
      <c r="G95" s="197" t="s">
        <v>3</v>
      </c>
      <c r="H95" s="198">
        <v>1</v>
      </c>
      <c r="I95" s="199">
        <v>30</v>
      </c>
      <c r="J95" s="199">
        <v>30</v>
      </c>
      <c r="K95" s="223"/>
      <c r="L95" s="200"/>
      <c r="M95" s="197" t="s">
        <v>34</v>
      </c>
      <c r="N95" s="197"/>
      <c r="O95" s="197"/>
      <c r="P95" s="197" t="s">
        <v>698</v>
      </c>
    </row>
    <row r="96" spans="1:16" ht="15" customHeight="1" x14ac:dyDescent="0.25">
      <c r="A96" s="145">
        <v>238</v>
      </c>
      <c r="B96" s="183">
        <v>43257</v>
      </c>
      <c r="C96" s="197" t="s">
        <v>365</v>
      </c>
      <c r="D96" s="197" t="s">
        <v>300</v>
      </c>
      <c r="E96" s="215" t="s">
        <v>432</v>
      </c>
      <c r="F96" s="197" t="s">
        <v>433</v>
      </c>
      <c r="G96" s="197" t="s">
        <v>1</v>
      </c>
      <c r="H96" s="198">
        <v>1</v>
      </c>
      <c r="I96" s="199">
        <v>30</v>
      </c>
      <c r="J96" s="199">
        <v>30</v>
      </c>
      <c r="K96" s="223"/>
      <c r="L96" s="200"/>
      <c r="M96" s="197" t="s">
        <v>44</v>
      </c>
      <c r="N96" s="197"/>
      <c r="O96" s="197" t="s">
        <v>44</v>
      </c>
      <c r="P96" s="197" t="s">
        <v>434</v>
      </c>
    </row>
    <row r="97" spans="1:16" ht="15" customHeight="1" x14ac:dyDescent="0.25">
      <c r="A97" s="145">
        <v>223</v>
      </c>
      <c r="B97" s="183">
        <v>43257</v>
      </c>
      <c r="C97" s="197" t="s">
        <v>635</v>
      </c>
      <c r="D97" s="197" t="s">
        <v>636</v>
      </c>
      <c r="E97" s="215" t="s">
        <v>637</v>
      </c>
      <c r="F97" s="197" t="s">
        <v>639</v>
      </c>
      <c r="G97" s="197" t="s">
        <v>219</v>
      </c>
      <c r="H97" s="198">
        <v>1</v>
      </c>
      <c r="I97" s="199">
        <v>30</v>
      </c>
      <c r="J97" s="199">
        <v>30</v>
      </c>
      <c r="K97" s="223"/>
      <c r="L97" s="200"/>
      <c r="M97" s="197" t="s">
        <v>40</v>
      </c>
      <c r="N97" s="197"/>
      <c r="O97" s="197" t="s">
        <v>40</v>
      </c>
      <c r="P97" s="197" t="s">
        <v>684</v>
      </c>
    </row>
    <row r="98" spans="1:16" ht="15" customHeight="1" x14ac:dyDescent="0.25">
      <c r="A98" s="145">
        <v>215</v>
      </c>
      <c r="B98" s="183">
        <v>43257</v>
      </c>
      <c r="C98" s="197" t="s">
        <v>26</v>
      </c>
      <c r="D98" s="197">
        <v>0</v>
      </c>
      <c r="E98" s="215" t="s">
        <v>27</v>
      </c>
      <c r="F98" s="197" t="s">
        <v>389</v>
      </c>
      <c r="G98" s="197" t="s">
        <v>219</v>
      </c>
      <c r="H98" s="198">
        <v>1</v>
      </c>
      <c r="I98" s="199">
        <v>30</v>
      </c>
      <c r="J98" s="199">
        <v>30</v>
      </c>
      <c r="K98" s="223"/>
      <c r="L98" s="200"/>
      <c r="M98" s="197" t="s">
        <v>40</v>
      </c>
      <c r="N98" s="197"/>
      <c r="O98" s="197"/>
      <c r="P98" s="197" t="s">
        <v>254</v>
      </c>
    </row>
    <row r="99" spans="1:16" ht="15" customHeight="1" x14ac:dyDescent="0.25">
      <c r="A99" s="145">
        <v>214</v>
      </c>
      <c r="B99" s="183">
        <v>43257</v>
      </c>
      <c r="C99" s="197" t="s">
        <v>546</v>
      </c>
      <c r="D99" s="197" t="s">
        <v>583</v>
      </c>
      <c r="E99" s="215" t="s">
        <v>730</v>
      </c>
      <c r="F99" s="197" t="s">
        <v>549</v>
      </c>
      <c r="G99" s="197" t="s">
        <v>3</v>
      </c>
      <c r="H99" s="198">
        <v>1</v>
      </c>
      <c r="I99" s="199">
        <v>30</v>
      </c>
      <c r="J99" s="199">
        <v>30</v>
      </c>
      <c r="K99" s="223"/>
      <c r="L99" s="200"/>
      <c r="M99" s="197" t="s">
        <v>185</v>
      </c>
      <c r="N99" s="197"/>
      <c r="O99" s="197"/>
      <c r="P99" s="197" t="s">
        <v>666</v>
      </c>
    </row>
    <row r="100" spans="1:16" ht="15" customHeight="1" x14ac:dyDescent="0.25">
      <c r="A100" s="145">
        <v>249</v>
      </c>
      <c r="B100" s="183">
        <v>43258</v>
      </c>
      <c r="C100" s="184" t="s">
        <v>761</v>
      </c>
      <c r="D100" s="184" t="s">
        <v>798</v>
      </c>
      <c r="E100" s="213" t="s">
        <v>785</v>
      </c>
      <c r="F100" s="184" t="s">
        <v>784</v>
      </c>
      <c r="G100" s="184" t="s">
        <v>219</v>
      </c>
      <c r="H100" s="182">
        <v>1</v>
      </c>
      <c r="I100" s="185">
        <v>30</v>
      </c>
      <c r="J100" s="185">
        <v>30</v>
      </c>
      <c r="K100" s="221">
        <v>30</v>
      </c>
      <c r="L100" s="186"/>
      <c r="M100" s="184" t="s">
        <v>60</v>
      </c>
      <c r="N100" s="184"/>
      <c r="O100" s="184"/>
      <c r="P100" s="184" t="s">
        <v>789</v>
      </c>
    </row>
    <row r="101" spans="1:16" ht="15" customHeight="1" x14ac:dyDescent="0.25">
      <c r="A101" s="145">
        <v>194</v>
      </c>
      <c r="B101" s="183">
        <v>43257</v>
      </c>
      <c r="C101" s="184" t="s">
        <v>356</v>
      </c>
      <c r="D101" s="184" t="s">
        <v>700</v>
      </c>
      <c r="E101" s="213" t="s">
        <v>699</v>
      </c>
      <c r="F101" s="184" t="s">
        <v>701</v>
      </c>
      <c r="G101" s="184" t="s">
        <v>219</v>
      </c>
      <c r="H101" s="182">
        <v>1</v>
      </c>
      <c r="I101" s="185">
        <v>30</v>
      </c>
      <c r="J101" s="185">
        <v>30</v>
      </c>
      <c r="K101" s="221"/>
      <c r="L101" s="186"/>
      <c r="M101" s="184" t="s">
        <v>231</v>
      </c>
      <c r="N101" s="184"/>
      <c r="O101" s="184"/>
      <c r="P101" s="184" t="s">
        <v>702</v>
      </c>
    </row>
    <row r="102" spans="1:16" ht="15" customHeight="1" x14ac:dyDescent="0.25">
      <c r="A102" s="145">
        <v>209</v>
      </c>
      <c r="B102" s="183">
        <v>43257</v>
      </c>
      <c r="C102" s="184" t="s">
        <v>607</v>
      </c>
      <c r="D102" s="184" t="s">
        <v>606</v>
      </c>
      <c r="E102" s="213" t="s">
        <v>608</v>
      </c>
      <c r="F102" s="184" t="s">
        <v>609</v>
      </c>
      <c r="G102" s="184" t="s">
        <v>3</v>
      </c>
      <c r="H102" s="182">
        <v>1</v>
      </c>
      <c r="I102" s="185">
        <v>30</v>
      </c>
      <c r="J102" s="185">
        <v>30</v>
      </c>
      <c r="K102" s="221"/>
      <c r="L102" s="186"/>
      <c r="M102" s="184" t="s">
        <v>48</v>
      </c>
      <c r="N102" s="184"/>
      <c r="O102" s="184"/>
      <c r="P102" s="184" t="s">
        <v>681</v>
      </c>
    </row>
    <row r="103" spans="1:16" ht="15" customHeight="1" x14ac:dyDescent="0.25">
      <c r="A103" s="145">
        <v>208</v>
      </c>
      <c r="B103" s="183">
        <v>43257</v>
      </c>
      <c r="C103" s="184" t="s">
        <v>214</v>
      </c>
      <c r="D103" s="184" t="s">
        <v>322</v>
      </c>
      <c r="E103" s="213" t="s">
        <v>87</v>
      </c>
      <c r="F103" s="184" t="s">
        <v>404</v>
      </c>
      <c r="G103" s="184" t="s">
        <v>219</v>
      </c>
      <c r="H103" s="182">
        <v>1</v>
      </c>
      <c r="I103" s="185">
        <v>30</v>
      </c>
      <c r="J103" s="185">
        <v>30</v>
      </c>
      <c r="K103" s="221"/>
      <c r="L103" s="186"/>
      <c r="M103" s="184" t="s">
        <v>48</v>
      </c>
      <c r="N103" s="184"/>
      <c r="O103" s="184"/>
      <c r="P103" s="184" t="s">
        <v>256</v>
      </c>
    </row>
    <row r="104" spans="1:16" ht="15" customHeight="1" x14ac:dyDescent="0.25">
      <c r="A104" s="145">
        <v>246</v>
      </c>
      <c r="B104" s="183">
        <v>43258</v>
      </c>
      <c r="C104" s="184" t="s">
        <v>759</v>
      </c>
      <c r="D104" s="184">
        <v>0</v>
      </c>
      <c r="E104" s="213" t="s">
        <v>791</v>
      </c>
      <c r="F104" s="184" t="s">
        <v>780</v>
      </c>
      <c r="G104" s="184" t="s">
        <v>219</v>
      </c>
      <c r="H104" s="182">
        <v>1</v>
      </c>
      <c r="I104" s="185">
        <v>30</v>
      </c>
      <c r="J104" s="185">
        <v>30</v>
      </c>
      <c r="K104" s="221">
        <v>30</v>
      </c>
      <c r="L104" s="186"/>
      <c r="M104" s="184" t="s">
        <v>60</v>
      </c>
      <c r="N104" s="184"/>
      <c r="O104" s="184"/>
      <c r="P104" s="184" t="s">
        <v>790</v>
      </c>
    </row>
    <row r="105" spans="1:16" ht="15" customHeight="1" x14ac:dyDescent="0.25">
      <c r="A105" s="145">
        <v>248</v>
      </c>
      <c r="B105" s="183">
        <v>43258</v>
      </c>
      <c r="C105" s="184" t="s">
        <v>760</v>
      </c>
      <c r="D105" s="184">
        <v>0</v>
      </c>
      <c r="E105" s="213" t="s">
        <v>794</v>
      </c>
      <c r="F105" s="184" t="s">
        <v>780</v>
      </c>
      <c r="G105" s="184" t="s">
        <v>219</v>
      </c>
      <c r="H105" s="182">
        <v>1</v>
      </c>
      <c r="I105" s="185">
        <v>30</v>
      </c>
      <c r="J105" s="185">
        <v>30</v>
      </c>
      <c r="K105" s="221">
        <v>30</v>
      </c>
      <c r="L105" s="186"/>
      <c r="M105" s="184" t="s">
        <v>60</v>
      </c>
      <c r="N105" s="184"/>
      <c r="O105" s="184"/>
      <c r="P105" s="184" t="s">
        <v>793</v>
      </c>
    </row>
    <row r="106" spans="1:16" ht="15" customHeight="1" x14ac:dyDescent="0.25"/>
    <row r="107" spans="1:16" ht="15" customHeight="1" x14ac:dyDescent="0.25"/>
    <row r="108" spans="1:16" ht="15" customHeight="1" x14ac:dyDescent="0.25"/>
    <row r="109" spans="1:16" ht="15" customHeight="1" x14ac:dyDescent="0.25"/>
    <row r="110" spans="1:16" ht="15" customHeight="1" x14ac:dyDescent="0.25"/>
    <row r="111" spans="1:16" ht="15" customHeight="1" x14ac:dyDescent="0.25"/>
    <row r="112" spans="1:16" ht="15" customHeight="1" x14ac:dyDescent="0.25"/>
    <row r="113" ht="15" customHeight="1" x14ac:dyDescent="0.25"/>
    <row r="114" ht="15" customHeight="1" x14ac:dyDescent="0.25"/>
    <row r="115" ht="15" customHeight="1" x14ac:dyDescent="0.25"/>
    <row r="116" ht="15" customHeight="1" x14ac:dyDescent="0.25"/>
    <row r="117" ht="15" customHeight="1" x14ac:dyDescent="0.25"/>
    <row r="118" ht="15" customHeight="1" x14ac:dyDescent="0.25"/>
    <row r="119" ht="15" customHeight="1" x14ac:dyDescent="0.25"/>
    <row r="120" ht="15" customHeight="1" x14ac:dyDescent="0.25"/>
    <row r="121" ht="15" customHeight="1" x14ac:dyDescent="0.25"/>
    <row r="122" ht="15" customHeight="1" x14ac:dyDescent="0.25"/>
    <row r="123" ht="15" customHeight="1" x14ac:dyDescent="0.25"/>
    <row r="124" ht="15" customHeight="1" x14ac:dyDescent="0.25"/>
    <row r="125" ht="15" customHeight="1" x14ac:dyDescent="0.25"/>
    <row r="126" ht="15" customHeight="1" x14ac:dyDescent="0.25"/>
    <row r="127" ht="15" customHeight="1" x14ac:dyDescent="0.25"/>
    <row r="128" ht="15" customHeight="1" x14ac:dyDescent="0.25"/>
    <row r="129" ht="15" customHeight="1" x14ac:dyDescent="0.25"/>
    <row r="130" ht="15" customHeight="1" x14ac:dyDescent="0.25"/>
    <row r="131" ht="15" customHeight="1" x14ac:dyDescent="0.25"/>
    <row r="132" ht="15" customHeight="1" x14ac:dyDescent="0.25"/>
    <row r="133" ht="15" customHeight="1" x14ac:dyDescent="0.25"/>
    <row r="134" ht="15" customHeight="1" x14ac:dyDescent="0.25"/>
    <row r="135" ht="15" customHeight="1" x14ac:dyDescent="0.25"/>
    <row r="136" ht="15" customHeight="1" x14ac:dyDescent="0.25"/>
    <row r="137" ht="15" customHeight="1" x14ac:dyDescent="0.25"/>
    <row r="138" ht="15" customHeight="1" x14ac:dyDescent="0.25"/>
    <row r="139" ht="15" customHeight="1" x14ac:dyDescent="0.25"/>
    <row r="140" ht="15" customHeight="1" x14ac:dyDescent="0.25"/>
    <row r="141" ht="15" customHeight="1" x14ac:dyDescent="0.25"/>
    <row r="142" ht="15" customHeight="1" x14ac:dyDescent="0.25"/>
    <row r="143" ht="15" customHeight="1" x14ac:dyDescent="0.25"/>
    <row r="144" ht="15" customHeight="1" x14ac:dyDescent="0.25"/>
    <row r="145" ht="15" customHeight="1" x14ac:dyDescent="0.25"/>
    <row r="146" ht="15" customHeight="1" x14ac:dyDescent="0.25"/>
    <row r="147" ht="15" customHeight="1" x14ac:dyDescent="0.25"/>
    <row r="148" ht="15" customHeight="1" x14ac:dyDescent="0.25"/>
    <row r="149" ht="15" customHeight="1" x14ac:dyDescent="0.25"/>
    <row r="150" ht="15" customHeight="1" x14ac:dyDescent="0.25"/>
    <row r="151" ht="15" customHeight="1" x14ac:dyDescent="0.25"/>
    <row r="152" ht="15" customHeight="1" x14ac:dyDescent="0.25"/>
    <row r="153" ht="15" customHeight="1" x14ac:dyDescent="0.25"/>
    <row r="154" ht="15" customHeight="1" x14ac:dyDescent="0.25"/>
    <row r="155" ht="15" customHeight="1" x14ac:dyDescent="0.25"/>
    <row r="156" ht="15" customHeight="1" x14ac:dyDescent="0.25"/>
    <row r="157" ht="15" customHeight="1" x14ac:dyDescent="0.25"/>
    <row r="158" ht="15" customHeight="1" x14ac:dyDescent="0.25"/>
    <row r="159" ht="15" customHeight="1" x14ac:dyDescent="0.25"/>
    <row r="160" ht="15" customHeight="1" x14ac:dyDescent="0.25"/>
    <row r="161" ht="15" customHeight="1" x14ac:dyDescent="0.25"/>
    <row r="162" ht="15" customHeight="1" x14ac:dyDescent="0.25"/>
    <row r="163" ht="15" customHeight="1" x14ac:dyDescent="0.25"/>
    <row r="164" ht="15" customHeight="1" x14ac:dyDescent="0.25"/>
    <row r="165" ht="15" customHeight="1" x14ac:dyDescent="0.25"/>
    <row r="166" ht="15" customHeight="1" x14ac:dyDescent="0.25"/>
    <row r="167" ht="15" customHeight="1" x14ac:dyDescent="0.25"/>
    <row r="168" ht="15" customHeight="1" x14ac:dyDescent="0.25"/>
    <row r="169" ht="15" customHeight="1" x14ac:dyDescent="0.25"/>
    <row r="170" ht="15" customHeight="1" x14ac:dyDescent="0.25"/>
    <row r="171" ht="15" customHeight="1" x14ac:dyDescent="0.25"/>
    <row r="172" ht="15" customHeight="1" x14ac:dyDescent="0.25"/>
    <row r="173" ht="15" customHeight="1" x14ac:dyDescent="0.25"/>
    <row r="174" ht="15" customHeight="1" x14ac:dyDescent="0.25"/>
    <row r="175" ht="15" customHeight="1" x14ac:dyDescent="0.25"/>
    <row r="176" ht="15" customHeight="1" x14ac:dyDescent="0.25"/>
    <row r="177" ht="15" customHeight="1" x14ac:dyDescent="0.25"/>
    <row r="178" ht="15" customHeight="1" x14ac:dyDescent="0.25"/>
    <row r="179" ht="15" customHeight="1" x14ac:dyDescent="0.25"/>
    <row r="180" ht="15" customHeight="1" x14ac:dyDescent="0.25"/>
    <row r="181" ht="15" customHeight="1" x14ac:dyDescent="0.25"/>
    <row r="182" ht="15" customHeight="1" x14ac:dyDescent="0.25"/>
    <row r="183" ht="15" customHeight="1" x14ac:dyDescent="0.25"/>
    <row r="184" ht="15" customHeight="1" x14ac:dyDescent="0.25"/>
    <row r="185" ht="15" customHeight="1" x14ac:dyDescent="0.25"/>
    <row r="186" ht="15" customHeight="1" x14ac:dyDescent="0.25"/>
    <row r="187" ht="15" customHeight="1" x14ac:dyDescent="0.25"/>
    <row r="188" ht="15" customHeight="1" x14ac:dyDescent="0.25"/>
    <row r="189" ht="15" customHeight="1" x14ac:dyDescent="0.25"/>
    <row r="190" ht="15" customHeight="1" x14ac:dyDescent="0.25"/>
    <row r="191" ht="15" customHeight="1" x14ac:dyDescent="0.25"/>
    <row r="192" ht="15" customHeight="1" x14ac:dyDescent="0.25"/>
    <row r="193" ht="15" customHeight="1" x14ac:dyDescent="0.25"/>
    <row r="194" ht="15" customHeight="1" x14ac:dyDescent="0.25"/>
    <row r="195" ht="15" customHeight="1" x14ac:dyDescent="0.25"/>
    <row r="196" ht="15" customHeight="1" x14ac:dyDescent="0.25"/>
    <row r="197" ht="15" customHeight="1" x14ac:dyDescent="0.25"/>
    <row r="198" ht="15" customHeight="1" x14ac:dyDescent="0.25"/>
    <row r="199" ht="15" customHeight="1" x14ac:dyDescent="0.25"/>
    <row r="200" ht="15" customHeight="1" x14ac:dyDescent="0.25"/>
    <row r="201" ht="15" customHeight="1" x14ac:dyDescent="0.25"/>
    <row r="202" ht="15" customHeight="1" x14ac:dyDescent="0.25"/>
    <row r="203" ht="15" customHeight="1" x14ac:dyDescent="0.25"/>
    <row r="204" ht="15" customHeight="1" x14ac:dyDescent="0.25"/>
    <row r="205" ht="15" customHeight="1" x14ac:dyDescent="0.25"/>
    <row r="206" ht="15" customHeight="1" x14ac:dyDescent="0.25"/>
  </sheetData>
  <mergeCells count="5">
    <mergeCell ref="D45:F45"/>
    <mergeCell ref="D55:F55"/>
    <mergeCell ref="D1:F1"/>
    <mergeCell ref="D28:F28"/>
    <mergeCell ref="D36:F36"/>
  </mergeCells>
  <pageMargins left="0.19685039370078741" right="0.19685039370078741" top="0.19685039370078741" bottom="0.19685039370078741" header="0" footer="0"/>
  <pageSetup paperSize="9" orientation="landscape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I82"/>
  <sheetViews>
    <sheetView workbookViewId="0">
      <selection sqref="A1:XFD1"/>
    </sheetView>
  </sheetViews>
  <sheetFormatPr defaultRowHeight="15" outlineLevelRow="1" x14ac:dyDescent="0.25"/>
  <cols>
    <col min="1" max="1" width="32.140625" bestFit="1" customWidth="1"/>
    <col min="2" max="2" width="23.7109375" bestFit="1" customWidth="1"/>
    <col min="3" max="3" width="78.85546875" bestFit="1" customWidth="1"/>
    <col min="4" max="4" width="23.42578125" bestFit="1" customWidth="1"/>
    <col min="5" max="5" width="11.5703125" bestFit="1" customWidth="1"/>
    <col min="6" max="6" width="15.42578125" bestFit="1" customWidth="1"/>
    <col min="7" max="7" width="16.5703125" bestFit="1" customWidth="1"/>
    <col min="8" max="8" width="13.42578125" bestFit="1" customWidth="1"/>
    <col min="9" max="9" width="12.28515625" bestFit="1" customWidth="1"/>
  </cols>
  <sheetData>
    <row r="1" spans="1:9" outlineLevel="1" x14ac:dyDescent="0.25">
      <c r="A1" t="s">
        <v>237</v>
      </c>
      <c r="B1" t="s">
        <v>247</v>
      </c>
      <c r="C1" t="s">
        <v>220</v>
      </c>
      <c r="D1" t="s">
        <v>262</v>
      </c>
      <c r="E1" t="s">
        <v>217</v>
      </c>
      <c r="F1" t="s">
        <v>248</v>
      </c>
      <c r="G1" t="s">
        <v>409</v>
      </c>
      <c r="H1" t="s">
        <v>245</v>
      </c>
      <c r="I1" t="s">
        <v>1678</v>
      </c>
    </row>
    <row r="2" spans="1:9" x14ac:dyDescent="0.25">
      <c r="A2" s="246" t="s">
        <v>1255</v>
      </c>
      <c r="B2" t="s">
        <v>1210</v>
      </c>
      <c r="C2">
        <v>0</v>
      </c>
      <c r="D2">
        <v>0</v>
      </c>
      <c r="E2" s="246" t="s">
        <v>3</v>
      </c>
      <c r="F2">
        <v>2</v>
      </c>
      <c r="G2" s="246" t="s">
        <v>1679</v>
      </c>
      <c r="H2" s="246" t="s">
        <v>40</v>
      </c>
      <c r="I2">
        <v>1</v>
      </c>
    </row>
    <row r="3" spans="1:9" x14ac:dyDescent="0.25">
      <c r="A3" s="246" t="s">
        <v>1603</v>
      </c>
      <c r="B3">
        <v>0</v>
      </c>
      <c r="C3" t="s">
        <v>1604</v>
      </c>
      <c r="D3">
        <v>0</v>
      </c>
      <c r="E3" s="246" t="s">
        <v>0</v>
      </c>
      <c r="F3">
        <v>1</v>
      </c>
      <c r="G3" s="246" t="s">
        <v>1679</v>
      </c>
      <c r="H3" s="246" t="s">
        <v>40</v>
      </c>
      <c r="I3">
        <v>1</v>
      </c>
    </row>
    <row r="4" spans="1:9" x14ac:dyDescent="0.25">
      <c r="A4" s="246" t="s">
        <v>1603</v>
      </c>
      <c r="B4">
        <v>0</v>
      </c>
      <c r="C4" t="s">
        <v>1604</v>
      </c>
      <c r="D4">
        <v>0</v>
      </c>
      <c r="E4" s="246" t="s">
        <v>1</v>
      </c>
      <c r="F4">
        <v>1</v>
      </c>
      <c r="G4" s="246" t="s">
        <v>1679</v>
      </c>
      <c r="H4" s="246" t="s">
        <v>40</v>
      </c>
      <c r="I4">
        <v>1</v>
      </c>
    </row>
    <row r="5" spans="1:9" x14ac:dyDescent="0.25">
      <c r="A5" s="246" t="s">
        <v>229</v>
      </c>
      <c r="B5">
        <v>0</v>
      </c>
      <c r="C5">
        <v>0</v>
      </c>
      <c r="D5">
        <v>0</v>
      </c>
      <c r="E5" s="246" t="s">
        <v>219</v>
      </c>
      <c r="F5">
        <v>4</v>
      </c>
      <c r="G5" s="246" t="s">
        <v>1679</v>
      </c>
      <c r="H5" s="246" t="s">
        <v>229</v>
      </c>
      <c r="I5">
        <v>1</v>
      </c>
    </row>
    <row r="6" spans="1:9" x14ac:dyDescent="0.25">
      <c r="A6" s="246" t="s">
        <v>229</v>
      </c>
      <c r="B6">
        <v>0</v>
      </c>
      <c r="C6">
        <v>0</v>
      </c>
      <c r="D6">
        <v>0</v>
      </c>
      <c r="E6" s="246" t="s">
        <v>1</v>
      </c>
      <c r="F6">
        <v>5</v>
      </c>
      <c r="G6" s="246" t="s">
        <v>1679</v>
      </c>
      <c r="H6" s="246" t="s">
        <v>229</v>
      </c>
      <c r="I6">
        <v>1</v>
      </c>
    </row>
    <row r="7" spans="1:9" x14ac:dyDescent="0.25">
      <c r="A7" s="246" t="s">
        <v>229</v>
      </c>
      <c r="B7">
        <v>0</v>
      </c>
      <c r="C7">
        <v>0</v>
      </c>
      <c r="D7">
        <v>0</v>
      </c>
      <c r="E7" s="246" t="s">
        <v>0</v>
      </c>
      <c r="F7">
        <v>2</v>
      </c>
      <c r="G7" s="246" t="s">
        <v>1679</v>
      </c>
      <c r="H7" s="246" t="s">
        <v>229</v>
      </c>
      <c r="I7">
        <v>1</v>
      </c>
    </row>
    <row r="8" spans="1:9" x14ac:dyDescent="0.25">
      <c r="A8" s="246" t="s">
        <v>229</v>
      </c>
      <c r="B8">
        <v>0</v>
      </c>
      <c r="C8">
        <v>0</v>
      </c>
      <c r="D8">
        <v>0</v>
      </c>
      <c r="E8" s="246" t="s">
        <v>3</v>
      </c>
      <c r="F8">
        <v>3</v>
      </c>
      <c r="G8" s="246" t="s">
        <v>1679</v>
      </c>
      <c r="H8" s="246" t="s">
        <v>229</v>
      </c>
      <c r="I8">
        <v>1</v>
      </c>
    </row>
    <row r="9" spans="1:9" x14ac:dyDescent="0.25">
      <c r="A9" s="246" t="s">
        <v>1660</v>
      </c>
      <c r="B9" t="s">
        <v>1661</v>
      </c>
      <c r="C9">
        <v>0</v>
      </c>
      <c r="D9">
        <v>0</v>
      </c>
      <c r="E9" s="246" t="s">
        <v>219</v>
      </c>
      <c r="F9">
        <v>1</v>
      </c>
      <c r="G9" s="246" t="s">
        <v>1679</v>
      </c>
      <c r="H9" s="246" t="s">
        <v>11</v>
      </c>
      <c r="I9">
        <v>1</v>
      </c>
    </row>
    <row r="10" spans="1:9" x14ac:dyDescent="0.25">
      <c r="A10" s="246" t="s">
        <v>1262</v>
      </c>
      <c r="B10">
        <v>0</v>
      </c>
      <c r="C10">
        <v>0</v>
      </c>
      <c r="D10">
        <v>0</v>
      </c>
      <c r="E10" s="246" t="s">
        <v>1</v>
      </c>
      <c r="F10">
        <v>1</v>
      </c>
      <c r="G10" s="246" t="s">
        <v>489</v>
      </c>
      <c r="H10" s="246" t="s">
        <v>11</v>
      </c>
      <c r="I10">
        <v>1</v>
      </c>
    </row>
    <row r="11" spans="1:9" x14ac:dyDescent="0.25">
      <c r="A11" s="246" t="s">
        <v>1646</v>
      </c>
      <c r="B11" t="s">
        <v>1647</v>
      </c>
      <c r="C11">
        <v>0</v>
      </c>
      <c r="D11">
        <v>0</v>
      </c>
      <c r="E11" s="246" t="s">
        <v>219</v>
      </c>
      <c r="F11">
        <v>1</v>
      </c>
      <c r="G11" s="246" t="s">
        <v>1679</v>
      </c>
      <c r="H11" s="246" t="s">
        <v>11</v>
      </c>
      <c r="I11">
        <v>1</v>
      </c>
    </row>
    <row r="12" spans="1:9" x14ac:dyDescent="0.25">
      <c r="A12" s="246" t="s">
        <v>1644</v>
      </c>
      <c r="B12" t="s">
        <v>1645</v>
      </c>
      <c r="C12">
        <v>0</v>
      </c>
      <c r="D12">
        <v>0</v>
      </c>
      <c r="E12" s="246" t="s">
        <v>219</v>
      </c>
      <c r="F12">
        <v>1</v>
      </c>
      <c r="G12" s="246" t="s">
        <v>1679</v>
      </c>
      <c r="H12" s="246" t="s">
        <v>11</v>
      </c>
      <c r="I12">
        <v>1</v>
      </c>
    </row>
    <row r="13" spans="1:9" x14ac:dyDescent="0.25">
      <c r="A13" s="246" t="s">
        <v>35</v>
      </c>
      <c r="B13">
        <v>0</v>
      </c>
      <c r="C13" t="s">
        <v>1386</v>
      </c>
      <c r="D13">
        <v>0</v>
      </c>
      <c r="E13" s="246" t="s">
        <v>1</v>
      </c>
      <c r="F13">
        <v>1</v>
      </c>
      <c r="G13" s="246" t="s">
        <v>1679</v>
      </c>
      <c r="H13" s="246" t="s">
        <v>823</v>
      </c>
      <c r="I13">
        <v>1</v>
      </c>
    </row>
    <row r="14" spans="1:9" x14ac:dyDescent="0.25">
      <c r="A14" s="246" t="s">
        <v>23</v>
      </c>
      <c r="B14">
        <v>0</v>
      </c>
      <c r="C14">
        <v>0</v>
      </c>
      <c r="D14">
        <v>0</v>
      </c>
      <c r="E14" s="246" t="s">
        <v>219</v>
      </c>
      <c r="F14">
        <v>2</v>
      </c>
      <c r="G14" s="246" t="s">
        <v>1679</v>
      </c>
      <c r="H14" s="246" t="s">
        <v>24</v>
      </c>
      <c r="I14">
        <v>1</v>
      </c>
    </row>
    <row r="15" spans="1:9" x14ac:dyDescent="0.25">
      <c r="A15" s="246" t="s">
        <v>345</v>
      </c>
      <c r="B15" t="s">
        <v>1216</v>
      </c>
      <c r="C15">
        <v>0</v>
      </c>
      <c r="D15">
        <v>0</v>
      </c>
      <c r="E15" s="246" t="s">
        <v>219</v>
      </c>
      <c r="F15">
        <v>1</v>
      </c>
      <c r="G15" s="246" t="s">
        <v>1679</v>
      </c>
      <c r="H15" s="246" t="s">
        <v>231</v>
      </c>
      <c r="I15">
        <v>1</v>
      </c>
    </row>
    <row r="16" spans="1:9" x14ac:dyDescent="0.25">
      <c r="A16" s="246" t="s">
        <v>1606</v>
      </c>
      <c r="B16">
        <v>0</v>
      </c>
      <c r="C16">
        <v>0</v>
      </c>
      <c r="D16">
        <v>0</v>
      </c>
      <c r="E16" s="246" t="s">
        <v>219</v>
      </c>
      <c r="F16">
        <v>1</v>
      </c>
      <c r="G16" s="246" t="s">
        <v>1679</v>
      </c>
      <c r="H16" s="246" t="s">
        <v>231</v>
      </c>
      <c r="I16">
        <v>1</v>
      </c>
    </row>
    <row r="17" spans="1:9" x14ac:dyDescent="0.25">
      <c r="A17" s="246" t="s">
        <v>381</v>
      </c>
      <c r="B17">
        <v>0</v>
      </c>
      <c r="C17">
        <v>0</v>
      </c>
      <c r="D17">
        <v>0</v>
      </c>
      <c r="E17" s="246" t="s">
        <v>1</v>
      </c>
      <c r="F17">
        <v>3</v>
      </c>
      <c r="G17" s="246" t="s">
        <v>1679</v>
      </c>
      <c r="H17" s="246" t="s">
        <v>231</v>
      </c>
      <c r="I17">
        <v>1</v>
      </c>
    </row>
    <row r="18" spans="1:9" x14ac:dyDescent="0.25">
      <c r="A18" s="246" t="s">
        <v>1607</v>
      </c>
      <c r="B18">
        <v>0</v>
      </c>
      <c r="C18">
        <v>0</v>
      </c>
      <c r="D18">
        <v>0</v>
      </c>
      <c r="E18" s="246" t="s">
        <v>219</v>
      </c>
      <c r="F18">
        <v>1</v>
      </c>
      <c r="G18" s="246" t="s">
        <v>1679</v>
      </c>
      <c r="H18" s="246" t="s">
        <v>231</v>
      </c>
      <c r="I18">
        <v>1</v>
      </c>
    </row>
    <row r="19" spans="1:9" x14ac:dyDescent="0.25">
      <c r="A19" s="246" t="s">
        <v>345</v>
      </c>
      <c r="B19" t="s">
        <v>1216</v>
      </c>
      <c r="C19">
        <v>0</v>
      </c>
      <c r="D19">
        <v>0</v>
      </c>
      <c r="E19" s="246" t="s">
        <v>0</v>
      </c>
      <c r="F19">
        <v>1</v>
      </c>
      <c r="G19" s="246" t="s">
        <v>1679</v>
      </c>
      <c r="H19" s="246" t="s">
        <v>231</v>
      </c>
      <c r="I19">
        <v>1</v>
      </c>
    </row>
    <row r="20" spans="1:9" x14ac:dyDescent="0.25">
      <c r="A20" s="246" t="s">
        <v>374</v>
      </c>
      <c r="B20" t="s">
        <v>1246</v>
      </c>
      <c r="C20" t="s">
        <v>1422</v>
      </c>
      <c r="D20" t="s">
        <v>402</v>
      </c>
      <c r="E20" s="246" t="s">
        <v>1</v>
      </c>
      <c r="F20">
        <v>1</v>
      </c>
      <c r="G20" s="246" t="s">
        <v>1679</v>
      </c>
      <c r="H20" s="246" t="s">
        <v>1025</v>
      </c>
      <c r="I20">
        <v>1</v>
      </c>
    </row>
    <row r="21" spans="1:9" x14ac:dyDescent="0.25">
      <c r="A21" s="246" t="s">
        <v>374</v>
      </c>
      <c r="B21" t="s">
        <v>1246</v>
      </c>
      <c r="C21" t="s">
        <v>1422</v>
      </c>
      <c r="D21" t="s">
        <v>402</v>
      </c>
      <c r="E21" s="246" t="s">
        <v>0</v>
      </c>
      <c r="F21">
        <v>1</v>
      </c>
      <c r="G21" s="246" t="s">
        <v>1679</v>
      </c>
      <c r="H21" s="246" t="s">
        <v>1025</v>
      </c>
      <c r="I21">
        <v>1</v>
      </c>
    </row>
    <row r="22" spans="1:9" x14ac:dyDescent="0.25">
      <c r="A22" s="246" t="s">
        <v>987</v>
      </c>
      <c r="B22" t="s">
        <v>1636</v>
      </c>
      <c r="C22" t="s">
        <v>1405</v>
      </c>
      <c r="D22" t="s">
        <v>398</v>
      </c>
      <c r="E22" s="246" t="s">
        <v>1</v>
      </c>
      <c r="F22">
        <v>1</v>
      </c>
      <c r="G22" s="246" t="s">
        <v>1679</v>
      </c>
      <c r="H22" s="246" t="s">
        <v>11</v>
      </c>
      <c r="I22">
        <v>1</v>
      </c>
    </row>
    <row r="23" spans="1:9" x14ac:dyDescent="0.25">
      <c r="A23" s="246" t="s">
        <v>987</v>
      </c>
      <c r="B23" t="s">
        <v>1636</v>
      </c>
      <c r="C23" t="s">
        <v>1405</v>
      </c>
      <c r="D23" t="s">
        <v>398</v>
      </c>
      <c r="E23" s="246" t="s">
        <v>219</v>
      </c>
      <c r="F23">
        <v>1</v>
      </c>
      <c r="G23" s="246" t="s">
        <v>1679</v>
      </c>
      <c r="H23" s="246" t="s">
        <v>11</v>
      </c>
      <c r="I23">
        <v>1</v>
      </c>
    </row>
    <row r="24" spans="1:9" x14ac:dyDescent="0.25">
      <c r="A24" s="246" t="s">
        <v>1461</v>
      </c>
      <c r="B24" t="s">
        <v>1180</v>
      </c>
      <c r="C24" t="s">
        <v>1276</v>
      </c>
      <c r="D24" t="s">
        <v>398</v>
      </c>
      <c r="E24" s="246" t="s">
        <v>3</v>
      </c>
      <c r="F24">
        <v>1</v>
      </c>
      <c r="G24" s="246" t="s">
        <v>1679</v>
      </c>
      <c r="H24" s="246" t="s">
        <v>823</v>
      </c>
      <c r="I24">
        <v>1</v>
      </c>
    </row>
    <row r="25" spans="1:9" x14ac:dyDescent="0.25">
      <c r="A25" s="246" t="s">
        <v>611</v>
      </c>
      <c r="B25" t="s">
        <v>1225</v>
      </c>
      <c r="C25" t="s">
        <v>1429</v>
      </c>
      <c r="D25" t="s">
        <v>390</v>
      </c>
      <c r="E25" s="246" t="s">
        <v>3</v>
      </c>
      <c r="F25">
        <v>1</v>
      </c>
      <c r="G25" s="246" t="s">
        <v>489</v>
      </c>
      <c r="H25" s="246" t="s">
        <v>49</v>
      </c>
      <c r="I25">
        <v>1</v>
      </c>
    </row>
    <row r="26" spans="1:9" x14ac:dyDescent="0.25">
      <c r="A26" s="246" t="s">
        <v>367</v>
      </c>
      <c r="B26" t="s">
        <v>1237</v>
      </c>
      <c r="C26" t="s">
        <v>1418</v>
      </c>
      <c r="D26" t="s">
        <v>392</v>
      </c>
      <c r="E26" s="246" t="s">
        <v>0</v>
      </c>
      <c r="F26">
        <v>1</v>
      </c>
      <c r="G26" s="246" t="s">
        <v>1679</v>
      </c>
      <c r="H26" s="246" t="s">
        <v>11</v>
      </c>
      <c r="I26">
        <v>1</v>
      </c>
    </row>
    <row r="27" spans="1:9" x14ac:dyDescent="0.25">
      <c r="A27" s="246" t="s">
        <v>350</v>
      </c>
      <c r="B27" t="s">
        <v>1221</v>
      </c>
      <c r="C27" t="s">
        <v>1366</v>
      </c>
      <c r="D27" t="s">
        <v>394</v>
      </c>
      <c r="E27" s="246" t="s">
        <v>0</v>
      </c>
      <c r="F27">
        <v>1</v>
      </c>
      <c r="G27" s="246" t="s">
        <v>1679</v>
      </c>
      <c r="H27" s="246" t="s">
        <v>45</v>
      </c>
      <c r="I27">
        <v>1</v>
      </c>
    </row>
    <row r="28" spans="1:9" x14ac:dyDescent="0.25">
      <c r="A28" s="246" t="s">
        <v>1623</v>
      </c>
      <c r="B28" t="s">
        <v>1597</v>
      </c>
      <c r="C28" t="s">
        <v>1631</v>
      </c>
      <c r="D28" t="s">
        <v>581</v>
      </c>
      <c r="E28" s="246" t="s">
        <v>1</v>
      </c>
      <c r="F28">
        <v>1</v>
      </c>
      <c r="G28" s="246" t="s">
        <v>1679</v>
      </c>
      <c r="H28" s="246" t="s">
        <v>1025</v>
      </c>
      <c r="I28">
        <v>1</v>
      </c>
    </row>
    <row r="29" spans="1:9" x14ac:dyDescent="0.25">
      <c r="A29" s="246" t="s">
        <v>1662</v>
      </c>
      <c r="B29" t="s">
        <v>1663</v>
      </c>
      <c r="C29" t="s">
        <v>1664</v>
      </c>
      <c r="D29" t="s">
        <v>581</v>
      </c>
      <c r="E29" s="246" t="s">
        <v>1</v>
      </c>
      <c r="F29">
        <v>1</v>
      </c>
      <c r="G29" s="246" t="s">
        <v>1679</v>
      </c>
      <c r="H29" s="246" t="s">
        <v>11</v>
      </c>
      <c r="I29">
        <v>1</v>
      </c>
    </row>
    <row r="30" spans="1:9" x14ac:dyDescent="0.25">
      <c r="A30" s="246" t="s">
        <v>1666</v>
      </c>
      <c r="B30" t="s">
        <v>1667</v>
      </c>
      <c r="C30" t="s">
        <v>1668</v>
      </c>
      <c r="D30" t="s">
        <v>581</v>
      </c>
      <c r="E30" s="246" t="s">
        <v>219</v>
      </c>
      <c r="F30">
        <v>1</v>
      </c>
      <c r="G30" s="246" t="s">
        <v>1679</v>
      </c>
      <c r="H30" s="246" t="s">
        <v>11</v>
      </c>
      <c r="I30">
        <v>1</v>
      </c>
    </row>
    <row r="31" spans="1:9" x14ac:dyDescent="0.25">
      <c r="A31" s="246" t="s">
        <v>1316</v>
      </c>
      <c r="B31" t="s">
        <v>717</v>
      </c>
      <c r="C31" t="s">
        <v>1394</v>
      </c>
      <c r="D31" t="s">
        <v>112</v>
      </c>
      <c r="E31" s="246" t="s">
        <v>3</v>
      </c>
      <c r="F31">
        <v>2</v>
      </c>
      <c r="G31" s="246" t="s">
        <v>1679</v>
      </c>
      <c r="H31" s="246" t="s">
        <v>34</v>
      </c>
      <c r="I31">
        <v>1</v>
      </c>
    </row>
    <row r="32" spans="1:9" x14ac:dyDescent="0.25">
      <c r="A32" s="246" t="s">
        <v>1622</v>
      </c>
      <c r="B32" t="s">
        <v>1617</v>
      </c>
      <c r="C32" t="s">
        <v>1632</v>
      </c>
      <c r="D32" t="s">
        <v>115</v>
      </c>
      <c r="E32" s="246" t="s">
        <v>1</v>
      </c>
      <c r="F32">
        <v>1</v>
      </c>
      <c r="G32" s="246" t="s">
        <v>1679</v>
      </c>
      <c r="H32" s="246" t="s">
        <v>1025</v>
      </c>
      <c r="I32">
        <v>1</v>
      </c>
    </row>
    <row r="33" spans="1:9" x14ac:dyDescent="0.25">
      <c r="A33" s="246" t="s">
        <v>1583</v>
      </c>
      <c r="B33">
        <v>0</v>
      </c>
      <c r="C33" t="s">
        <v>61</v>
      </c>
      <c r="D33" t="s">
        <v>40</v>
      </c>
      <c r="E33" s="246" t="s">
        <v>219</v>
      </c>
      <c r="F33">
        <v>3</v>
      </c>
      <c r="G33" s="246" t="s">
        <v>1679</v>
      </c>
      <c r="H33" s="246" t="s">
        <v>40</v>
      </c>
      <c r="I33">
        <v>1</v>
      </c>
    </row>
    <row r="34" spans="1:9" x14ac:dyDescent="0.25">
      <c r="A34" s="246" t="s">
        <v>732</v>
      </c>
      <c r="B34" t="s">
        <v>733</v>
      </c>
      <c r="C34">
        <v>0</v>
      </c>
      <c r="D34" t="s">
        <v>40</v>
      </c>
      <c r="E34" s="246" t="s">
        <v>1</v>
      </c>
      <c r="F34">
        <v>1</v>
      </c>
      <c r="G34" s="246" t="s">
        <v>1679</v>
      </c>
      <c r="H34" s="246" t="s">
        <v>732</v>
      </c>
      <c r="I34">
        <v>1</v>
      </c>
    </row>
    <row r="35" spans="1:9" x14ac:dyDescent="0.25">
      <c r="A35" s="246" t="s">
        <v>732</v>
      </c>
      <c r="B35" t="s">
        <v>733</v>
      </c>
      <c r="C35">
        <v>0</v>
      </c>
      <c r="D35" t="s">
        <v>40</v>
      </c>
      <c r="E35" s="246" t="s">
        <v>0</v>
      </c>
      <c r="F35">
        <v>1</v>
      </c>
      <c r="G35" s="246" t="s">
        <v>1679</v>
      </c>
      <c r="H35" s="246" t="s">
        <v>732</v>
      </c>
      <c r="I35">
        <v>1</v>
      </c>
    </row>
    <row r="36" spans="1:9" x14ac:dyDescent="0.25">
      <c r="A36" s="246" t="s">
        <v>732</v>
      </c>
      <c r="B36" t="s">
        <v>733</v>
      </c>
      <c r="C36">
        <v>0</v>
      </c>
      <c r="D36" t="s">
        <v>40</v>
      </c>
      <c r="E36" s="246" t="s">
        <v>219</v>
      </c>
      <c r="F36">
        <v>1</v>
      </c>
      <c r="G36" s="246" t="s">
        <v>1679</v>
      </c>
      <c r="H36" s="246" t="s">
        <v>732</v>
      </c>
      <c r="I36">
        <v>1</v>
      </c>
    </row>
    <row r="37" spans="1:9" x14ac:dyDescent="0.25">
      <c r="A37" s="246" t="s">
        <v>90</v>
      </c>
      <c r="B37" t="s">
        <v>806</v>
      </c>
      <c r="C37">
        <v>0</v>
      </c>
      <c r="D37" t="s">
        <v>40</v>
      </c>
      <c r="E37" s="246" t="s">
        <v>219</v>
      </c>
      <c r="F37">
        <v>2</v>
      </c>
      <c r="G37" s="246" t="s">
        <v>1679</v>
      </c>
      <c r="H37" s="246" t="s">
        <v>231</v>
      </c>
      <c r="I37">
        <v>1</v>
      </c>
    </row>
    <row r="38" spans="1:9" x14ac:dyDescent="0.25">
      <c r="A38" s="246" t="s">
        <v>1618</v>
      </c>
      <c r="B38" t="s">
        <v>1614</v>
      </c>
      <c r="C38" t="s">
        <v>1624</v>
      </c>
      <c r="D38" t="s">
        <v>125</v>
      </c>
      <c r="E38" s="246" t="s">
        <v>0</v>
      </c>
      <c r="F38">
        <v>1</v>
      </c>
      <c r="G38" s="246" t="s">
        <v>1679</v>
      </c>
      <c r="H38" s="246" t="s">
        <v>1025</v>
      </c>
      <c r="I38">
        <v>1</v>
      </c>
    </row>
    <row r="39" spans="1:9" x14ac:dyDescent="0.25">
      <c r="A39" s="246" t="s">
        <v>1618</v>
      </c>
      <c r="B39" t="s">
        <v>1614</v>
      </c>
      <c r="C39" t="s">
        <v>1624</v>
      </c>
      <c r="D39" t="s">
        <v>125</v>
      </c>
      <c r="E39" s="246" t="s">
        <v>1</v>
      </c>
      <c r="F39">
        <v>1</v>
      </c>
      <c r="G39" s="246" t="s">
        <v>1679</v>
      </c>
      <c r="H39" s="246" t="s">
        <v>1025</v>
      </c>
      <c r="I39">
        <v>1</v>
      </c>
    </row>
    <row r="40" spans="1:9" x14ac:dyDescent="0.25">
      <c r="A40" s="246" t="s">
        <v>1618</v>
      </c>
      <c r="B40" t="s">
        <v>1614</v>
      </c>
      <c r="C40" t="s">
        <v>1624</v>
      </c>
      <c r="D40" t="s">
        <v>125</v>
      </c>
      <c r="E40" s="246" t="s">
        <v>219</v>
      </c>
      <c r="F40">
        <v>2</v>
      </c>
      <c r="G40" s="246" t="s">
        <v>1679</v>
      </c>
      <c r="H40" s="246" t="s">
        <v>1025</v>
      </c>
      <c r="I40">
        <v>1</v>
      </c>
    </row>
    <row r="41" spans="1:9" x14ac:dyDescent="0.25">
      <c r="A41" s="246" t="s">
        <v>1620</v>
      </c>
      <c r="B41" t="s">
        <v>1615</v>
      </c>
      <c r="C41" t="s">
        <v>1628</v>
      </c>
      <c r="D41" t="s">
        <v>1378</v>
      </c>
      <c r="E41" s="246" t="s">
        <v>1</v>
      </c>
      <c r="F41">
        <v>1</v>
      </c>
      <c r="G41" s="246" t="s">
        <v>1679</v>
      </c>
      <c r="H41" s="246" t="s">
        <v>1025</v>
      </c>
      <c r="I41">
        <v>1</v>
      </c>
    </row>
    <row r="42" spans="1:9" x14ac:dyDescent="0.25">
      <c r="A42" s="246" t="s">
        <v>356</v>
      </c>
      <c r="B42" t="s">
        <v>700</v>
      </c>
      <c r="C42" t="s">
        <v>1377</v>
      </c>
      <c r="D42" t="s">
        <v>1378</v>
      </c>
      <c r="E42" s="246" t="s">
        <v>219</v>
      </c>
      <c r="F42">
        <v>1</v>
      </c>
      <c r="G42" s="246" t="s">
        <v>489</v>
      </c>
      <c r="H42" s="246" t="s">
        <v>231</v>
      </c>
      <c r="I42">
        <v>1</v>
      </c>
    </row>
    <row r="43" spans="1:9" x14ac:dyDescent="0.25">
      <c r="A43" s="246" t="s">
        <v>338</v>
      </c>
      <c r="B43" t="s">
        <v>1208</v>
      </c>
      <c r="C43" t="s">
        <v>1400</v>
      </c>
      <c r="D43" t="s">
        <v>1254</v>
      </c>
      <c r="E43" s="246" t="s">
        <v>1</v>
      </c>
      <c r="F43">
        <v>1</v>
      </c>
      <c r="G43" s="246" t="s">
        <v>1679</v>
      </c>
      <c r="H43" s="246" t="s">
        <v>11</v>
      </c>
      <c r="I43">
        <v>1</v>
      </c>
    </row>
    <row r="44" spans="1:9" x14ac:dyDescent="0.25">
      <c r="A44" s="246" t="s">
        <v>615</v>
      </c>
      <c r="B44" t="s">
        <v>1242</v>
      </c>
      <c r="C44" t="s">
        <v>1392</v>
      </c>
      <c r="D44" t="s">
        <v>1205</v>
      </c>
      <c r="E44" s="246" t="s">
        <v>0</v>
      </c>
      <c r="F44">
        <v>1</v>
      </c>
      <c r="G44" s="246" t="s">
        <v>489</v>
      </c>
      <c r="H44" s="246" t="s">
        <v>49</v>
      </c>
      <c r="I44">
        <v>1</v>
      </c>
    </row>
    <row r="45" spans="1:9" x14ac:dyDescent="0.25">
      <c r="A45" s="246" t="s">
        <v>615</v>
      </c>
      <c r="B45" t="s">
        <v>1242</v>
      </c>
      <c r="C45" t="s">
        <v>1392</v>
      </c>
      <c r="D45" t="s">
        <v>1205</v>
      </c>
      <c r="E45" s="246" t="s">
        <v>1</v>
      </c>
      <c r="F45">
        <v>1</v>
      </c>
      <c r="G45" s="246" t="s">
        <v>489</v>
      </c>
      <c r="H45" s="246" t="s">
        <v>49</v>
      </c>
      <c r="I45">
        <v>1</v>
      </c>
    </row>
    <row r="46" spans="1:9" x14ac:dyDescent="0.25">
      <c r="A46" s="246" t="s">
        <v>615</v>
      </c>
      <c r="B46" t="s">
        <v>1242</v>
      </c>
      <c r="C46" t="s">
        <v>1392</v>
      </c>
      <c r="D46" t="s">
        <v>1205</v>
      </c>
      <c r="E46" s="246" t="s">
        <v>3</v>
      </c>
      <c r="F46">
        <v>1</v>
      </c>
      <c r="G46" s="246" t="s">
        <v>489</v>
      </c>
      <c r="H46" s="246" t="s">
        <v>49</v>
      </c>
      <c r="I46">
        <v>1</v>
      </c>
    </row>
    <row r="47" spans="1:9" x14ac:dyDescent="0.25">
      <c r="A47" s="246" t="s">
        <v>615</v>
      </c>
      <c r="B47" t="s">
        <v>1242</v>
      </c>
      <c r="C47" t="s">
        <v>1392</v>
      </c>
      <c r="D47" t="s">
        <v>1205</v>
      </c>
      <c r="E47" s="246" t="s">
        <v>219</v>
      </c>
      <c r="F47">
        <v>1</v>
      </c>
      <c r="G47" s="246" t="s">
        <v>489</v>
      </c>
      <c r="H47" s="246" t="s">
        <v>49</v>
      </c>
      <c r="I47">
        <v>1</v>
      </c>
    </row>
    <row r="48" spans="1:9" x14ac:dyDescent="0.25">
      <c r="A48" s="246" t="s">
        <v>547</v>
      </c>
      <c r="B48" t="s">
        <v>521</v>
      </c>
      <c r="C48" t="s">
        <v>1317</v>
      </c>
      <c r="D48" t="s">
        <v>1205</v>
      </c>
      <c r="E48" s="246" t="s">
        <v>3</v>
      </c>
      <c r="F48">
        <v>1</v>
      </c>
      <c r="G48" s="246" t="s">
        <v>1679</v>
      </c>
      <c r="H48" s="246" t="s">
        <v>11</v>
      </c>
      <c r="I48">
        <v>1</v>
      </c>
    </row>
    <row r="49" spans="1:9" x14ac:dyDescent="0.25">
      <c r="A49" s="246" t="s">
        <v>1674</v>
      </c>
      <c r="B49" t="s">
        <v>1675</v>
      </c>
      <c r="C49" t="s">
        <v>1676</v>
      </c>
      <c r="D49" t="s">
        <v>459</v>
      </c>
      <c r="E49" s="246" t="s">
        <v>219</v>
      </c>
      <c r="F49">
        <v>1</v>
      </c>
      <c r="G49" s="246" t="s">
        <v>1679</v>
      </c>
      <c r="H49" s="246" t="s">
        <v>11</v>
      </c>
      <c r="I49">
        <v>1</v>
      </c>
    </row>
    <row r="50" spans="1:9" x14ac:dyDescent="0.25">
      <c r="A50" s="246" t="s">
        <v>1547</v>
      </c>
      <c r="B50" t="s">
        <v>1548</v>
      </c>
      <c r="C50" t="s">
        <v>1549</v>
      </c>
      <c r="D50" t="s">
        <v>1191</v>
      </c>
      <c r="E50" s="246" t="s">
        <v>219</v>
      </c>
      <c r="F50">
        <v>1</v>
      </c>
      <c r="G50" s="246" t="s">
        <v>1679</v>
      </c>
      <c r="H50" s="246" t="s">
        <v>823</v>
      </c>
      <c r="I50">
        <v>1</v>
      </c>
    </row>
    <row r="51" spans="1:9" x14ac:dyDescent="0.25">
      <c r="A51" s="246" t="s">
        <v>1496</v>
      </c>
      <c r="B51" t="s">
        <v>1497</v>
      </c>
      <c r="C51" t="s">
        <v>1505</v>
      </c>
      <c r="D51" t="s">
        <v>1450</v>
      </c>
      <c r="E51" s="246" t="s">
        <v>219</v>
      </c>
      <c r="F51">
        <v>1</v>
      </c>
      <c r="G51" s="246" t="s">
        <v>1679</v>
      </c>
      <c r="H51" s="246" t="s">
        <v>823</v>
      </c>
      <c r="I51">
        <v>1</v>
      </c>
    </row>
    <row r="52" spans="1:9" x14ac:dyDescent="0.25">
      <c r="A52" s="246" t="s">
        <v>1272</v>
      </c>
      <c r="B52" t="s">
        <v>1227</v>
      </c>
      <c r="C52" t="s">
        <v>1273</v>
      </c>
      <c r="D52" t="s">
        <v>1196</v>
      </c>
      <c r="E52" s="246" t="s">
        <v>1</v>
      </c>
      <c r="F52">
        <v>1</v>
      </c>
      <c r="G52" s="246" t="s">
        <v>489</v>
      </c>
      <c r="H52" s="246" t="s">
        <v>11</v>
      </c>
      <c r="I52">
        <v>1</v>
      </c>
    </row>
    <row r="53" spans="1:9" x14ac:dyDescent="0.25">
      <c r="A53" s="246" t="s">
        <v>25</v>
      </c>
      <c r="B53" t="s">
        <v>1222</v>
      </c>
      <c r="C53" t="s">
        <v>1411</v>
      </c>
      <c r="D53" t="s">
        <v>406</v>
      </c>
      <c r="E53" s="246" t="s">
        <v>219</v>
      </c>
      <c r="F53">
        <v>1</v>
      </c>
      <c r="G53" s="246" t="s">
        <v>1679</v>
      </c>
      <c r="H53" s="246" t="s">
        <v>1025</v>
      </c>
      <c r="I53">
        <v>1</v>
      </c>
    </row>
    <row r="54" spans="1:9" x14ac:dyDescent="0.25">
      <c r="A54" s="246" t="s">
        <v>25</v>
      </c>
      <c r="B54" t="s">
        <v>1222</v>
      </c>
      <c r="C54" t="s">
        <v>1411</v>
      </c>
      <c r="D54" t="s">
        <v>406</v>
      </c>
      <c r="E54" s="246" t="s">
        <v>219</v>
      </c>
      <c r="F54">
        <v>5</v>
      </c>
      <c r="G54" s="246" t="s">
        <v>1679</v>
      </c>
      <c r="H54" s="246" t="s">
        <v>823</v>
      </c>
      <c r="I54">
        <v>1</v>
      </c>
    </row>
    <row r="55" spans="1:9" x14ac:dyDescent="0.25">
      <c r="A55" s="246" t="s">
        <v>25</v>
      </c>
      <c r="B55" t="s">
        <v>1222</v>
      </c>
      <c r="C55" t="s">
        <v>1411</v>
      </c>
      <c r="D55" t="s">
        <v>406</v>
      </c>
      <c r="E55" s="246" t="s">
        <v>219</v>
      </c>
      <c r="F55">
        <v>1</v>
      </c>
      <c r="G55" s="246" t="s">
        <v>1679</v>
      </c>
      <c r="H55" s="246" t="s">
        <v>24</v>
      </c>
      <c r="I55">
        <v>1</v>
      </c>
    </row>
    <row r="56" spans="1:9" x14ac:dyDescent="0.25">
      <c r="A56" s="246" t="s">
        <v>1584</v>
      </c>
      <c r="B56" t="s">
        <v>1585</v>
      </c>
      <c r="C56" t="s">
        <v>1586</v>
      </c>
      <c r="D56" t="s">
        <v>651</v>
      </c>
      <c r="E56" s="246" t="s">
        <v>1</v>
      </c>
      <c r="F56">
        <v>1</v>
      </c>
      <c r="G56" s="246" t="s">
        <v>1679</v>
      </c>
      <c r="H56" s="246" t="s">
        <v>40</v>
      </c>
      <c r="I56">
        <v>1</v>
      </c>
    </row>
    <row r="57" spans="1:9" x14ac:dyDescent="0.25">
      <c r="A57" s="246" t="s">
        <v>1339</v>
      </c>
      <c r="B57" t="s">
        <v>828</v>
      </c>
      <c r="C57" t="s">
        <v>1406</v>
      </c>
      <c r="D57" t="s">
        <v>651</v>
      </c>
      <c r="E57" s="246" t="s">
        <v>219</v>
      </c>
      <c r="F57">
        <v>1</v>
      </c>
      <c r="G57" s="246" t="s">
        <v>1679</v>
      </c>
      <c r="H57" s="246" t="s">
        <v>11</v>
      </c>
      <c r="I57">
        <v>1</v>
      </c>
    </row>
    <row r="58" spans="1:9" x14ac:dyDescent="0.25">
      <c r="A58" s="246" t="s">
        <v>203</v>
      </c>
      <c r="B58" t="s">
        <v>1238</v>
      </c>
      <c r="C58" t="s">
        <v>41</v>
      </c>
      <c r="D58" t="s">
        <v>441</v>
      </c>
      <c r="E58" s="246" t="s">
        <v>1</v>
      </c>
      <c r="F58">
        <v>1</v>
      </c>
      <c r="G58" s="246" t="s">
        <v>1679</v>
      </c>
      <c r="H58" s="246" t="s">
        <v>40</v>
      </c>
      <c r="I58">
        <v>1</v>
      </c>
    </row>
    <row r="59" spans="1:9" x14ac:dyDescent="0.25">
      <c r="A59" s="246" t="s">
        <v>203</v>
      </c>
      <c r="B59" t="s">
        <v>1238</v>
      </c>
      <c r="C59" t="s">
        <v>41</v>
      </c>
      <c r="D59" t="s">
        <v>441</v>
      </c>
      <c r="E59" s="246" t="s">
        <v>0</v>
      </c>
      <c r="F59">
        <v>1</v>
      </c>
      <c r="G59" s="246" t="s">
        <v>1679</v>
      </c>
      <c r="H59" s="246" t="s">
        <v>40</v>
      </c>
      <c r="I59">
        <v>1</v>
      </c>
    </row>
    <row r="60" spans="1:9" x14ac:dyDescent="0.25">
      <c r="A60" s="246" t="s">
        <v>1278</v>
      </c>
      <c r="B60" t="s">
        <v>882</v>
      </c>
      <c r="C60" t="s">
        <v>1382</v>
      </c>
      <c r="D60" t="s">
        <v>441</v>
      </c>
      <c r="E60" s="246" t="s">
        <v>0</v>
      </c>
      <c r="F60">
        <v>1</v>
      </c>
      <c r="G60" s="246" t="s">
        <v>1679</v>
      </c>
      <c r="H60" s="246" t="s">
        <v>11</v>
      </c>
      <c r="I60">
        <v>1</v>
      </c>
    </row>
    <row r="61" spans="1:9" x14ac:dyDescent="0.25">
      <c r="A61" s="246" t="s">
        <v>11</v>
      </c>
      <c r="B61" t="s">
        <v>882</v>
      </c>
      <c r="C61" t="s">
        <v>1382</v>
      </c>
      <c r="D61" t="s">
        <v>441</v>
      </c>
      <c r="E61" s="246" t="s">
        <v>235</v>
      </c>
      <c r="F61">
        <v>1</v>
      </c>
      <c r="G61" s="246" t="s">
        <v>1679</v>
      </c>
      <c r="H61" s="246" t="s">
        <v>11</v>
      </c>
      <c r="I61">
        <v>1</v>
      </c>
    </row>
    <row r="62" spans="1:9" x14ac:dyDescent="0.25">
      <c r="A62" s="246" t="s">
        <v>1470</v>
      </c>
      <c r="B62" t="s">
        <v>1475</v>
      </c>
      <c r="C62" t="s">
        <v>1480</v>
      </c>
      <c r="D62" t="s">
        <v>441</v>
      </c>
      <c r="E62" s="246" t="s">
        <v>1</v>
      </c>
      <c r="F62">
        <v>1</v>
      </c>
      <c r="G62" s="246" t="s">
        <v>1679</v>
      </c>
      <c r="H62" s="246" t="s">
        <v>11</v>
      </c>
      <c r="I62">
        <v>1</v>
      </c>
    </row>
    <row r="63" spans="1:9" x14ac:dyDescent="0.25">
      <c r="A63" s="246" t="s">
        <v>343</v>
      </c>
      <c r="B63" t="s">
        <v>826</v>
      </c>
      <c r="C63" t="s">
        <v>1404</v>
      </c>
      <c r="D63" t="s">
        <v>441</v>
      </c>
      <c r="E63" s="246" t="s">
        <v>3</v>
      </c>
      <c r="F63">
        <v>1</v>
      </c>
      <c r="G63" s="246" t="s">
        <v>1679</v>
      </c>
      <c r="H63" s="246" t="s">
        <v>11</v>
      </c>
      <c r="I63">
        <v>1</v>
      </c>
    </row>
    <row r="64" spans="1:9" x14ac:dyDescent="0.25">
      <c r="A64" s="246" t="s">
        <v>1657</v>
      </c>
      <c r="B64" t="s">
        <v>1658</v>
      </c>
      <c r="C64" t="s">
        <v>1659</v>
      </c>
      <c r="D64" t="s">
        <v>441</v>
      </c>
      <c r="E64" s="246" t="s">
        <v>1</v>
      </c>
      <c r="F64">
        <v>1</v>
      </c>
      <c r="G64" s="246" t="s">
        <v>1679</v>
      </c>
      <c r="H64" s="246" t="s">
        <v>11</v>
      </c>
      <c r="I64">
        <v>1</v>
      </c>
    </row>
    <row r="65" spans="1:9" x14ac:dyDescent="0.25">
      <c r="A65" s="246" t="s">
        <v>11</v>
      </c>
      <c r="B65" t="s">
        <v>882</v>
      </c>
      <c r="C65" t="s">
        <v>1382</v>
      </c>
      <c r="D65" t="s">
        <v>441</v>
      </c>
      <c r="E65" s="246" t="s">
        <v>3</v>
      </c>
      <c r="F65">
        <v>1</v>
      </c>
      <c r="G65" s="246" t="s">
        <v>1679</v>
      </c>
      <c r="H65" s="246" t="s">
        <v>11</v>
      </c>
      <c r="I65">
        <v>1</v>
      </c>
    </row>
    <row r="66" spans="1:9" x14ac:dyDescent="0.25">
      <c r="A66" s="246" t="s">
        <v>513</v>
      </c>
      <c r="B66" t="s">
        <v>514</v>
      </c>
      <c r="C66" t="s">
        <v>1419</v>
      </c>
      <c r="D66" t="s">
        <v>1455</v>
      </c>
      <c r="E66" s="246" t="s">
        <v>219</v>
      </c>
      <c r="F66">
        <v>1</v>
      </c>
      <c r="G66" s="246" t="s">
        <v>1679</v>
      </c>
      <c r="H66" s="246" t="s">
        <v>11</v>
      </c>
      <c r="I66">
        <v>1</v>
      </c>
    </row>
    <row r="67" spans="1:9" x14ac:dyDescent="0.25">
      <c r="A67" s="246" t="s">
        <v>513</v>
      </c>
      <c r="B67" t="s">
        <v>514</v>
      </c>
      <c r="C67" t="s">
        <v>1419</v>
      </c>
      <c r="D67" t="s">
        <v>1455</v>
      </c>
      <c r="E67" s="246" t="s">
        <v>1</v>
      </c>
      <c r="F67">
        <v>1</v>
      </c>
      <c r="G67" s="246" t="s">
        <v>1679</v>
      </c>
      <c r="H67" s="246" t="s">
        <v>11</v>
      </c>
      <c r="I67">
        <v>1</v>
      </c>
    </row>
    <row r="68" spans="1:9" x14ac:dyDescent="0.25">
      <c r="A68" s="246" t="s">
        <v>13</v>
      </c>
      <c r="B68" t="s">
        <v>1491</v>
      </c>
      <c r="C68" t="s">
        <v>1492</v>
      </c>
      <c r="D68" t="s">
        <v>1197</v>
      </c>
      <c r="E68" s="246" t="s">
        <v>3</v>
      </c>
      <c r="F68">
        <v>1</v>
      </c>
      <c r="G68" s="246" t="s">
        <v>1679</v>
      </c>
      <c r="H68" s="246" t="s">
        <v>40</v>
      </c>
      <c r="I68">
        <v>1</v>
      </c>
    </row>
    <row r="69" spans="1:9" x14ac:dyDescent="0.25">
      <c r="A69" s="246" t="s">
        <v>13</v>
      </c>
      <c r="B69" t="s">
        <v>1491</v>
      </c>
      <c r="C69" t="s">
        <v>1492</v>
      </c>
      <c r="D69" t="s">
        <v>1197</v>
      </c>
      <c r="E69" s="246" t="s">
        <v>219</v>
      </c>
      <c r="F69">
        <v>1</v>
      </c>
      <c r="G69" s="246" t="s">
        <v>1679</v>
      </c>
      <c r="H69" s="246" t="s">
        <v>40</v>
      </c>
      <c r="I69">
        <v>1</v>
      </c>
    </row>
    <row r="70" spans="1:9" x14ac:dyDescent="0.25">
      <c r="A70" s="246" t="s">
        <v>1268</v>
      </c>
      <c r="B70" t="s">
        <v>1212</v>
      </c>
      <c r="C70" t="s">
        <v>1569</v>
      </c>
      <c r="D70" t="s">
        <v>1197</v>
      </c>
      <c r="E70" s="246" t="s">
        <v>219</v>
      </c>
      <c r="F70">
        <v>4</v>
      </c>
      <c r="G70" s="246" t="s">
        <v>1679</v>
      </c>
      <c r="H70" s="246" t="s">
        <v>823</v>
      </c>
      <c r="I70">
        <v>1</v>
      </c>
    </row>
    <row r="71" spans="1:9" x14ac:dyDescent="0.25">
      <c r="A71" s="246" t="s">
        <v>948</v>
      </c>
      <c r="B71" t="s">
        <v>951</v>
      </c>
      <c r="C71" t="s">
        <v>1444</v>
      </c>
      <c r="D71" t="s">
        <v>520</v>
      </c>
      <c r="E71" s="246" t="s">
        <v>1</v>
      </c>
      <c r="F71">
        <v>1</v>
      </c>
      <c r="G71" s="246" t="s">
        <v>1679</v>
      </c>
      <c r="H71" s="246" t="s">
        <v>45</v>
      </c>
      <c r="I71">
        <v>1</v>
      </c>
    </row>
    <row r="72" spans="1:9" x14ac:dyDescent="0.25">
      <c r="A72" s="246" t="s">
        <v>1670</v>
      </c>
      <c r="B72" t="s">
        <v>1671</v>
      </c>
      <c r="C72" t="s">
        <v>1672</v>
      </c>
      <c r="D72" t="s">
        <v>520</v>
      </c>
      <c r="E72" s="246" t="s">
        <v>219</v>
      </c>
      <c r="F72">
        <v>1</v>
      </c>
      <c r="G72" s="246" t="s">
        <v>1679</v>
      </c>
      <c r="H72" s="246" t="s">
        <v>11</v>
      </c>
      <c r="I72">
        <v>1</v>
      </c>
    </row>
    <row r="73" spans="1:9" x14ac:dyDescent="0.25">
      <c r="A73" s="246" t="s">
        <v>1619</v>
      </c>
      <c r="B73" t="s">
        <v>1613</v>
      </c>
      <c r="C73" t="s">
        <v>1626</v>
      </c>
      <c r="D73" t="s">
        <v>1202</v>
      </c>
      <c r="E73" s="246" t="s">
        <v>219</v>
      </c>
      <c r="F73">
        <v>1</v>
      </c>
      <c r="G73" s="246" t="s">
        <v>1679</v>
      </c>
      <c r="H73" s="246" t="s">
        <v>1025</v>
      </c>
      <c r="I73">
        <v>1</v>
      </c>
    </row>
    <row r="74" spans="1:9" x14ac:dyDescent="0.25">
      <c r="A74" s="246" t="s">
        <v>1642</v>
      </c>
      <c r="B74">
        <v>0</v>
      </c>
      <c r="C74" t="s">
        <v>1643</v>
      </c>
      <c r="D74" t="s">
        <v>1202</v>
      </c>
      <c r="E74" s="246" t="s">
        <v>1</v>
      </c>
      <c r="F74">
        <v>1</v>
      </c>
      <c r="G74" s="246" t="s">
        <v>1679</v>
      </c>
      <c r="H74" s="246" t="s">
        <v>11</v>
      </c>
      <c r="I74">
        <v>1</v>
      </c>
    </row>
    <row r="75" spans="1:9" x14ac:dyDescent="0.25">
      <c r="A75" s="246" t="s">
        <v>1199</v>
      </c>
      <c r="B75" t="s">
        <v>969</v>
      </c>
      <c r="C75" t="s">
        <v>1361</v>
      </c>
      <c r="D75" t="s">
        <v>52</v>
      </c>
      <c r="E75" s="246" t="s">
        <v>219</v>
      </c>
      <c r="F75">
        <v>1</v>
      </c>
      <c r="G75" s="246" t="s">
        <v>489</v>
      </c>
      <c r="H75" s="246" t="s">
        <v>11</v>
      </c>
      <c r="I75">
        <v>1</v>
      </c>
    </row>
    <row r="76" spans="1:9" x14ac:dyDescent="0.25">
      <c r="A76" s="246" t="s">
        <v>1423</v>
      </c>
      <c r="B76" t="s">
        <v>1638</v>
      </c>
      <c r="C76" t="s">
        <v>1447</v>
      </c>
      <c r="D76" t="s">
        <v>461</v>
      </c>
      <c r="E76" s="246" t="s">
        <v>3</v>
      </c>
      <c r="F76">
        <v>1</v>
      </c>
      <c r="G76" s="246" t="s">
        <v>1679</v>
      </c>
      <c r="H76" s="246" t="s">
        <v>11</v>
      </c>
      <c r="I76">
        <v>1</v>
      </c>
    </row>
    <row r="77" spans="1:9" x14ac:dyDescent="0.25">
      <c r="A77" s="246" t="s">
        <v>1555</v>
      </c>
      <c r="B77" t="s">
        <v>1556</v>
      </c>
      <c r="C77" t="s">
        <v>1640</v>
      </c>
      <c r="D77" t="s">
        <v>461</v>
      </c>
      <c r="E77" s="246" t="s">
        <v>219</v>
      </c>
      <c r="F77">
        <v>1</v>
      </c>
      <c r="G77" s="246" t="s">
        <v>1679</v>
      </c>
      <c r="H77" s="246" t="s">
        <v>11</v>
      </c>
      <c r="I77">
        <v>1</v>
      </c>
    </row>
    <row r="78" spans="1:9" x14ac:dyDescent="0.25">
      <c r="A78" s="246" t="s">
        <v>1648</v>
      </c>
      <c r="B78" t="s">
        <v>1649</v>
      </c>
      <c r="C78" t="s">
        <v>1650</v>
      </c>
      <c r="D78" t="s">
        <v>84</v>
      </c>
      <c r="E78" s="246" t="s">
        <v>219</v>
      </c>
      <c r="F78">
        <v>1</v>
      </c>
      <c r="G78" s="246" t="s">
        <v>1679</v>
      </c>
      <c r="H78" s="246" t="s">
        <v>11</v>
      </c>
      <c r="I78">
        <v>1</v>
      </c>
    </row>
    <row r="79" spans="1:9" x14ac:dyDescent="0.25">
      <c r="A79" s="246" t="s">
        <v>1653</v>
      </c>
      <c r="B79" t="s">
        <v>1654</v>
      </c>
      <c r="C79" t="s">
        <v>1655</v>
      </c>
      <c r="D79" t="s">
        <v>84</v>
      </c>
      <c r="E79" s="246" t="s">
        <v>219</v>
      </c>
      <c r="F79">
        <v>1</v>
      </c>
      <c r="G79" s="246" t="s">
        <v>1679</v>
      </c>
      <c r="H79" s="246" t="s">
        <v>11</v>
      </c>
      <c r="I79">
        <v>1</v>
      </c>
    </row>
    <row r="80" spans="1:9" x14ac:dyDescent="0.25">
      <c r="A80" s="246" t="s">
        <v>597</v>
      </c>
      <c r="B80" t="s">
        <v>703</v>
      </c>
      <c r="C80" t="s">
        <v>1456</v>
      </c>
      <c r="D80" t="s">
        <v>84</v>
      </c>
      <c r="E80" s="246" t="s">
        <v>219</v>
      </c>
      <c r="F80">
        <v>1</v>
      </c>
      <c r="G80" s="246" t="s">
        <v>1679</v>
      </c>
      <c r="H80" s="246" t="s">
        <v>231</v>
      </c>
      <c r="I80">
        <v>1</v>
      </c>
    </row>
    <row r="81" spans="1:9" x14ac:dyDescent="0.25">
      <c r="A81" s="246" t="s">
        <v>1621</v>
      </c>
      <c r="B81" t="s">
        <v>1616</v>
      </c>
      <c r="C81" t="s">
        <v>1630</v>
      </c>
      <c r="D81" t="s">
        <v>570</v>
      </c>
      <c r="E81" s="246" t="s">
        <v>0</v>
      </c>
      <c r="F81">
        <v>1</v>
      </c>
      <c r="G81" s="246" t="s">
        <v>1679</v>
      </c>
      <c r="H81" s="246" t="s">
        <v>1025</v>
      </c>
      <c r="I81">
        <v>1</v>
      </c>
    </row>
    <row r="82" spans="1:9" x14ac:dyDescent="0.25">
      <c r="A82" s="246" t="s">
        <v>1294</v>
      </c>
      <c r="B82">
        <v>0</v>
      </c>
      <c r="C82">
        <v>0</v>
      </c>
      <c r="D82" t="s">
        <v>1266</v>
      </c>
      <c r="E82" s="246" t="s">
        <v>219</v>
      </c>
      <c r="F82">
        <v>1</v>
      </c>
      <c r="G82" s="246" t="s">
        <v>1679</v>
      </c>
      <c r="H82" s="246" t="s">
        <v>1025</v>
      </c>
      <c r="I82">
        <v>1</v>
      </c>
    </row>
  </sheetData>
  <printOptions gridLines="1"/>
  <pageMargins left="0.51181102362204722" right="0.51181102362204722" top="0.78740157480314965" bottom="0.78740157480314965" header="0.31496062992125984" footer="0.31496062992125984"/>
  <pageSetup paperSize="9" scale="42" fitToHeight="0" orientation="portrait" horizontalDpi="0" verticalDpi="0"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7">
    <tabColor rgb="FFFF0000"/>
  </sheetPr>
  <dimension ref="C2:F16"/>
  <sheetViews>
    <sheetView showGridLines="0" showRowColHeaders="0" workbookViewId="0">
      <selection activeCell="D5" sqref="D5"/>
    </sheetView>
  </sheetViews>
  <sheetFormatPr defaultRowHeight="15" x14ac:dyDescent="0.25"/>
  <cols>
    <col min="2" max="2" width="3.5703125" customWidth="1"/>
    <col min="3" max="3" width="22.7109375" customWidth="1"/>
    <col min="4" max="4" width="45.140625" customWidth="1"/>
    <col min="6" max="6" width="10" customWidth="1"/>
  </cols>
  <sheetData>
    <row r="2" spans="3:6" ht="15.75" thickBot="1" x14ac:dyDescent="0.3"/>
    <row r="3" spans="3:6" ht="28.5" x14ac:dyDescent="0.45">
      <c r="C3" s="278" t="s">
        <v>221</v>
      </c>
      <c r="D3" s="279"/>
      <c r="E3" s="279"/>
      <c r="F3" s="280"/>
    </row>
    <row r="4" spans="3:6" ht="21" x14ac:dyDescent="0.35">
      <c r="C4" s="140"/>
      <c r="D4" s="141"/>
      <c r="E4" s="141"/>
      <c r="F4" s="142"/>
    </row>
    <row r="5" spans="3:6" ht="31.5" x14ac:dyDescent="0.35">
      <c r="C5" s="140"/>
      <c r="D5" s="143" t="s">
        <v>228</v>
      </c>
      <c r="E5" s="141"/>
      <c r="F5" s="142"/>
    </row>
    <row r="6" spans="3:6" ht="21" x14ac:dyDescent="0.35">
      <c r="C6" s="140"/>
      <c r="D6" s="141"/>
      <c r="E6" s="141"/>
      <c r="F6" s="142"/>
    </row>
    <row r="7" spans="3:6" x14ac:dyDescent="0.25">
      <c r="C7" s="109"/>
      <c r="D7" s="110" t="s">
        <v>223</v>
      </c>
      <c r="E7" s="111"/>
      <c r="F7" s="112"/>
    </row>
    <row r="8" spans="3:6" x14ac:dyDescent="0.25">
      <c r="C8" s="109"/>
      <c r="D8" s="113" t="s">
        <v>271</v>
      </c>
      <c r="E8" s="111"/>
      <c r="F8" s="112"/>
    </row>
    <row r="9" spans="3:6" x14ac:dyDescent="0.25">
      <c r="C9" s="109"/>
      <c r="D9" s="135" t="s">
        <v>222</v>
      </c>
      <c r="E9" s="111"/>
      <c r="F9" s="112"/>
    </row>
    <row r="10" spans="3:6" x14ac:dyDescent="0.25">
      <c r="C10" s="109"/>
      <c r="D10" s="110"/>
      <c r="E10" s="111"/>
      <c r="F10" s="112"/>
    </row>
    <row r="11" spans="3:6" x14ac:dyDescent="0.25">
      <c r="C11" s="109"/>
      <c r="D11" s="113"/>
      <c r="E11" s="111"/>
      <c r="F11" s="112"/>
    </row>
    <row r="12" spans="3:6" x14ac:dyDescent="0.25">
      <c r="C12" s="114"/>
      <c r="D12" s="122" t="s">
        <v>225</v>
      </c>
      <c r="E12" s="115"/>
      <c r="F12" s="116"/>
    </row>
    <row r="13" spans="3:6" x14ac:dyDescent="0.25">
      <c r="C13" s="114"/>
      <c r="D13" s="117" t="s">
        <v>224</v>
      </c>
      <c r="E13" s="115"/>
      <c r="F13" s="116"/>
    </row>
    <row r="14" spans="3:6" x14ac:dyDescent="0.25">
      <c r="C14" s="114"/>
      <c r="D14" s="117" t="s">
        <v>226</v>
      </c>
      <c r="E14" s="115"/>
      <c r="F14" s="116"/>
    </row>
    <row r="15" spans="3:6" x14ac:dyDescent="0.25">
      <c r="C15" s="114"/>
      <c r="D15" s="117" t="s">
        <v>227</v>
      </c>
      <c r="E15" s="115"/>
      <c r="F15" s="116"/>
    </row>
    <row r="16" spans="3:6" ht="15.75" thickBot="1" x14ac:dyDescent="0.3">
      <c r="C16" s="118"/>
      <c r="D16" s="119"/>
      <c r="E16" s="120"/>
      <c r="F16" s="121"/>
    </row>
  </sheetData>
  <mergeCells count="1">
    <mergeCell ref="C3:F3"/>
  </mergeCells>
  <hyperlinks>
    <hyperlink ref="D13" location="Clientes!A1" display="CADASTRAR CLIENTES"/>
    <hyperlink ref="D14" location="VENDEDORES!A1" display="VENDEDORES"/>
    <hyperlink ref="D15" location="'Pizzas -Produtos'!A1" display="PIZZAS-PRODUTOS"/>
    <hyperlink ref="D5" location="Lançamento!A1" display="LANÇAR VENDAS/PEDIDOS"/>
    <hyperlink ref="D9" location="RELATÓRIOS!A1" display="DEMONSTRATIVOS FINANCEIROS "/>
  </hyperlink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9"/>
  <dimension ref="A1:H30"/>
  <sheetViews>
    <sheetView topLeftCell="A13" workbookViewId="0">
      <selection activeCell="A30" sqref="A30"/>
    </sheetView>
  </sheetViews>
  <sheetFormatPr defaultRowHeight="15" x14ac:dyDescent="0.25"/>
  <cols>
    <col min="1" max="1" width="32" bestFit="1" customWidth="1"/>
    <col min="2" max="2" width="28" customWidth="1"/>
    <col min="3" max="3" width="22.42578125" customWidth="1"/>
    <col min="4" max="4" width="17" customWidth="1"/>
    <col min="5" max="5" width="13.85546875" bestFit="1" customWidth="1"/>
    <col min="6" max="6" width="18.5703125" customWidth="1"/>
    <col min="7" max="7" width="19.5703125" customWidth="1"/>
    <col min="8" max="8" width="13.85546875" customWidth="1"/>
  </cols>
  <sheetData>
    <row r="1" spans="1:8" x14ac:dyDescent="0.25">
      <c r="A1" s="100" t="s">
        <v>236</v>
      </c>
    </row>
    <row r="2" spans="1:8" x14ac:dyDescent="0.25">
      <c r="A2" s="97" t="s">
        <v>327</v>
      </c>
      <c r="B2" s="97" t="s">
        <v>197</v>
      </c>
      <c r="C2" s="97" t="s">
        <v>198</v>
      </c>
      <c r="D2" s="97" t="s">
        <v>199</v>
      </c>
      <c r="E2" s="97" t="s">
        <v>201</v>
      </c>
      <c r="F2" s="97" t="s">
        <v>259</v>
      </c>
      <c r="G2" s="97" t="s">
        <v>200</v>
      </c>
      <c r="H2" s="97" t="s">
        <v>233</v>
      </c>
    </row>
    <row r="3" spans="1:8" ht="15.75" x14ac:dyDescent="0.25">
      <c r="A3" s="98" t="s">
        <v>1612</v>
      </c>
    </row>
    <row r="4" spans="1:8" ht="15.75" x14ac:dyDescent="0.25">
      <c r="A4" s="99" t="s">
        <v>40</v>
      </c>
    </row>
    <row r="5" spans="1:8" ht="15.75" x14ac:dyDescent="0.25">
      <c r="A5" s="99" t="s">
        <v>1611</v>
      </c>
    </row>
    <row r="6" spans="1:8" ht="15.75" x14ac:dyDescent="0.25">
      <c r="A6" s="99" t="s">
        <v>45</v>
      </c>
    </row>
    <row r="7" spans="1:8" ht="15.75" x14ac:dyDescent="0.25">
      <c r="A7" s="249" t="s">
        <v>1934</v>
      </c>
      <c r="B7" s="248"/>
      <c r="C7" s="248"/>
      <c r="D7" s="248"/>
      <c r="E7" s="248"/>
      <c r="F7" s="248"/>
      <c r="G7" s="248"/>
      <c r="H7" s="248"/>
    </row>
    <row r="8" spans="1:8" ht="15.75" x14ac:dyDescent="0.25">
      <c r="A8" s="99" t="s">
        <v>732</v>
      </c>
    </row>
    <row r="9" spans="1:8" ht="15.75" x14ac:dyDescent="0.25">
      <c r="A9" s="99" t="s">
        <v>48</v>
      </c>
    </row>
    <row r="10" spans="1:8" ht="15.75" x14ac:dyDescent="0.25">
      <c r="A10" s="154" t="s">
        <v>584</v>
      </c>
    </row>
    <row r="11" spans="1:8" ht="15.75" x14ac:dyDescent="0.25">
      <c r="A11" s="99" t="s">
        <v>49</v>
      </c>
    </row>
    <row r="12" spans="1:8" ht="15.75" x14ac:dyDescent="0.25">
      <c r="A12" s="99" t="s">
        <v>1025</v>
      </c>
    </row>
    <row r="13" spans="1:8" ht="15.75" x14ac:dyDescent="0.25">
      <c r="A13" s="154" t="s">
        <v>411</v>
      </c>
    </row>
    <row r="14" spans="1:8" ht="15.75" x14ac:dyDescent="0.25">
      <c r="A14" s="99" t="s">
        <v>229</v>
      </c>
    </row>
    <row r="15" spans="1:8" ht="15.75" x14ac:dyDescent="0.25">
      <c r="A15" s="99" t="s">
        <v>60</v>
      </c>
      <c r="E15" s="155"/>
    </row>
    <row r="16" spans="1:8" ht="15.75" x14ac:dyDescent="0.25">
      <c r="A16" s="249" t="s">
        <v>1134</v>
      </c>
      <c r="B16" s="248"/>
      <c r="C16" s="248"/>
      <c r="D16" s="248"/>
      <c r="E16" s="248"/>
      <c r="F16" s="248"/>
      <c r="G16" s="248"/>
      <c r="H16" s="248"/>
    </row>
    <row r="17" spans="1:8" ht="15.75" x14ac:dyDescent="0.25">
      <c r="A17" s="99" t="s">
        <v>804</v>
      </c>
      <c r="C17" t="s">
        <v>803</v>
      </c>
      <c r="E17" s="248"/>
    </row>
    <row r="18" spans="1:8" ht="15.75" x14ac:dyDescent="0.25">
      <c r="A18" s="99" t="s">
        <v>11</v>
      </c>
    </row>
    <row r="19" spans="1:8" ht="15.75" x14ac:dyDescent="0.25">
      <c r="A19" s="154" t="s">
        <v>823</v>
      </c>
    </row>
    <row r="20" spans="1:8" ht="15.75" x14ac:dyDescent="0.25">
      <c r="A20" s="270" t="s">
        <v>476</v>
      </c>
    </row>
    <row r="21" spans="1:8" ht="15.75" x14ac:dyDescent="0.25">
      <c r="A21" s="177" t="s">
        <v>34</v>
      </c>
      <c r="B21" t="s">
        <v>326</v>
      </c>
      <c r="C21" s="126" t="s">
        <v>332</v>
      </c>
      <c r="E21" s="2" t="s">
        <v>325</v>
      </c>
      <c r="G21" t="s">
        <v>412</v>
      </c>
      <c r="H21" t="s">
        <v>413</v>
      </c>
    </row>
    <row r="22" spans="1:8" ht="15.75" x14ac:dyDescent="0.25">
      <c r="A22" s="177" t="s">
        <v>24</v>
      </c>
    </row>
    <row r="23" spans="1:8" ht="15.75" x14ac:dyDescent="0.25">
      <c r="A23" s="269" t="s">
        <v>1756</v>
      </c>
      <c r="B23" s="248"/>
      <c r="C23" s="248"/>
      <c r="D23" s="248"/>
      <c r="E23" s="248"/>
      <c r="F23" s="248"/>
      <c r="G23" s="248"/>
      <c r="H23" s="248"/>
    </row>
    <row r="24" spans="1:8" ht="15.75" x14ac:dyDescent="0.25">
      <c r="A24" s="268" t="s">
        <v>1192</v>
      </c>
    </row>
    <row r="25" spans="1:8" ht="15.75" x14ac:dyDescent="0.25">
      <c r="A25" s="236" t="s">
        <v>1609</v>
      </c>
    </row>
    <row r="26" spans="1:8" ht="15.75" x14ac:dyDescent="0.25">
      <c r="A26" s="250" t="s">
        <v>1610</v>
      </c>
    </row>
    <row r="27" spans="1:8" ht="15.75" x14ac:dyDescent="0.25">
      <c r="A27" s="250" t="s">
        <v>47</v>
      </c>
    </row>
    <row r="28" spans="1:8" ht="15.75" x14ac:dyDescent="0.25">
      <c r="A28" s="250" t="s">
        <v>231</v>
      </c>
    </row>
    <row r="29" spans="1:8" ht="15.75" x14ac:dyDescent="0.25">
      <c r="A29" s="247" t="s">
        <v>966</v>
      </c>
      <c r="B29" s="248"/>
      <c r="C29" s="248"/>
      <c r="D29" s="248"/>
      <c r="E29" s="248"/>
      <c r="F29" s="248"/>
      <c r="G29" s="248"/>
      <c r="H29" s="248"/>
    </row>
    <row r="30" spans="1:8" ht="15.75" x14ac:dyDescent="0.25">
      <c r="A30" s="275" t="s">
        <v>1953</v>
      </c>
      <c r="B30" s="248"/>
      <c r="C30" s="248"/>
      <c r="D30" s="248"/>
      <c r="E30" s="248"/>
      <c r="F30" s="248"/>
      <c r="G30" s="248"/>
      <c r="H30" s="248"/>
    </row>
  </sheetData>
  <hyperlinks>
    <hyperlink ref="A1" location="PRINCIPAL!A1" display="Menu Principal"/>
  </hyperlinks>
  <pageMargins left="0.511811024" right="0.511811024" top="0.78740157499999996" bottom="0.78740157499999996" header="0.31496062000000002" footer="0.31496062000000002"/>
  <pageSetup paperSize="9" orientation="portrait"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6"/>
  <dimension ref="A1:N7"/>
  <sheetViews>
    <sheetView workbookViewId="0">
      <selection activeCell="C3" sqref="C3:C6"/>
    </sheetView>
  </sheetViews>
  <sheetFormatPr defaultRowHeight="15" x14ac:dyDescent="0.25"/>
  <cols>
    <col min="1" max="1" width="14.42578125" bestFit="1" customWidth="1"/>
    <col min="2" max="2" width="14.140625" customWidth="1"/>
    <col min="3" max="3" width="11.85546875" customWidth="1"/>
    <col min="4" max="4" width="9.7109375" customWidth="1"/>
    <col min="7" max="7" width="12.7109375" bestFit="1" customWidth="1"/>
    <col min="8" max="8" width="15.7109375" customWidth="1"/>
    <col min="9" max="9" width="14" customWidth="1"/>
    <col min="10" max="10" width="16.5703125" customWidth="1"/>
    <col min="11" max="12" width="16.85546875" customWidth="1"/>
    <col min="13" max="13" width="9.85546875" customWidth="1"/>
  </cols>
  <sheetData>
    <row r="1" spans="1:14" x14ac:dyDescent="0.25">
      <c r="A1" s="100" t="s">
        <v>236</v>
      </c>
      <c r="B1" s="129" t="s">
        <v>217</v>
      </c>
      <c r="C1" s="130" t="s">
        <v>218</v>
      </c>
      <c r="D1" s="131" t="s">
        <v>239</v>
      </c>
      <c r="G1" s="156" t="s">
        <v>464</v>
      </c>
      <c r="H1" s="156" t="s">
        <v>465</v>
      </c>
      <c r="I1" s="156" t="s">
        <v>466</v>
      </c>
      <c r="J1" s="156" t="s">
        <v>467</v>
      </c>
      <c r="K1" s="156" t="s">
        <v>468</v>
      </c>
      <c r="L1" s="156" t="s">
        <v>470</v>
      </c>
      <c r="M1" s="156" t="s">
        <v>469</v>
      </c>
      <c r="N1" s="156" t="s">
        <v>1490</v>
      </c>
    </row>
    <row r="2" spans="1:14" x14ac:dyDescent="0.25">
      <c r="B2" s="127" t="s">
        <v>0</v>
      </c>
      <c r="C2" s="123">
        <v>35</v>
      </c>
      <c r="D2" s="128" t="s">
        <v>266</v>
      </c>
      <c r="G2" s="144" t="s">
        <v>0</v>
      </c>
      <c r="H2">
        <v>0</v>
      </c>
      <c r="I2">
        <v>0.125</v>
      </c>
      <c r="J2">
        <v>0</v>
      </c>
      <c r="K2">
        <v>0.125</v>
      </c>
      <c r="L2">
        <v>2.5000000000000001E-2</v>
      </c>
      <c r="M2">
        <v>0</v>
      </c>
      <c r="N2">
        <v>1</v>
      </c>
    </row>
    <row r="3" spans="1:14" x14ac:dyDescent="0.25">
      <c r="B3" s="127" t="s">
        <v>1</v>
      </c>
      <c r="C3" s="123">
        <v>35</v>
      </c>
      <c r="D3" s="128" t="s">
        <v>267</v>
      </c>
      <c r="G3" s="144" t="s">
        <v>1</v>
      </c>
      <c r="H3">
        <v>0</v>
      </c>
      <c r="I3">
        <v>0.125</v>
      </c>
      <c r="J3">
        <v>0.125</v>
      </c>
      <c r="K3">
        <v>0</v>
      </c>
      <c r="L3">
        <v>2.5000000000000001E-2</v>
      </c>
      <c r="M3">
        <v>0.05</v>
      </c>
      <c r="N3">
        <v>2</v>
      </c>
    </row>
    <row r="4" spans="1:14" x14ac:dyDescent="0.25">
      <c r="B4" s="127" t="s">
        <v>219</v>
      </c>
      <c r="C4" s="123">
        <v>35</v>
      </c>
      <c r="D4" s="128" t="s">
        <v>268</v>
      </c>
      <c r="G4" s="144" t="s">
        <v>219</v>
      </c>
      <c r="H4">
        <v>0.2</v>
      </c>
      <c r="I4">
        <v>0.2</v>
      </c>
      <c r="J4">
        <v>0</v>
      </c>
      <c r="K4">
        <v>0</v>
      </c>
      <c r="L4">
        <v>2.5000000000000001E-2</v>
      </c>
      <c r="M4">
        <v>0.05</v>
      </c>
      <c r="N4">
        <v>3</v>
      </c>
    </row>
    <row r="5" spans="1:14" x14ac:dyDescent="0.25">
      <c r="B5" s="127" t="s">
        <v>3</v>
      </c>
      <c r="C5" s="123">
        <v>35</v>
      </c>
      <c r="D5" s="128" t="s">
        <v>269</v>
      </c>
      <c r="G5" s="144" t="s">
        <v>3</v>
      </c>
      <c r="H5">
        <v>0</v>
      </c>
      <c r="I5">
        <v>0.25</v>
      </c>
      <c r="J5">
        <v>0</v>
      </c>
      <c r="K5">
        <v>0</v>
      </c>
      <c r="L5">
        <v>2.5000000000000001E-2</v>
      </c>
      <c r="M5">
        <v>0</v>
      </c>
      <c r="N5">
        <v>4</v>
      </c>
    </row>
    <row r="6" spans="1:14" x14ac:dyDescent="0.25">
      <c r="B6" s="132" t="s">
        <v>235</v>
      </c>
      <c r="C6" s="123">
        <v>35</v>
      </c>
      <c r="D6" s="133" t="s">
        <v>270</v>
      </c>
    </row>
    <row r="7" spans="1:14" x14ac:dyDescent="0.25">
      <c r="B7" s="132" t="s">
        <v>307</v>
      </c>
      <c r="C7" s="136">
        <v>0</v>
      </c>
      <c r="D7" s="133" t="s">
        <v>328</v>
      </c>
    </row>
  </sheetData>
  <hyperlinks>
    <hyperlink ref="A1" location="PRINCIPAL!A1" display="Menu Principal"/>
  </hyperlinks>
  <pageMargins left="0.511811024" right="0.511811024" top="0.78740157499999996" bottom="0.78740157499999996" header="0.31496062000000002" footer="0.31496062000000002"/>
  <pageSetup paperSize="9" orientation="portrait" r:id="rId1"/>
  <tableParts count="2">
    <tablePart r:id="rId2"/>
    <tablePart r:id="rId3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4"/>
  <dimension ref="A1:E49"/>
  <sheetViews>
    <sheetView workbookViewId="0">
      <selection activeCell="C3" sqref="C3"/>
    </sheetView>
  </sheetViews>
  <sheetFormatPr defaultRowHeight="15" x14ac:dyDescent="0.25"/>
  <cols>
    <col min="1" max="1" width="25.28515625" customWidth="1"/>
    <col min="2" max="2" width="6.7109375" customWidth="1"/>
    <col min="3" max="3" width="10.85546875" customWidth="1"/>
    <col min="4" max="4" width="5.42578125" customWidth="1"/>
    <col min="5" max="5" width="10.42578125" customWidth="1"/>
    <col min="6" max="6" width="4.85546875" customWidth="1"/>
    <col min="7" max="7" width="9.85546875" customWidth="1"/>
    <col min="8" max="8" width="9.5703125" customWidth="1"/>
    <col min="9" max="9" width="18.28515625" bestFit="1" customWidth="1"/>
    <col min="10" max="10" width="8.42578125" customWidth="1"/>
    <col min="11" max="11" width="11.42578125" customWidth="1"/>
    <col min="12" max="12" width="6.28515625" customWidth="1"/>
    <col min="13" max="13" width="7.28515625" customWidth="1"/>
    <col min="14" max="14" width="12.85546875" customWidth="1"/>
    <col min="15" max="15" width="30.28515625" customWidth="1"/>
    <col min="16" max="16" width="5.28515625" customWidth="1"/>
    <col min="17" max="17" width="12.140625" bestFit="1" customWidth="1"/>
    <col min="18" max="18" width="6.5703125" customWidth="1"/>
    <col min="19" max="19" width="10.7109375" customWidth="1"/>
    <col min="20" max="20" width="11.140625" bestFit="1" customWidth="1"/>
    <col min="21" max="21" width="16.28515625" bestFit="1" customWidth="1"/>
    <col min="22" max="22" width="7" bestFit="1" customWidth="1"/>
    <col min="23" max="23" width="16.85546875" bestFit="1" customWidth="1"/>
    <col min="24" max="24" width="7.28515625" bestFit="1" customWidth="1"/>
    <col min="25" max="25" width="10.140625" bestFit="1" customWidth="1"/>
    <col min="26" max="26" width="12.85546875" bestFit="1" customWidth="1"/>
    <col min="27" max="27" width="22.85546875" bestFit="1" customWidth="1"/>
    <col min="28" max="28" width="18.140625" bestFit="1" customWidth="1"/>
    <col min="29" max="29" width="15.42578125" bestFit="1" customWidth="1"/>
    <col min="30" max="30" width="19.7109375" bestFit="1" customWidth="1"/>
    <col min="31" max="31" width="11.140625" bestFit="1" customWidth="1"/>
    <col min="32" max="32" width="15.28515625" bestFit="1" customWidth="1"/>
    <col min="33" max="33" width="17.85546875" bestFit="1" customWidth="1"/>
    <col min="34" max="34" width="7" bestFit="1" customWidth="1"/>
    <col min="35" max="35" width="10.7109375" bestFit="1" customWidth="1"/>
    <col min="36" max="36" width="5.28515625" customWidth="1"/>
    <col min="37" max="37" width="12.85546875" bestFit="1" customWidth="1"/>
    <col min="38" max="38" width="18.28515625" customWidth="1"/>
    <col min="39" max="39" width="30.28515625" bestFit="1" customWidth="1"/>
    <col min="40" max="40" width="9.5703125" customWidth="1"/>
    <col min="41" max="41" width="11.42578125" customWidth="1"/>
    <col min="42" max="42" width="7" customWidth="1"/>
    <col min="43" max="43" width="12" bestFit="1" customWidth="1"/>
    <col min="44" max="44" width="10.7109375" customWidth="1"/>
    <col min="45" max="45" width="12" bestFit="1" customWidth="1"/>
    <col min="46" max="46" width="10.7109375" bestFit="1" customWidth="1"/>
  </cols>
  <sheetData>
    <row r="1" spans="1:5" x14ac:dyDescent="0.25">
      <c r="A1" s="174" t="s">
        <v>491</v>
      </c>
    </row>
    <row r="2" spans="1:5" x14ac:dyDescent="0.25">
      <c r="A2" s="174" t="s">
        <v>490</v>
      </c>
      <c r="B2" s="174" t="s">
        <v>492</v>
      </c>
      <c r="C2" s="176">
        <v>43257</v>
      </c>
      <c r="D2" s="174" t="s">
        <v>493</v>
      </c>
      <c r="E2" s="176">
        <v>43260</v>
      </c>
    </row>
    <row r="3" spans="1:5" x14ac:dyDescent="0.25">
      <c r="A3" s="174" t="s">
        <v>494</v>
      </c>
      <c r="C3" s="174">
        <f>SUMIFS(PEDIDOS[Qtde Produto],PEDIDOS[Data do Pedido],"&gt;="&amp;C2,PEDIDOS[Data do Pedido],"&lt;="&amp;E2)</f>
        <v>167</v>
      </c>
    </row>
    <row r="5" spans="1:5" ht="16.5" x14ac:dyDescent="0.3">
      <c r="C5" s="175"/>
    </row>
    <row r="9" spans="1:5" x14ac:dyDescent="0.25">
      <c r="A9" s="125"/>
    </row>
    <row r="10" spans="1:5" x14ac:dyDescent="0.25">
      <c r="A10" s="125"/>
    </row>
    <row r="11" spans="1:5" x14ac:dyDescent="0.25">
      <c r="A11" s="125"/>
    </row>
    <row r="12" spans="1:5" x14ac:dyDescent="0.25">
      <c r="A12" s="125"/>
    </row>
    <row r="13" spans="1:5" x14ac:dyDescent="0.25">
      <c r="A13" s="125"/>
    </row>
    <row r="14" spans="1:5" x14ac:dyDescent="0.25">
      <c r="A14" s="125"/>
    </row>
    <row r="15" spans="1:5" x14ac:dyDescent="0.25">
      <c r="A15" s="125"/>
    </row>
    <row r="16" spans="1:5" x14ac:dyDescent="0.25">
      <c r="A16" s="125"/>
    </row>
    <row r="17" spans="1:1" x14ac:dyDescent="0.25">
      <c r="A17" s="125"/>
    </row>
    <row r="18" spans="1:1" x14ac:dyDescent="0.25">
      <c r="A18" s="125"/>
    </row>
    <row r="19" spans="1:1" x14ac:dyDescent="0.25">
      <c r="A19" s="125"/>
    </row>
    <row r="20" spans="1:1" x14ac:dyDescent="0.25">
      <c r="A20" s="125"/>
    </row>
    <row r="21" spans="1:1" x14ac:dyDescent="0.25">
      <c r="A21" s="125"/>
    </row>
    <row r="22" spans="1:1" x14ac:dyDescent="0.25">
      <c r="A22" s="125"/>
    </row>
    <row r="23" spans="1:1" x14ac:dyDescent="0.25">
      <c r="A23" s="125"/>
    </row>
    <row r="24" spans="1:1" x14ac:dyDescent="0.25">
      <c r="A24" s="125"/>
    </row>
    <row r="25" spans="1:1" x14ac:dyDescent="0.25">
      <c r="A25" s="125"/>
    </row>
    <row r="26" spans="1:1" x14ac:dyDescent="0.25">
      <c r="A26" s="125"/>
    </row>
    <row r="27" spans="1:1" x14ac:dyDescent="0.25">
      <c r="A27" s="125"/>
    </row>
    <row r="28" spans="1:1" x14ac:dyDescent="0.25">
      <c r="A28" s="125"/>
    </row>
    <row r="29" spans="1:1" x14ac:dyDescent="0.25">
      <c r="A29" s="125"/>
    </row>
    <row r="30" spans="1:1" x14ac:dyDescent="0.25">
      <c r="A30" s="125"/>
    </row>
    <row r="31" spans="1:1" x14ac:dyDescent="0.25">
      <c r="A31" s="125"/>
    </row>
    <row r="32" spans="1:1" x14ac:dyDescent="0.25">
      <c r="A32" s="125"/>
    </row>
    <row r="33" spans="1:1" x14ac:dyDescent="0.25">
      <c r="A33" s="125"/>
    </row>
    <row r="34" spans="1:1" x14ac:dyDescent="0.25">
      <c r="A34" s="125"/>
    </row>
    <row r="35" spans="1:1" x14ac:dyDescent="0.25">
      <c r="A35" s="125"/>
    </row>
    <row r="36" spans="1:1" x14ac:dyDescent="0.25">
      <c r="A36" s="125"/>
    </row>
    <row r="37" spans="1:1" x14ac:dyDescent="0.25">
      <c r="A37" s="125"/>
    </row>
    <row r="38" spans="1:1" x14ac:dyDescent="0.25">
      <c r="A38" s="125"/>
    </row>
    <row r="39" spans="1:1" x14ac:dyDescent="0.25">
      <c r="A39" s="125"/>
    </row>
    <row r="40" spans="1:1" x14ac:dyDescent="0.25">
      <c r="A40" s="125"/>
    </row>
    <row r="41" spans="1:1" x14ac:dyDescent="0.25">
      <c r="A41" s="125"/>
    </row>
    <row r="42" spans="1:1" x14ac:dyDescent="0.25">
      <c r="A42" s="125"/>
    </row>
    <row r="43" spans="1:1" x14ac:dyDescent="0.25">
      <c r="A43" s="125"/>
    </row>
    <row r="44" spans="1:1" x14ac:dyDescent="0.25">
      <c r="A44" s="125"/>
    </row>
    <row r="45" spans="1:1" x14ac:dyDescent="0.25">
      <c r="A45" s="125"/>
    </row>
    <row r="46" spans="1:1" x14ac:dyDescent="0.25">
      <c r="A46" s="125"/>
    </row>
    <row r="47" spans="1:1" x14ac:dyDescent="0.25">
      <c r="A47" s="125"/>
    </row>
    <row r="48" spans="1:1" x14ac:dyDescent="0.25">
      <c r="A48" s="125"/>
    </row>
    <row r="49" spans="1:1" x14ac:dyDescent="0.25">
      <c r="A49" s="125"/>
    </row>
  </sheetData>
  <dataValidations count="1">
    <dataValidation type="date" allowBlank="1" showInputMessage="1" showErrorMessage="1" sqref="C2 E2">
      <formula1>42736</formula1>
      <formula2>43831</formula2>
    </dataValidation>
  </dataValidations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0"/>
  <dimension ref="B1:I4"/>
  <sheetViews>
    <sheetView workbookViewId="0">
      <selection activeCell="I4" sqref="I4"/>
    </sheetView>
  </sheetViews>
  <sheetFormatPr defaultRowHeight="15" x14ac:dyDescent="0.25"/>
  <sheetData>
    <row r="1" spans="2:9" x14ac:dyDescent="0.25">
      <c r="B1">
        <v>8</v>
      </c>
    </row>
    <row r="2" spans="2:9" x14ac:dyDescent="0.25">
      <c r="B2">
        <v>5</v>
      </c>
    </row>
    <row r="4" spans="2:9" ht="23.25" x14ac:dyDescent="0.35">
      <c r="B4" s="150">
        <f>+B1+B2</f>
        <v>13</v>
      </c>
      <c r="D4">
        <v>13</v>
      </c>
      <c r="I4" s="150">
        <f>+I1+I2</f>
        <v>0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39"/>
  <sheetViews>
    <sheetView view="pageBreakPreview" zoomScale="106" zoomScaleNormal="110" zoomScaleSheetLayoutView="106" workbookViewId="0">
      <selection activeCell="H126" sqref="H126"/>
    </sheetView>
  </sheetViews>
  <sheetFormatPr defaultColWidth="9.140625" defaultRowHeight="12.75" x14ac:dyDescent="0.25"/>
  <cols>
    <col min="1" max="1" width="24.5703125" style="46" customWidth="1"/>
    <col min="2" max="2" width="9" style="46" bestFit="1" customWidth="1"/>
    <col min="3" max="3" width="10" style="46" customWidth="1"/>
    <col min="4" max="4" width="7.42578125" style="46" bestFit="1" customWidth="1"/>
    <col min="5" max="5" width="10" style="46" customWidth="1"/>
    <col min="6" max="6" width="7.28515625" style="46" customWidth="1"/>
    <col min="7" max="7" width="4.7109375" style="46" bestFit="1" customWidth="1"/>
    <col min="8" max="8" width="39.85546875" style="46" customWidth="1"/>
    <col min="9" max="9" width="17.42578125" style="46" customWidth="1"/>
    <col min="10" max="10" width="8.85546875" style="46" customWidth="1"/>
    <col min="11" max="16384" width="9.140625" style="46"/>
  </cols>
  <sheetData>
    <row r="1" spans="1:14" s="2" customFormat="1" ht="13.5" thickBot="1" x14ac:dyDescent="0.3">
      <c r="A1" s="2" t="s">
        <v>49</v>
      </c>
      <c r="B1" s="13" t="str">
        <f>$M$1</f>
        <v>JANEIRO</v>
      </c>
      <c r="C1" s="4">
        <f>$N$1</f>
        <v>2018</v>
      </c>
      <c r="D1" s="3"/>
      <c r="E1" s="3"/>
      <c r="F1" s="3"/>
      <c r="G1" s="3"/>
      <c r="I1" s="4"/>
      <c r="J1" s="5"/>
      <c r="K1" s="6"/>
      <c r="M1" s="57" t="s">
        <v>64</v>
      </c>
      <c r="N1" s="2">
        <v>2018</v>
      </c>
    </row>
    <row r="2" spans="1:14" s="2" customFormat="1" ht="13.5" thickBot="1" x14ac:dyDescent="0.3">
      <c r="A2" s="20" t="s">
        <v>14</v>
      </c>
      <c r="B2" s="21" t="s">
        <v>0</v>
      </c>
      <c r="C2" s="21" t="s">
        <v>1</v>
      </c>
      <c r="D2" s="21" t="s">
        <v>2</v>
      </c>
      <c r="E2" s="21" t="s">
        <v>3</v>
      </c>
      <c r="F2" s="21" t="s">
        <v>4</v>
      </c>
      <c r="G2" s="22" t="s">
        <v>5</v>
      </c>
      <c r="H2" s="21" t="s">
        <v>6</v>
      </c>
      <c r="I2" s="23" t="s">
        <v>8</v>
      </c>
      <c r="J2" s="24" t="s">
        <v>9</v>
      </c>
      <c r="K2" s="6">
        <f>SUM(F8,F15,F21,F26,F31,F36,F41,F50,F64,F79,F84,F93,F98,F103,F110,F139)</f>
        <v>121</v>
      </c>
      <c r="L2" s="6"/>
    </row>
    <row r="3" spans="1:14" x14ac:dyDescent="0.25">
      <c r="A3" s="60" t="s">
        <v>65</v>
      </c>
      <c r="B3" s="61"/>
      <c r="C3" s="61"/>
      <c r="D3" s="61"/>
      <c r="E3" s="61">
        <v>2</v>
      </c>
      <c r="F3" s="61">
        <v>2</v>
      </c>
      <c r="G3" s="62"/>
      <c r="H3" s="76" t="s">
        <v>66</v>
      </c>
      <c r="I3" s="63" t="s">
        <v>67</v>
      </c>
      <c r="J3" s="64" t="s">
        <v>68</v>
      </c>
      <c r="K3" s="45"/>
    </row>
    <row r="4" spans="1:14" x14ac:dyDescent="0.25">
      <c r="A4" s="65" t="s">
        <v>69</v>
      </c>
      <c r="B4" s="58"/>
      <c r="C4" s="58"/>
      <c r="D4" s="58"/>
      <c r="E4" s="58">
        <v>1</v>
      </c>
      <c r="F4" s="42">
        <v>1</v>
      </c>
      <c r="G4" s="66"/>
      <c r="H4" s="17" t="s">
        <v>70</v>
      </c>
      <c r="I4" s="44" t="s">
        <v>67</v>
      </c>
      <c r="J4" s="67" t="s">
        <v>68</v>
      </c>
    </row>
    <row r="5" spans="1:14" x14ac:dyDescent="0.25">
      <c r="A5" s="65" t="s">
        <v>71</v>
      </c>
      <c r="B5" s="58"/>
      <c r="C5" s="58">
        <v>1</v>
      </c>
      <c r="D5" s="58">
        <v>1</v>
      </c>
      <c r="E5" s="58"/>
      <c r="F5" s="42">
        <v>2</v>
      </c>
      <c r="G5" s="66" t="s">
        <v>5</v>
      </c>
      <c r="H5" s="17" t="s">
        <v>72</v>
      </c>
      <c r="I5" s="44" t="s">
        <v>73</v>
      </c>
      <c r="J5" s="67" t="s">
        <v>68</v>
      </c>
    </row>
    <row r="6" spans="1:14" x14ac:dyDescent="0.25">
      <c r="A6" s="65" t="s">
        <v>74</v>
      </c>
      <c r="B6" s="58"/>
      <c r="C6" s="58">
        <v>1</v>
      </c>
      <c r="D6" s="58">
        <v>1</v>
      </c>
      <c r="E6" s="58">
        <v>1</v>
      </c>
      <c r="F6" s="42">
        <v>3</v>
      </c>
      <c r="G6" s="66" t="s">
        <v>5</v>
      </c>
      <c r="H6" s="17" t="s">
        <v>122</v>
      </c>
      <c r="I6" s="44" t="s">
        <v>49</v>
      </c>
      <c r="J6" s="67" t="s">
        <v>68</v>
      </c>
    </row>
    <row r="7" spans="1:14" ht="13.5" thickBot="1" x14ac:dyDescent="0.3">
      <c r="A7" s="68" t="s">
        <v>75</v>
      </c>
      <c r="B7" s="69">
        <v>1</v>
      </c>
      <c r="C7" s="69">
        <v>1</v>
      </c>
      <c r="D7" s="69"/>
      <c r="E7" s="69"/>
      <c r="F7" s="70">
        <v>2</v>
      </c>
      <c r="G7" s="71" t="s">
        <v>5</v>
      </c>
      <c r="H7" s="72" t="s">
        <v>76</v>
      </c>
      <c r="I7" s="73" t="s">
        <v>77</v>
      </c>
      <c r="J7" s="74" t="s">
        <v>68</v>
      </c>
    </row>
    <row r="8" spans="1:14" s="12" customFormat="1" ht="15.75" customHeight="1" x14ac:dyDescent="0.25">
      <c r="A8" s="41" t="s">
        <v>7</v>
      </c>
      <c r="B8" s="25">
        <f>SUM(B3:B7)</f>
        <v>1</v>
      </c>
      <c r="C8" s="25">
        <f>SUM(C3:C7)</f>
        <v>3</v>
      </c>
      <c r="D8" s="25">
        <f>SUM(D3:D7)</f>
        <v>2</v>
      </c>
      <c r="E8" s="25">
        <f>SUM(E3:E7)</f>
        <v>4</v>
      </c>
      <c r="F8" s="59">
        <f>SUM(F3:F7)</f>
        <v>10</v>
      </c>
      <c r="G8" s="281"/>
      <c r="H8" s="282"/>
      <c r="I8" s="9"/>
      <c r="J8" s="10"/>
      <c r="K8" s="11"/>
    </row>
    <row r="10" spans="1:14" s="2" customFormat="1" ht="13.5" thickBot="1" x14ac:dyDescent="0.3">
      <c r="A10" s="2" t="s">
        <v>35</v>
      </c>
      <c r="B10" s="13" t="str">
        <f>$M$1</f>
        <v>JANEIRO</v>
      </c>
      <c r="C10" s="4">
        <f>$N$1</f>
        <v>2018</v>
      </c>
      <c r="D10" s="3"/>
      <c r="E10" s="3"/>
      <c r="F10" s="3"/>
      <c r="G10" s="3"/>
      <c r="I10" s="4"/>
      <c r="J10" s="5"/>
      <c r="K10" s="6"/>
    </row>
    <row r="11" spans="1:14" s="2" customFormat="1" ht="13.5" thickBot="1" x14ac:dyDescent="0.3">
      <c r="A11" s="20" t="s">
        <v>14</v>
      </c>
      <c r="B11" s="21" t="s">
        <v>0</v>
      </c>
      <c r="C11" s="21" t="s">
        <v>1</v>
      </c>
      <c r="D11" s="21" t="s">
        <v>2</v>
      </c>
      <c r="E11" s="21" t="s">
        <v>3</v>
      </c>
      <c r="F11" s="21" t="s">
        <v>4</v>
      </c>
      <c r="G11" s="22" t="s">
        <v>5</v>
      </c>
      <c r="H11" s="21" t="s">
        <v>6</v>
      </c>
      <c r="I11" s="23" t="s">
        <v>8</v>
      </c>
      <c r="J11" s="24" t="s">
        <v>9</v>
      </c>
      <c r="K11" s="6"/>
      <c r="L11" s="6"/>
    </row>
    <row r="12" spans="1:14" x14ac:dyDescent="0.25">
      <c r="A12" s="17" t="s">
        <v>35</v>
      </c>
      <c r="B12" s="42"/>
      <c r="C12" s="42"/>
      <c r="D12" s="42">
        <v>2</v>
      </c>
      <c r="E12" s="42"/>
      <c r="F12" s="42">
        <f>SUM(B12:E12)</f>
        <v>2</v>
      </c>
      <c r="G12" s="43"/>
      <c r="H12" s="17" t="s">
        <v>18</v>
      </c>
      <c r="I12" s="44" t="s">
        <v>35</v>
      </c>
      <c r="J12" s="19" t="s">
        <v>36</v>
      </c>
    </row>
    <row r="13" spans="1:14" x14ac:dyDescent="0.25">
      <c r="A13" s="17" t="s">
        <v>126</v>
      </c>
      <c r="B13" s="42"/>
      <c r="C13" s="42"/>
      <c r="D13" s="42">
        <v>2</v>
      </c>
      <c r="E13" s="42"/>
      <c r="F13" s="42">
        <f>SUM(B13:E13)</f>
        <v>2</v>
      </c>
      <c r="G13" s="43"/>
      <c r="H13" s="17"/>
      <c r="I13" s="44" t="s">
        <v>35</v>
      </c>
      <c r="J13" s="19" t="s">
        <v>36</v>
      </c>
    </row>
    <row r="14" spans="1:14" ht="25.5" x14ac:dyDescent="0.25">
      <c r="A14" s="81" t="s">
        <v>128</v>
      </c>
      <c r="B14" s="42"/>
      <c r="C14" s="42">
        <v>1</v>
      </c>
      <c r="D14" s="42"/>
      <c r="E14" s="42"/>
      <c r="F14" s="42">
        <f>SUM(B14:E14)</f>
        <v>1</v>
      </c>
      <c r="G14" s="43" t="s">
        <v>5</v>
      </c>
      <c r="H14" s="17" t="s">
        <v>129</v>
      </c>
      <c r="I14" s="44" t="s">
        <v>127</v>
      </c>
      <c r="J14" s="19" t="s">
        <v>36</v>
      </c>
    </row>
    <row r="15" spans="1:14" s="12" customFormat="1" ht="15.75" customHeight="1" x14ac:dyDescent="0.25">
      <c r="A15" s="7" t="s">
        <v>7</v>
      </c>
      <c r="B15" s="8">
        <f>SUM(B12:B14)</f>
        <v>0</v>
      </c>
      <c r="C15" s="8">
        <f>SUM(C12:C14)</f>
        <v>1</v>
      </c>
      <c r="D15" s="8">
        <f>SUM(D12:D14)</f>
        <v>4</v>
      </c>
      <c r="E15" s="8">
        <f>SUM(E12:E14)</f>
        <v>0</v>
      </c>
      <c r="F15" s="14">
        <f>SUM(F12:F14)</f>
        <v>5</v>
      </c>
      <c r="G15" s="283"/>
      <c r="H15" s="284"/>
      <c r="I15" s="9"/>
      <c r="J15" s="10"/>
      <c r="K15" s="11"/>
    </row>
    <row r="17" spans="1:12" s="2" customFormat="1" ht="13.5" thickBot="1" x14ac:dyDescent="0.3">
      <c r="A17" s="2" t="s">
        <v>23</v>
      </c>
      <c r="B17" s="13" t="str">
        <f>$M$1</f>
        <v>JANEIRO</v>
      </c>
      <c r="C17" s="4">
        <f>$N$1</f>
        <v>2018</v>
      </c>
      <c r="D17" s="3"/>
      <c r="E17" s="3"/>
      <c r="F17" s="3"/>
      <c r="G17" s="3"/>
      <c r="I17" s="4"/>
      <c r="J17" s="5"/>
      <c r="K17" s="6"/>
    </row>
    <row r="18" spans="1:12" s="2" customFormat="1" ht="13.5" thickBot="1" x14ac:dyDescent="0.3">
      <c r="A18" s="20" t="s">
        <v>14</v>
      </c>
      <c r="B18" s="21" t="s">
        <v>0</v>
      </c>
      <c r="C18" s="21" t="s">
        <v>1</v>
      </c>
      <c r="D18" s="21" t="s">
        <v>2</v>
      </c>
      <c r="E18" s="21" t="s">
        <v>3</v>
      </c>
      <c r="F18" s="21" t="s">
        <v>4</v>
      </c>
      <c r="G18" s="22" t="s">
        <v>5</v>
      </c>
      <c r="H18" s="21" t="s">
        <v>6</v>
      </c>
      <c r="I18" s="23" t="s">
        <v>8</v>
      </c>
      <c r="J18" s="24" t="s">
        <v>9</v>
      </c>
      <c r="K18" s="6"/>
      <c r="L18" s="6"/>
    </row>
    <row r="19" spans="1:12" x14ac:dyDescent="0.25">
      <c r="A19" s="17" t="s">
        <v>23</v>
      </c>
      <c r="B19" s="42"/>
      <c r="C19" s="42"/>
      <c r="D19" s="42">
        <v>2</v>
      </c>
      <c r="E19" s="42"/>
      <c r="F19" s="42">
        <f>SUM(B19:E19)</f>
        <v>2</v>
      </c>
      <c r="G19" s="43"/>
      <c r="H19" s="17" t="s">
        <v>18</v>
      </c>
      <c r="I19" s="44" t="s">
        <v>18</v>
      </c>
      <c r="J19" s="19" t="s">
        <v>24</v>
      </c>
    </row>
    <row r="20" spans="1:12" x14ac:dyDescent="0.25">
      <c r="A20" s="1" t="s">
        <v>25</v>
      </c>
      <c r="B20" s="15"/>
      <c r="C20" s="15"/>
      <c r="D20" s="15">
        <v>1</v>
      </c>
      <c r="E20" s="15"/>
      <c r="F20" s="42">
        <f>SUM(B20:E20)</f>
        <v>1</v>
      </c>
      <c r="G20" s="16"/>
      <c r="H20" s="17" t="s">
        <v>25</v>
      </c>
      <c r="I20" s="44" t="s">
        <v>25</v>
      </c>
      <c r="J20" s="19" t="s">
        <v>24</v>
      </c>
    </row>
    <row r="21" spans="1:12" s="12" customFormat="1" ht="15.75" customHeight="1" x14ac:dyDescent="0.25">
      <c r="A21" s="7" t="s">
        <v>7</v>
      </c>
      <c r="B21" s="8">
        <f>SUM(B19:B19)</f>
        <v>0</v>
      </c>
      <c r="C21" s="8">
        <f>SUM(C19:C19)</f>
        <v>0</v>
      </c>
      <c r="D21" s="8">
        <f>SUM(D19:D20)</f>
        <v>3</v>
      </c>
      <c r="E21" s="8">
        <f>SUM(E19:E19)</f>
        <v>0</v>
      </c>
      <c r="F21" s="14">
        <f>SUM(F19:F20)</f>
        <v>3</v>
      </c>
      <c r="G21" s="283"/>
      <c r="H21" s="284"/>
      <c r="I21" s="9"/>
      <c r="J21" s="10"/>
      <c r="K21" s="11"/>
    </row>
    <row r="23" spans="1:12" s="2" customFormat="1" ht="13.5" thickBot="1" x14ac:dyDescent="0.3">
      <c r="A23" s="2" t="s">
        <v>55</v>
      </c>
      <c r="B23" s="13" t="str">
        <f>$M$1</f>
        <v>JANEIRO</v>
      </c>
      <c r="C23" s="4">
        <f>$N$1</f>
        <v>2018</v>
      </c>
      <c r="D23" s="3"/>
      <c r="E23" s="3"/>
      <c r="F23" s="3"/>
      <c r="G23" s="3"/>
      <c r="I23" s="4"/>
      <c r="J23" s="5"/>
      <c r="K23" s="6"/>
    </row>
    <row r="24" spans="1:12" s="2" customFormat="1" ht="13.5" thickBot="1" x14ac:dyDescent="0.3">
      <c r="A24" s="20" t="s">
        <v>14</v>
      </c>
      <c r="B24" s="21" t="s">
        <v>0</v>
      </c>
      <c r="C24" s="21" t="s">
        <v>1</v>
      </c>
      <c r="D24" s="21" t="s">
        <v>2</v>
      </c>
      <c r="E24" s="21" t="s">
        <v>3</v>
      </c>
      <c r="F24" s="21" t="s">
        <v>4</v>
      </c>
      <c r="G24" s="22" t="s">
        <v>5</v>
      </c>
      <c r="H24" s="21" t="s">
        <v>6</v>
      </c>
      <c r="I24" s="23" t="s">
        <v>8</v>
      </c>
      <c r="J24" s="24" t="s">
        <v>9</v>
      </c>
      <c r="K24" s="6"/>
      <c r="L24" s="6"/>
    </row>
    <row r="25" spans="1:12" x14ac:dyDescent="0.25">
      <c r="A25" s="17" t="s">
        <v>57</v>
      </c>
      <c r="B25" s="42"/>
      <c r="C25" s="42"/>
      <c r="D25" s="42">
        <v>1</v>
      </c>
      <c r="E25" s="42"/>
      <c r="F25" s="42">
        <f>SUM(B25:E25)</f>
        <v>1</v>
      </c>
      <c r="G25" s="43"/>
      <c r="H25" s="17" t="s">
        <v>25</v>
      </c>
      <c r="I25" s="44" t="s">
        <v>25</v>
      </c>
      <c r="J25" s="19" t="s">
        <v>56</v>
      </c>
    </row>
    <row r="26" spans="1:12" s="12" customFormat="1" ht="15.75" customHeight="1" x14ac:dyDescent="0.25">
      <c r="A26" s="7" t="s">
        <v>7</v>
      </c>
      <c r="B26" s="8">
        <f>SUM(B25:B25)</f>
        <v>0</v>
      </c>
      <c r="C26" s="8">
        <f>SUM(C25:C25)</f>
        <v>0</v>
      </c>
      <c r="D26" s="8">
        <f>SUM(D25:D25)</f>
        <v>1</v>
      </c>
      <c r="E26" s="8">
        <f>SUM(E25:E25)</f>
        <v>0</v>
      </c>
      <c r="F26" s="14">
        <f>SUM(F25:F25)</f>
        <v>1</v>
      </c>
      <c r="G26" s="283"/>
      <c r="H26" s="284"/>
      <c r="I26" s="9"/>
      <c r="J26" s="10"/>
      <c r="K26" s="11"/>
    </row>
    <row r="28" spans="1:12" s="2" customFormat="1" ht="13.5" thickBot="1" x14ac:dyDescent="0.3">
      <c r="A28" s="2" t="s">
        <v>37</v>
      </c>
      <c r="B28" s="13" t="str">
        <f>$M$1</f>
        <v>JANEIRO</v>
      </c>
      <c r="C28" s="4">
        <f>$N$1</f>
        <v>2018</v>
      </c>
      <c r="D28" s="3"/>
      <c r="E28" s="3"/>
      <c r="F28" s="3"/>
      <c r="G28" s="3"/>
      <c r="I28" s="4"/>
      <c r="J28" s="5"/>
      <c r="K28" s="6"/>
    </row>
    <row r="29" spans="1:12" s="2" customFormat="1" ht="13.5" thickBot="1" x14ac:dyDescent="0.3">
      <c r="A29" s="20" t="s">
        <v>14</v>
      </c>
      <c r="B29" s="21" t="s">
        <v>0</v>
      </c>
      <c r="C29" s="21" t="s">
        <v>1</v>
      </c>
      <c r="D29" s="21" t="s">
        <v>2</v>
      </c>
      <c r="E29" s="21" t="s">
        <v>3</v>
      </c>
      <c r="F29" s="21" t="s">
        <v>4</v>
      </c>
      <c r="G29" s="22" t="s">
        <v>5</v>
      </c>
      <c r="H29" s="21" t="s">
        <v>6</v>
      </c>
      <c r="I29" s="23" t="s">
        <v>8</v>
      </c>
      <c r="J29" s="24" t="s">
        <v>9</v>
      </c>
      <c r="K29" s="6"/>
      <c r="L29" s="6"/>
    </row>
    <row r="30" spans="1:12" x14ac:dyDescent="0.25">
      <c r="A30" s="17" t="s">
        <v>120</v>
      </c>
      <c r="B30" s="15"/>
      <c r="C30" s="15"/>
      <c r="D30" s="15"/>
      <c r="E30" s="15">
        <v>1</v>
      </c>
      <c r="F30" s="42">
        <f>SUM(B30:E30)</f>
        <v>1</v>
      </c>
      <c r="G30" s="16"/>
      <c r="H30" s="17" t="s">
        <v>15</v>
      </c>
      <c r="I30" s="44" t="s">
        <v>46</v>
      </c>
      <c r="J30" s="19" t="s">
        <v>47</v>
      </c>
      <c r="K30" s="47"/>
    </row>
    <row r="31" spans="1:12" s="12" customFormat="1" ht="15.75" customHeight="1" x14ac:dyDescent="0.25">
      <c r="A31" s="7" t="s">
        <v>7</v>
      </c>
      <c r="B31" s="8">
        <f>SUM(B30)</f>
        <v>0</v>
      </c>
      <c r="C31" s="8">
        <f>SUM(C30)</f>
        <v>0</v>
      </c>
      <c r="D31" s="8">
        <f>SUM(D30)</f>
        <v>0</v>
      </c>
      <c r="E31" s="8">
        <f>SUM(E30)</f>
        <v>1</v>
      </c>
      <c r="F31" s="14">
        <f>SUM(B31:E31)</f>
        <v>1</v>
      </c>
      <c r="G31" s="283"/>
      <c r="H31" s="284"/>
      <c r="I31" s="9"/>
      <c r="J31" s="10"/>
      <c r="K31" s="11"/>
    </row>
    <row r="33" spans="1:15" s="2" customFormat="1" ht="13.5" thickBot="1" x14ac:dyDescent="0.3">
      <c r="A33" s="2" t="s">
        <v>50</v>
      </c>
      <c r="B33" s="13" t="str">
        <f>$M$1</f>
        <v>JANEIRO</v>
      </c>
      <c r="C33" s="4">
        <f>$N$1</f>
        <v>2018</v>
      </c>
      <c r="D33" s="3"/>
      <c r="E33" s="3"/>
      <c r="F33" s="3"/>
      <c r="G33" s="3"/>
      <c r="I33" s="4"/>
      <c r="J33" s="5"/>
      <c r="K33" s="6"/>
    </row>
    <row r="34" spans="1:15" s="2" customFormat="1" ht="13.5" thickBot="1" x14ac:dyDescent="0.3">
      <c r="A34" s="20" t="s">
        <v>14</v>
      </c>
      <c r="B34" s="21" t="s">
        <v>0</v>
      </c>
      <c r="C34" s="21" t="s">
        <v>1</v>
      </c>
      <c r="D34" s="21" t="s">
        <v>2</v>
      </c>
      <c r="E34" s="21" t="s">
        <v>3</v>
      </c>
      <c r="F34" s="21" t="s">
        <v>4</v>
      </c>
      <c r="G34" s="22" t="s">
        <v>5</v>
      </c>
      <c r="H34" s="21" t="s">
        <v>6</v>
      </c>
      <c r="I34" s="23" t="s">
        <v>8</v>
      </c>
      <c r="J34" s="24" t="s">
        <v>9</v>
      </c>
      <c r="K34" s="6"/>
      <c r="L34" s="6"/>
    </row>
    <row r="35" spans="1:15" x14ac:dyDescent="0.25">
      <c r="A35" s="17" t="s">
        <v>50</v>
      </c>
      <c r="B35" s="15"/>
      <c r="C35" s="15">
        <v>3</v>
      </c>
      <c r="D35" s="15">
        <v>2</v>
      </c>
      <c r="E35" s="15">
        <v>2</v>
      </c>
      <c r="F35" s="42">
        <f>SUM(B35:E35)</f>
        <v>7</v>
      </c>
      <c r="G35" s="43"/>
      <c r="H35" s="17" t="s">
        <v>18</v>
      </c>
      <c r="I35" s="17" t="s">
        <v>18</v>
      </c>
      <c r="J35" s="19" t="s">
        <v>50</v>
      </c>
    </row>
    <row r="36" spans="1:15" s="12" customFormat="1" ht="15.75" customHeight="1" x14ac:dyDescent="0.25">
      <c r="A36" s="7" t="s">
        <v>7</v>
      </c>
      <c r="B36" s="8">
        <f>SUM(B35:B35)</f>
        <v>0</v>
      </c>
      <c r="C36" s="8">
        <f>SUM(C35:C35)</f>
        <v>3</v>
      </c>
      <c r="D36" s="8">
        <f>SUM(D35:D35)</f>
        <v>2</v>
      </c>
      <c r="E36" s="8">
        <f>SUM(E35:E35)</f>
        <v>2</v>
      </c>
      <c r="F36" s="14">
        <f>SUM(F35:F35)</f>
        <v>7</v>
      </c>
      <c r="G36" s="283"/>
      <c r="H36" s="284"/>
      <c r="I36" s="9"/>
      <c r="J36" s="10"/>
      <c r="K36" s="11"/>
    </row>
    <row r="38" spans="1:15" s="2" customFormat="1" ht="13.5" thickBot="1" x14ac:dyDescent="0.3">
      <c r="A38" s="31" t="s">
        <v>43</v>
      </c>
      <c r="B38" s="13" t="str">
        <f>$M$1</f>
        <v>JANEIRO</v>
      </c>
      <c r="C38" s="4">
        <f>$N$1</f>
        <v>2018</v>
      </c>
      <c r="D38" s="32"/>
      <c r="E38" s="3"/>
      <c r="F38" s="3"/>
      <c r="G38" s="3"/>
      <c r="H38" s="285"/>
      <c r="I38" s="285"/>
      <c r="J38" s="285"/>
      <c r="N38" s="31"/>
      <c r="O38" s="31"/>
    </row>
    <row r="39" spans="1:15" s="31" customFormat="1" ht="13.5" thickBot="1" x14ac:dyDescent="0.3">
      <c r="A39" s="33" t="s">
        <v>14</v>
      </c>
      <c r="B39" s="34" t="s">
        <v>0</v>
      </c>
      <c r="C39" s="34" t="s">
        <v>1</v>
      </c>
      <c r="D39" s="34" t="s">
        <v>2</v>
      </c>
      <c r="E39" s="34" t="s">
        <v>3</v>
      </c>
      <c r="F39" s="34" t="s">
        <v>4</v>
      </c>
      <c r="G39" s="35" t="s">
        <v>5</v>
      </c>
      <c r="H39" s="34" t="s">
        <v>6</v>
      </c>
      <c r="I39" s="34" t="s">
        <v>8</v>
      </c>
      <c r="J39" s="36" t="s">
        <v>9</v>
      </c>
      <c r="K39" s="37"/>
      <c r="M39" s="38"/>
    </row>
    <row r="40" spans="1:15" s="12" customFormat="1" ht="11.85" customHeight="1" x14ac:dyDescent="0.25">
      <c r="A40" s="39" t="s">
        <v>117</v>
      </c>
      <c r="B40" s="25"/>
      <c r="C40" s="25"/>
      <c r="D40" s="25">
        <v>1</v>
      </c>
      <c r="E40" s="25"/>
      <c r="F40" s="42">
        <f>SUM(B40:E40)</f>
        <v>1</v>
      </c>
      <c r="G40" s="40"/>
      <c r="H40" s="41" t="s">
        <v>12</v>
      </c>
      <c r="I40" s="39" t="s">
        <v>40</v>
      </c>
      <c r="J40" s="39" t="s">
        <v>45</v>
      </c>
    </row>
    <row r="41" spans="1:15" s="12" customFormat="1" ht="15.75" customHeight="1" x14ac:dyDescent="0.25">
      <c r="A41" s="7" t="s">
        <v>7</v>
      </c>
      <c r="B41" s="8">
        <f>SUM(B40:B40)</f>
        <v>0</v>
      </c>
      <c r="C41" s="8">
        <f>SUM(C40:C40)</f>
        <v>0</v>
      </c>
      <c r="D41" s="8">
        <f>SUM(D40:D40)</f>
        <v>1</v>
      </c>
      <c r="E41" s="8">
        <f>SUM(E40:E40)</f>
        <v>0</v>
      </c>
      <c r="F41" s="14">
        <f>SUM(F40:F40)</f>
        <v>1</v>
      </c>
      <c r="G41" s="283"/>
      <c r="H41" s="284"/>
      <c r="I41" s="9"/>
      <c r="J41" s="10"/>
      <c r="K41" s="11"/>
    </row>
    <row r="43" spans="1:15" s="2" customFormat="1" ht="13.5" thickBot="1" x14ac:dyDescent="0.3">
      <c r="A43" s="2" t="s">
        <v>44</v>
      </c>
      <c r="B43" s="13" t="str">
        <f>$M$1</f>
        <v>JANEIRO</v>
      </c>
      <c r="C43" s="4">
        <f>$N$1</f>
        <v>2018</v>
      </c>
      <c r="D43" s="3"/>
      <c r="E43" s="3"/>
      <c r="F43" s="3"/>
      <c r="G43" s="3"/>
      <c r="I43" s="4"/>
      <c r="J43" s="5"/>
      <c r="K43" s="6"/>
    </row>
    <row r="44" spans="1:15" s="2" customFormat="1" ht="13.5" thickBot="1" x14ac:dyDescent="0.3">
      <c r="A44" s="20" t="s">
        <v>14</v>
      </c>
      <c r="B44" s="21" t="s">
        <v>0</v>
      </c>
      <c r="C44" s="21" t="s">
        <v>1</v>
      </c>
      <c r="D44" s="21" t="s">
        <v>2</v>
      </c>
      <c r="E44" s="21" t="s">
        <v>3</v>
      </c>
      <c r="F44" s="21" t="s">
        <v>4</v>
      </c>
      <c r="G44" s="22" t="s">
        <v>5</v>
      </c>
      <c r="H44" s="21" t="s">
        <v>6</v>
      </c>
      <c r="I44" s="23" t="s">
        <v>8</v>
      </c>
      <c r="J44" s="24" t="s">
        <v>9</v>
      </c>
      <c r="K44" s="6"/>
      <c r="L44" s="6"/>
    </row>
    <row r="45" spans="1:15" x14ac:dyDescent="0.2">
      <c r="A45" s="48" t="s">
        <v>100</v>
      </c>
      <c r="B45" s="42"/>
      <c r="C45" s="42">
        <v>1</v>
      </c>
      <c r="D45" s="42"/>
      <c r="E45" s="42"/>
      <c r="F45" s="42">
        <f>SUM(B45:E45)</f>
        <v>1</v>
      </c>
      <c r="G45" s="43"/>
      <c r="H45" s="17" t="s">
        <v>101</v>
      </c>
      <c r="I45" s="75" t="s">
        <v>38</v>
      </c>
      <c r="J45" s="17" t="s">
        <v>38</v>
      </c>
    </row>
    <row r="46" spans="1:15" x14ac:dyDescent="0.2">
      <c r="A46" s="48" t="s">
        <v>102</v>
      </c>
      <c r="B46" s="42"/>
      <c r="C46" s="42">
        <v>1</v>
      </c>
      <c r="D46" s="42"/>
      <c r="E46" s="42"/>
      <c r="F46" s="42">
        <f>SUM(B46:E46)</f>
        <v>1</v>
      </c>
      <c r="G46" s="43"/>
      <c r="H46" s="17" t="s">
        <v>103</v>
      </c>
      <c r="I46" s="75" t="s">
        <v>38</v>
      </c>
      <c r="J46" s="17" t="s">
        <v>38</v>
      </c>
    </row>
    <row r="47" spans="1:15" x14ac:dyDescent="0.25">
      <c r="A47" s="48" t="s">
        <v>130</v>
      </c>
      <c r="B47" s="42"/>
      <c r="C47" s="42"/>
      <c r="D47" s="42">
        <v>1</v>
      </c>
      <c r="E47" s="42"/>
      <c r="F47" s="42">
        <f>SUM(B47:E47)</f>
        <v>1</v>
      </c>
      <c r="G47" s="43"/>
      <c r="H47" s="17" t="s">
        <v>25</v>
      </c>
      <c r="I47" s="50" t="s">
        <v>25</v>
      </c>
      <c r="J47" s="17" t="s">
        <v>38</v>
      </c>
    </row>
    <row r="48" spans="1:15" x14ac:dyDescent="0.2">
      <c r="A48" s="48" t="s">
        <v>104</v>
      </c>
      <c r="B48" s="42"/>
      <c r="C48" s="42">
        <v>1</v>
      </c>
      <c r="D48" s="42"/>
      <c r="E48" s="42"/>
      <c r="F48" s="42">
        <f>SUM(B48:E48)</f>
        <v>1</v>
      </c>
      <c r="G48" s="43"/>
      <c r="H48" s="49" t="s">
        <v>105</v>
      </c>
      <c r="I48" s="75" t="s">
        <v>38</v>
      </c>
      <c r="J48" s="17" t="s">
        <v>38</v>
      </c>
    </row>
    <row r="49" spans="1:12" x14ac:dyDescent="0.25">
      <c r="A49" s="48" t="s">
        <v>106</v>
      </c>
      <c r="B49" s="42">
        <v>1</v>
      </c>
      <c r="C49" s="42">
        <v>1</v>
      </c>
      <c r="D49" s="42"/>
      <c r="E49" s="42"/>
      <c r="F49" s="42">
        <f>SUM(B49:E49)</f>
        <v>2</v>
      </c>
      <c r="G49" s="43"/>
      <c r="H49" s="17" t="s">
        <v>107</v>
      </c>
      <c r="I49" s="50" t="s">
        <v>108</v>
      </c>
      <c r="J49" s="17" t="s">
        <v>38</v>
      </c>
    </row>
    <row r="50" spans="1:12" s="12" customFormat="1" ht="15.75" customHeight="1" x14ac:dyDescent="0.25">
      <c r="A50" s="7" t="s">
        <v>7</v>
      </c>
      <c r="B50" s="8">
        <f>SUM(B45:B49)</f>
        <v>1</v>
      </c>
      <c r="C50" s="8">
        <f>SUM(C45:C49)</f>
        <v>4</v>
      </c>
      <c r="D50" s="8">
        <f>SUM(D45:D49)</f>
        <v>1</v>
      </c>
      <c r="E50" s="8">
        <f>SUM(E45:E49)</f>
        <v>0</v>
      </c>
      <c r="F50" s="14">
        <f>SUM(F45:F49)</f>
        <v>6</v>
      </c>
      <c r="G50" s="283"/>
      <c r="H50" s="284"/>
      <c r="I50" s="9"/>
      <c r="J50" s="10"/>
      <c r="K50" s="11"/>
    </row>
    <row r="51" spans="1:12" x14ac:dyDescent="0.25">
      <c r="G51" s="51"/>
    </row>
    <row r="52" spans="1:12" s="2" customFormat="1" ht="13.5" thickBot="1" x14ac:dyDescent="0.3">
      <c r="A52" s="2" t="s">
        <v>39</v>
      </c>
      <c r="B52" s="13" t="str">
        <f>$M$1</f>
        <v>JANEIRO</v>
      </c>
      <c r="C52" s="4">
        <f>$N$1</f>
        <v>2018</v>
      </c>
      <c r="D52" s="3"/>
      <c r="E52" s="3"/>
      <c r="F52" s="3"/>
      <c r="G52" s="3"/>
      <c r="I52" s="4"/>
      <c r="K52" s="6"/>
    </row>
    <row r="53" spans="1:12" s="2" customFormat="1" ht="13.5" thickBot="1" x14ac:dyDescent="0.3">
      <c r="A53" s="20" t="s">
        <v>14</v>
      </c>
      <c r="B53" s="21" t="s">
        <v>0</v>
      </c>
      <c r="C53" s="21" t="s">
        <v>1</v>
      </c>
      <c r="D53" s="21" t="s">
        <v>2</v>
      </c>
      <c r="E53" s="21" t="s">
        <v>3</v>
      </c>
      <c r="F53" s="21" t="s">
        <v>4</v>
      </c>
      <c r="G53" s="22" t="s">
        <v>5</v>
      </c>
      <c r="H53" s="21" t="s">
        <v>6</v>
      </c>
      <c r="I53" s="23" t="s">
        <v>8</v>
      </c>
      <c r="J53" s="24" t="s">
        <v>9</v>
      </c>
      <c r="K53" s="6"/>
      <c r="L53" s="6"/>
    </row>
    <row r="54" spans="1:12" x14ac:dyDescent="0.25">
      <c r="A54" s="1" t="s">
        <v>89</v>
      </c>
      <c r="B54" s="52"/>
      <c r="C54" s="15"/>
      <c r="D54" s="15">
        <v>1</v>
      </c>
      <c r="E54" s="15"/>
      <c r="F54" s="42">
        <f t="shared" ref="F54:F63" si="0">SUM(B54:E54)</f>
        <v>1</v>
      </c>
      <c r="G54" s="16" t="s">
        <v>5</v>
      </c>
      <c r="H54" s="53" t="s">
        <v>98</v>
      </c>
      <c r="I54" s="54" t="s">
        <v>21</v>
      </c>
      <c r="J54" s="54" t="s">
        <v>21</v>
      </c>
    </row>
    <row r="55" spans="1:12" x14ac:dyDescent="0.25">
      <c r="A55" s="17" t="s">
        <v>90</v>
      </c>
      <c r="B55" s="52"/>
      <c r="C55" s="15"/>
      <c r="D55" s="15">
        <v>2</v>
      </c>
      <c r="E55" s="15"/>
      <c r="F55" s="42">
        <f t="shared" si="0"/>
        <v>2</v>
      </c>
      <c r="G55" s="16"/>
      <c r="H55" s="55" t="s">
        <v>99</v>
      </c>
      <c r="I55" s="19" t="s">
        <v>40</v>
      </c>
      <c r="J55" s="19" t="s">
        <v>21</v>
      </c>
    </row>
    <row r="56" spans="1:12" x14ac:dyDescent="0.25">
      <c r="A56" s="17" t="s">
        <v>91</v>
      </c>
      <c r="B56" s="52"/>
      <c r="C56" s="15"/>
      <c r="D56" s="15">
        <v>1</v>
      </c>
      <c r="E56" s="15"/>
      <c r="F56" s="42">
        <f t="shared" si="0"/>
        <v>1</v>
      </c>
      <c r="G56" s="16" t="s">
        <v>5</v>
      </c>
      <c r="H56" s="55" t="s">
        <v>98</v>
      </c>
      <c r="I56" s="19" t="s">
        <v>21</v>
      </c>
      <c r="J56" s="19" t="s">
        <v>21</v>
      </c>
    </row>
    <row r="57" spans="1:12" x14ac:dyDescent="0.25">
      <c r="A57" s="17" t="s">
        <v>92</v>
      </c>
      <c r="B57" s="52"/>
      <c r="C57" s="15">
        <v>1</v>
      </c>
      <c r="D57" s="15"/>
      <c r="E57" s="15"/>
      <c r="F57" s="42">
        <f t="shared" si="0"/>
        <v>1</v>
      </c>
      <c r="G57" s="16" t="s">
        <v>5</v>
      </c>
      <c r="H57" s="55" t="s">
        <v>98</v>
      </c>
      <c r="I57" s="19" t="s">
        <v>21</v>
      </c>
      <c r="J57" s="19" t="s">
        <v>21</v>
      </c>
    </row>
    <row r="58" spans="1:12" x14ac:dyDescent="0.25">
      <c r="A58" s="17" t="s">
        <v>93</v>
      </c>
      <c r="B58" s="52">
        <v>1</v>
      </c>
      <c r="C58" s="15">
        <v>1</v>
      </c>
      <c r="D58" s="15"/>
      <c r="E58" s="15"/>
      <c r="F58" s="42">
        <f t="shared" si="0"/>
        <v>2</v>
      </c>
      <c r="G58" s="16" t="s">
        <v>5</v>
      </c>
      <c r="H58" s="56" t="s">
        <v>98</v>
      </c>
      <c r="I58" s="19" t="s">
        <v>21</v>
      </c>
      <c r="J58" s="19" t="s">
        <v>21</v>
      </c>
    </row>
    <row r="59" spans="1:12" x14ac:dyDescent="0.25">
      <c r="A59" s="17" t="s">
        <v>94</v>
      </c>
      <c r="B59" s="52"/>
      <c r="C59" s="15">
        <v>2</v>
      </c>
      <c r="D59" s="15"/>
      <c r="E59" s="15">
        <v>2</v>
      </c>
      <c r="F59" s="42">
        <f t="shared" si="0"/>
        <v>4</v>
      </c>
      <c r="G59" s="16"/>
      <c r="H59" s="56" t="s">
        <v>99</v>
      </c>
      <c r="I59" s="19" t="s">
        <v>40</v>
      </c>
      <c r="J59" s="19" t="s">
        <v>21</v>
      </c>
    </row>
    <row r="60" spans="1:12" x14ac:dyDescent="0.25">
      <c r="A60" s="17" t="s">
        <v>95</v>
      </c>
      <c r="B60" s="52"/>
      <c r="C60" s="15"/>
      <c r="D60" s="15">
        <v>1</v>
      </c>
      <c r="E60" s="15">
        <v>1</v>
      </c>
      <c r="F60" s="42">
        <f t="shared" si="0"/>
        <v>2</v>
      </c>
      <c r="G60" s="16"/>
      <c r="H60" s="56" t="s">
        <v>98</v>
      </c>
      <c r="I60" s="19" t="s">
        <v>21</v>
      </c>
      <c r="J60" s="19" t="s">
        <v>21</v>
      </c>
    </row>
    <row r="61" spans="1:12" x14ac:dyDescent="0.25">
      <c r="A61" s="17" t="s">
        <v>96</v>
      </c>
      <c r="B61" s="52"/>
      <c r="C61" s="15"/>
      <c r="D61" s="15">
        <v>1</v>
      </c>
      <c r="E61" s="15"/>
      <c r="F61" s="42">
        <f t="shared" si="0"/>
        <v>1</v>
      </c>
      <c r="G61" s="16"/>
      <c r="H61" s="56" t="s">
        <v>99</v>
      </c>
      <c r="I61" s="19" t="s">
        <v>40</v>
      </c>
      <c r="J61" s="19" t="s">
        <v>21</v>
      </c>
    </row>
    <row r="62" spans="1:12" x14ac:dyDescent="0.25">
      <c r="A62" s="17" t="s">
        <v>97</v>
      </c>
      <c r="B62" s="52"/>
      <c r="C62" s="15"/>
      <c r="D62" s="15">
        <v>1</v>
      </c>
      <c r="E62" s="15"/>
      <c r="F62" s="42">
        <f t="shared" si="0"/>
        <v>1</v>
      </c>
      <c r="G62" s="16" t="s">
        <v>5</v>
      </c>
      <c r="H62" s="56" t="s">
        <v>98</v>
      </c>
      <c r="I62" s="19" t="s">
        <v>21</v>
      </c>
      <c r="J62" s="19" t="s">
        <v>21</v>
      </c>
    </row>
    <row r="63" spans="1:12" x14ac:dyDescent="0.25">
      <c r="A63" s="17" t="s">
        <v>109</v>
      </c>
      <c r="B63" s="52">
        <v>1</v>
      </c>
      <c r="C63" s="15"/>
      <c r="D63" s="15">
        <v>1</v>
      </c>
      <c r="E63" s="15"/>
      <c r="F63" s="42">
        <f t="shared" si="0"/>
        <v>2</v>
      </c>
      <c r="G63" s="16"/>
      <c r="H63" s="56" t="s">
        <v>186</v>
      </c>
      <c r="I63" s="19" t="s">
        <v>187</v>
      </c>
      <c r="J63" s="19" t="s">
        <v>21</v>
      </c>
    </row>
    <row r="64" spans="1:12" s="12" customFormat="1" ht="15.75" customHeight="1" x14ac:dyDescent="0.25">
      <c r="A64" s="7" t="s">
        <v>7</v>
      </c>
      <c r="B64" s="8">
        <f>SUM(B54:B63)</f>
        <v>2</v>
      </c>
      <c r="C64" s="8">
        <f>SUM(C54:C63)</f>
        <v>4</v>
      </c>
      <c r="D64" s="8">
        <f>SUM(D54:D63)</f>
        <v>8</v>
      </c>
      <c r="E64" s="8">
        <f>SUM(E54:E63)</f>
        <v>3</v>
      </c>
      <c r="F64" s="14">
        <f>SUM(F54:F63)</f>
        <v>17</v>
      </c>
      <c r="G64" s="283"/>
      <c r="H64" s="284"/>
      <c r="I64" s="9"/>
      <c r="J64" s="10"/>
      <c r="K64" s="11"/>
    </row>
    <row r="66" spans="1:12" s="2" customFormat="1" ht="13.5" thickBot="1" x14ac:dyDescent="0.3">
      <c r="A66" s="2" t="s">
        <v>40</v>
      </c>
      <c r="B66" s="13" t="str">
        <f>$M$1</f>
        <v>JANEIRO</v>
      </c>
      <c r="C66" s="4">
        <f>$N$1</f>
        <v>2018</v>
      </c>
      <c r="D66" s="3"/>
      <c r="E66" s="3"/>
      <c r="F66" s="3"/>
      <c r="G66" s="3"/>
      <c r="I66" s="4"/>
      <c r="J66" s="5"/>
      <c r="K66" s="6"/>
    </row>
    <row r="67" spans="1:12" s="2" customFormat="1" ht="13.5" thickBot="1" x14ac:dyDescent="0.3">
      <c r="A67" s="20" t="s">
        <v>14</v>
      </c>
      <c r="B67" s="21" t="s">
        <v>0</v>
      </c>
      <c r="C67" s="21" t="s">
        <v>1</v>
      </c>
      <c r="D67" s="21" t="s">
        <v>2</v>
      </c>
      <c r="E67" s="21" t="s">
        <v>3</v>
      </c>
      <c r="F67" s="21" t="s">
        <v>4</v>
      </c>
      <c r="G67" s="22" t="s">
        <v>5</v>
      </c>
      <c r="H67" s="21" t="s">
        <v>6</v>
      </c>
      <c r="I67" s="23" t="s">
        <v>8</v>
      </c>
      <c r="J67" s="24" t="s">
        <v>9</v>
      </c>
      <c r="K67" s="6"/>
      <c r="L67" s="6"/>
    </row>
    <row r="68" spans="1:12" s="86" customFormat="1" x14ac:dyDescent="0.25">
      <c r="A68" s="82" t="s">
        <v>26</v>
      </c>
      <c r="B68" s="77"/>
      <c r="C68" s="77"/>
      <c r="D68" s="77">
        <v>1</v>
      </c>
      <c r="E68" s="77"/>
      <c r="F68" s="77">
        <f t="shared" ref="F68:F74" si="1">SUM(B68:E68)</f>
        <v>1</v>
      </c>
      <c r="G68" s="83"/>
      <c r="H68" s="84" t="s">
        <v>27</v>
      </c>
      <c r="I68" s="84" t="s">
        <v>28</v>
      </c>
      <c r="J68" s="85" t="s">
        <v>40</v>
      </c>
    </row>
    <row r="69" spans="1:12" s="86" customFormat="1" x14ac:dyDescent="0.25">
      <c r="A69" s="82" t="s">
        <v>119</v>
      </c>
      <c r="B69" s="77">
        <v>1</v>
      </c>
      <c r="C69" s="77">
        <v>1</v>
      </c>
      <c r="D69" s="77"/>
      <c r="E69" s="77"/>
      <c r="F69" s="77">
        <f t="shared" si="1"/>
        <v>2</v>
      </c>
      <c r="G69" s="83"/>
      <c r="H69" s="84" t="s">
        <v>41</v>
      </c>
      <c r="I69" s="82" t="s">
        <v>19</v>
      </c>
      <c r="J69" s="85" t="s">
        <v>40</v>
      </c>
    </row>
    <row r="70" spans="1:12" s="86" customFormat="1" x14ac:dyDescent="0.25">
      <c r="A70" s="82" t="s">
        <v>31</v>
      </c>
      <c r="B70" s="77"/>
      <c r="C70" s="77"/>
      <c r="D70" s="77"/>
      <c r="E70" s="77">
        <v>2</v>
      </c>
      <c r="F70" s="77">
        <f t="shared" si="1"/>
        <v>2</v>
      </c>
      <c r="G70" s="83"/>
      <c r="H70" s="84" t="s">
        <v>12</v>
      </c>
      <c r="I70" s="84" t="s">
        <v>19</v>
      </c>
      <c r="J70" s="85" t="s">
        <v>40</v>
      </c>
    </row>
    <row r="71" spans="1:12" s="86" customFormat="1" x14ac:dyDescent="0.25">
      <c r="A71" s="82" t="s">
        <v>13</v>
      </c>
      <c r="B71" s="77"/>
      <c r="C71" s="77"/>
      <c r="D71" s="77">
        <v>2</v>
      </c>
      <c r="E71" s="77"/>
      <c r="F71" s="77">
        <f t="shared" si="1"/>
        <v>2</v>
      </c>
      <c r="G71" s="83"/>
      <c r="H71" s="84" t="s">
        <v>12</v>
      </c>
      <c r="I71" s="84" t="s">
        <v>19</v>
      </c>
      <c r="J71" s="85" t="s">
        <v>40</v>
      </c>
    </row>
    <row r="72" spans="1:12" s="86" customFormat="1" x14ac:dyDescent="0.25">
      <c r="A72" s="82" t="s">
        <v>118</v>
      </c>
      <c r="B72" s="77"/>
      <c r="C72" s="77">
        <v>4</v>
      </c>
      <c r="D72" s="77"/>
      <c r="E72" s="77"/>
      <c r="F72" s="77">
        <f t="shared" si="1"/>
        <v>4</v>
      </c>
      <c r="G72" s="83" t="s">
        <v>5</v>
      </c>
      <c r="H72" s="84" t="s">
        <v>12</v>
      </c>
      <c r="I72" s="82" t="s">
        <v>19</v>
      </c>
      <c r="J72" s="85" t="s">
        <v>40</v>
      </c>
    </row>
    <row r="73" spans="1:12" s="86" customFormat="1" x14ac:dyDescent="0.25">
      <c r="A73" s="82" t="s">
        <v>110</v>
      </c>
      <c r="B73" s="77"/>
      <c r="C73" s="77"/>
      <c r="D73" s="77">
        <v>1</v>
      </c>
      <c r="E73" s="77"/>
      <c r="F73" s="77">
        <f t="shared" si="1"/>
        <v>1</v>
      </c>
      <c r="G73" s="83"/>
      <c r="H73" s="84" t="s">
        <v>51</v>
      </c>
      <c r="I73" s="84" t="s">
        <v>52</v>
      </c>
      <c r="J73" s="85" t="s">
        <v>40</v>
      </c>
    </row>
    <row r="74" spans="1:12" s="86" customFormat="1" x14ac:dyDescent="0.25">
      <c r="A74" s="82" t="s">
        <v>29</v>
      </c>
      <c r="B74" s="77"/>
      <c r="C74" s="77">
        <v>1</v>
      </c>
      <c r="D74" s="77"/>
      <c r="E74" s="77"/>
      <c r="F74" s="77">
        <f t="shared" si="1"/>
        <v>1</v>
      </c>
      <c r="G74" s="83"/>
      <c r="H74" s="84" t="s">
        <v>30</v>
      </c>
      <c r="I74" s="84" t="s">
        <v>10</v>
      </c>
      <c r="J74" s="85" t="s">
        <v>40</v>
      </c>
    </row>
    <row r="75" spans="1:12" s="86" customFormat="1" x14ac:dyDescent="0.25">
      <c r="A75" s="82" t="s">
        <v>54</v>
      </c>
      <c r="B75" s="77"/>
      <c r="C75" s="77">
        <v>1</v>
      </c>
      <c r="D75" s="77"/>
      <c r="E75" s="77"/>
      <c r="F75" s="77">
        <f>SUM(B75:E75)</f>
        <v>1</v>
      </c>
      <c r="G75" s="83"/>
      <c r="H75" s="84" t="s">
        <v>12</v>
      </c>
      <c r="I75" s="82" t="s">
        <v>19</v>
      </c>
      <c r="J75" s="85" t="s">
        <v>40</v>
      </c>
    </row>
    <row r="76" spans="1:12" s="86" customFormat="1" x14ac:dyDescent="0.25">
      <c r="A76" s="82" t="s">
        <v>131</v>
      </c>
      <c r="B76" s="77">
        <v>1</v>
      </c>
      <c r="C76" s="77"/>
      <c r="D76" s="77"/>
      <c r="E76" s="77"/>
      <c r="F76" s="77">
        <f>SUM(B76:E76)</f>
        <v>1</v>
      </c>
      <c r="G76" s="83"/>
      <c r="H76" s="84" t="s">
        <v>111</v>
      </c>
      <c r="I76" s="82" t="s">
        <v>112</v>
      </c>
      <c r="J76" s="85" t="s">
        <v>40</v>
      </c>
    </row>
    <row r="77" spans="1:12" s="86" customFormat="1" x14ac:dyDescent="0.25">
      <c r="A77" s="82" t="s">
        <v>113</v>
      </c>
      <c r="B77" s="77">
        <v>1</v>
      </c>
      <c r="C77" s="77"/>
      <c r="D77" s="77"/>
      <c r="E77" s="77"/>
      <c r="F77" s="77">
        <f>SUM(B77:E77)</f>
        <v>1</v>
      </c>
      <c r="G77" s="83"/>
      <c r="H77" s="84" t="s">
        <v>114</v>
      </c>
      <c r="I77" s="82" t="s">
        <v>115</v>
      </c>
      <c r="J77" s="85" t="s">
        <v>40</v>
      </c>
    </row>
    <row r="78" spans="1:12" s="86" customFormat="1" x14ac:dyDescent="0.25">
      <c r="A78" s="82" t="s">
        <v>116</v>
      </c>
      <c r="B78" s="77"/>
      <c r="C78" s="77"/>
      <c r="D78" s="77">
        <v>3</v>
      </c>
      <c r="E78" s="77"/>
      <c r="F78" s="77">
        <f>SUM(B78:E78)</f>
        <v>3</v>
      </c>
      <c r="G78" s="83"/>
      <c r="H78" s="84" t="s">
        <v>12</v>
      </c>
      <c r="I78" s="84" t="s">
        <v>19</v>
      </c>
      <c r="J78" s="85" t="s">
        <v>40</v>
      </c>
    </row>
    <row r="79" spans="1:12" s="12" customFormat="1" ht="15.75" customHeight="1" x14ac:dyDescent="0.25">
      <c r="A79" s="7" t="s">
        <v>7</v>
      </c>
      <c r="B79" s="8">
        <f>SUM(B68:B78)</f>
        <v>3</v>
      </c>
      <c r="C79" s="8">
        <f>SUM(C68:C78)</f>
        <v>7</v>
      </c>
      <c r="D79" s="8">
        <f>SUM(D68:D78)</f>
        <v>7</v>
      </c>
      <c r="E79" s="8">
        <f>SUM(E68:E78)</f>
        <v>2</v>
      </c>
      <c r="F79" s="14">
        <f>SUM(F68:F78)</f>
        <v>19</v>
      </c>
      <c r="G79" s="283"/>
      <c r="H79" s="284"/>
      <c r="I79" s="9"/>
      <c r="J79" s="10"/>
      <c r="K79" s="11"/>
    </row>
    <row r="81" spans="1:12" s="2" customFormat="1" ht="13.5" thickBot="1" x14ac:dyDescent="0.3">
      <c r="A81" s="2" t="s">
        <v>22</v>
      </c>
      <c r="B81" s="13" t="str">
        <f>$M$1</f>
        <v>JANEIRO</v>
      </c>
      <c r="C81" s="4">
        <f>$N$1</f>
        <v>2018</v>
      </c>
      <c r="D81" s="3"/>
      <c r="E81" s="3"/>
      <c r="F81" s="3"/>
      <c r="G81" s="3"/>
      <c r="I81" s="4"/>
      <c r="J81" s="5"/>
      <c r="K81" s="6"/>
    </row>
    <row r="82" spans="1:12" s="2" customFormat="1" ht="13.5" thickBot="1" x14ac:dyDescent="0.3">
      <c r="A82" s="20" t="s">
        <v>14</v>
      </c>
      <c r="B82" s="21" t="s">
        <v>0</v>
      </c>
      <c r="C82" s="21" t="s">
        <v>1</v>
      </c>
      <c r="D82" s="21" t="s">
        <v>2</v>
      </c>
      <c r="E82" s="21" t="s">
        <v>3</v>
      </c>
      <c r="F82" s="21" t="s">
        <v>4</v>
      </c>
      <c r="G82" s="22" t="s">
        <v>5</v>
      </c>
      <c r="H82" s="21" t="s">
        <v>6</v>
      </c>
      <c r="I82" s="23" t="s">
        <v>8</v>
      </c>
      <c r="J82" s="24" t="s">
        <v>9</v>
      </c>
      <c r="K82" s="6"/>
      <c r="L82" s="6"/>
    </row>
    <row r="83" spans="1:12" x14ac:dyDescent="0.25">
      <c r="A83" s="17" t="s">
        <v>62</v>
      </c>
      <c r="B83" s="42">
        <v>1</v>
      </c>
      <c r="C83" s="42"/>
      <c r="D83" s="42"/>
      <c r="E83" s="42"/>
      <c r="F83" s="42">
        <f>SUM(B83:E83)</f>
        <v>1</v>
      </c>
      <c r="G83" s="43"/>
      <c r="H83" s="17" t="s">
        <v>63</v>
      </c>
      <c r="I83" s="44" t="s">
        <v>184</v>
      </c>
      <c r="J83" s="19" t="s">
        <v>185</v>
      </c>
    </row>
    <row r="84" spans="1:12" s="12" customFormat="1" ht="15.75" customHeight="1" x14ac:dyDescent="0.25">
      <c r="A84" s="7" t="s">
        <v>7</v>
      </c>
      <c r="B84" s="8">
        <f>SUM(B83:B83)</f>
        <v>1</v>
      </c>
      <c r="C84" s="8">
        <f>SUM(C83:C83)</f>
        <v>0</v>
      </c>
      <c r="D84" s="8">
        <f>SUM(D83:D83)</f>
        <v>0</v>
      </c>
      <c r="E84" s="8">
        <f>SUM(E83:E83)</f>
        <v>0</v>
      </c>
      <c r="F84" s="14">
        <f>SUM(F83:F83)</f>
        <v>1</v>
      </c>
      <c r="G84" s="283"/>
      <c r="H84" s="284"/>
      <c r="I84" s="9"/>
      <c r="J84" s="10"/>
      <c r="K84" s="11"/>
    </row>
    <row r="86" spans="1:12" s="2" customFormat="1" ht="13.5" thickBot="1" x14ac:dyDescent="0.3">
      <c r="A86" s="2" t="s">
        <v>48</v>
      </c>
      <c r="B86" s="13" t="str">
        <f>$M$1</f>
        <v>JANEIRO</v>
      </c>
      <c r="C86" s="4">
        <f>$N$1</f>
        <v>2018</v>
      </c>
      <c r="D86" s="3"/>
      <c r="E86" s="3"/>
      <c r="F86" s="3"/>
      <c r="G86" s="3"/>
      <c r="I86" s="4"/>
      <c r="J86" s="5"/>
      <c r="K86" s="6"/>
    </row>
    <row r="87" spans="1:12" s="2" customFormat="1" ht="13.5" thickBot="1" x14ac:dyDescent="0.3">
      <c r="A87" s="20" t="s">
        <v>14</v>
      </c>
      <c r="B87" s="21" t="s">
        <v>0</v>
      </c>
      <c r="C87" s="21" t="s">
        <v>1</v>
      </c>
      <c r="D87" s="21" t="s">
        <v>2</v>
      </c>
      <c r="E87" s="21" t="s">
        <v>3</v>
      </c>
      <c r="F87" s="21" t="s">
        <v>4</v>
      </c>
      <c r="G87" s="22" t="s">
        <v>5</v>
      </c>
      <c r="H87" s="21" t="s">
        <v>6</v>
      </c>
      <c r="I87" s="23" t="s">
        <v>8</v>
      </c>
      <c r="J87" s="24" t="s">
        <v>9</v>
      </c>
      <c r="K87" s="6"/>
      <c r="L87" s="6"/>
    </row>
    <row r="88" spans="1:12" x14ac:dyDescent="0.25">
      <c r="A88" s="1" t="s">
        <v>78</v>
      </c>
      <c r="B88" s="15"/>
      <c r="C88" s="15"/>
      <c r="D88" s="15">
        <v>1</v>
      </c>
      <c r="E88" s="15"/>
      <c r="F88" s="42">
        <f>SUM(B88:E88)</f>
        <v>1</v>
      </c>
      <c r="G88" s="30" t="s">
        <v>5</v>
      </c>
      <c r="H88" s="17" t="s">
        <v>82</v>
      </c>
      <c r="I88" s="18" t="s">
        <v>83</v>
      </c>
      <c r="J88" s="19" t="s">
        <v>48</v>
      </c>
    </row>
    <row r="89" spans="1:12" x14ac:dyDescent="0.25">
      <c r="A89" s="1" t="s">
        <v>79</v>
      </c>
      <c r="B89" s="15"/>
      <c r="C89" s="15"/>
      <c r="D89" s="15"/>
      <c r="E89" s="15">
        <v>2</v>
      </c>
      <c r="F89" s="42">
        <f>SUM(B89:E89)</f>
        <v>2</v>
      </c>
      <c r="G89" s="16" t="s">
        <v>5</v>
      </c>
      <c r="H89" s="19" t="s">
        <v>121</v>
      </c>
      <c r="I89" s="19" t="s">
        <v>84</v>
      </c>
      <c r="J89" s="19" t="s">
        <v>48</v>
      </c>
    </row>
    <row r="90" spans="1:12" x14ac:dyDescent="0.25">
      <c r="A90" s="1" t="s">
        <v>80</v>
      </c>
      <c r="B90" s="15">
        <v>1</v>
      </c>
      <c r="C90" s="15"/>
      <c r="D90" s="15"/>
      <c r="E90" s="15"/>
      <c r="F90" s="42">
        <f>SUM(B90:E90)</f>
        <v>1</v>
      </c>
      <c r="G90" s="16"/>
      <c r="H90" s="19" t="s">
        <v>85</v>
      </c>
      <c r="I90" s="19" t="s">
        <v>86</v>
      </c>
      <c r="J90" s="19" t="s">
        <v>48</v>
      </c>
    </row>
    <row r="91" spans="1:12" x14ac:dyDescent="0.25">
      <c r="A91" s="1" t="s">
        <v>81</v>
      </c>
      <c r="B91" s="15"/>
      <c r="C91" s="15"/>
      <c r="D91" s="15">
        <v>1</v>
      </c>
      <c r="E91" s="15"/>
      <c r="F91" s="42">
        <f>SUM(B91:E91)</f>
        <v>1</v>
      </c>
      <c r="G91" s="16"/>
      <c r="H91" s="17" t="s">
        <v>87</v>
      </c>
      <c r="I91" s="18" t="s">
        <v>88</v>
      </c>
      <c r="J91" s="19" t="s">
        <v>48</v>
      </c>
    </row>
    <row r="92" spans="1:12" x14ac:dyDescent="0.25">
      <c r="A92" s="1" t="s">
        <v>123</v>
      </c>
      <c r="B92" s="15"/>
      <c r="C92" s="15"/>
      <c r="D92" s="15">
        <v>1</v>
      </c>
      <c r="E92" s="15"/>
      <c r="F92" s="42">
        <f>SUM(B92:E92)</f>
        <v>1</v>
      </c>
      <c r="G92" s="16" t="s">
        <v>5</v>
      </c>
      <c r="H92" s="17" t="s">
        <v>124</v>
      </c>
      <c r="I92" s="18" t="s">
        <v>125</v>
      </c>
      <c r="J92" s="19" t="s">
        <v>48</v>
      </c>
    </row>
    <row r="93" spans="1:12" s="12" customFormat="1" ht="15.75" customHeight="1" x14ac:dyDescent="0.25">
      <c r="A93" s="7" t="s">
        <v>7</v>
      </c>
      <c r="B93" s="8">
        <f>SUM(B88:B92)</f>
        <v>1</v>
      </c>
      <c r="C93" s="8">
        <f>SUM(C88:C92)</f>
        <v>0</v>
      </c>
      <c r="D93" s="8">
        <f>SUM(D88:D92)</f>
        <v>3</v>
      </c>
      <c r="E93" s="8">
        <f>SUM(E88:E92)</f>
        <v>2</v>
      </c>
      <c r="F93" s="14">
        <f>SUM(F88:F92)</f>
        <v>6</v>
      </c>
      <c r="G93" s="283"/>
      <c r="H93" s="284"/>
      <c r="I93" s="9"/>
      <c r="J93" s="10"/>
      <c r="K93" s="11"/>
    </row>
    <row r="95" spans="1:12" s="2" customFormat="1" ht="13.5" thickBot="1" x14ac:dyDescent="0.3">
      <c r="A95" s="2" t="s">
        <v>16</v>
      </c>
      <c r="B95" s="13" t="str">
        <f>$M$1</f>
        <v>JANEIRO</v>
      </c>
      <c r="C95" s="4">
        <f>$N$1</f>
        <v>2018</v>
      </c>
      <c r="D95" s="3"/>
      <c r="E95" s="3"/>
      <c r="F95" s="3"/>
      <c r="G95" s="3"/>
      <c r="I95" s="4"/>
      <c r="J95" s="5"/>
      <c r="K95" s="6"/>
    </row>
    <row r="96" spans="1:12" s="2" customFormat="1" ht="13.5" thickBot="1" x14ac:dyDescent="0.3">
      <c r="A96" s="20" t="s">
        <v>14</v>
      </c>
      <c r="B96" s="21" t="s">
        <v>0</v>
      </c>
      <c r="C96" s="21" t="s">
        <v>1</v>
      </c>
      <c r="D96" s="21" t="s">
        <v>2</v>
      </c>
      <c r="E96" s="21" t="s">
        <v>3</v>
      </c>
      <c r="F96" s="21" t="s">
        <v>4</v>
      </c>
      <c r="G96" s="22" t="s">
        <v>5</v>
      </c>
      <c r="H96" s="21" t="s">
        <v>6</v>
      </c>
      <c r="I96" s="23" t="s">
        <v>8</v>
      </c>
      <c r="J96" s="24" t="s">
        <v>9</v>
      </c>
      <c r="K96" s="6"/>
      <c r="L96" s="6"/>
    </row>
    <row r="97" spans="1:12" x14ac:dyDescent="0.25">
      <c r="A97" s="17" t="s">
        <v>20</v>
      </c>
      <c r="B97" s="42"/>
      <c r="C97" s="42">
        <v>1</v>
      </c>
      <c r="D97" s="42"/>
      <c r="E97" s="42"/>
      <c r="F97" s="42">
        <f>SUM(B97:E97)</f>
        <v>1</v>
      </c>
      <c r="G97" s="43"/>
      <c r="H97" s="17" t="s">
        <v>59</v>
      </c>
      <c r="I97" s="44" t="s">
        <v>188</v>
      </c>
      <c r="J97" s="19" t="s">
        <v>17</v>
      </c>
    </row>
    <row r="98" spans="1:12" s="12" customFormat="1" ht="15.75" customHeight="1" x14ac:dyDescent="0.25">
      <c r="A98" s="7" t="s">
        <v>7</v>
      </c>
      <c r="B98" s="8">
        <f>SUM(B97)</f>
        <v>0</v>
      </c>
      <c r="C98" s="8">
        <f>SUM(C97)</f>
        <v>1</v>
      </c>
      <c r="D98" s="8">
        <f>SUM(D97)</f>
        <v>0</v>
      </c>
      <c r="E98" s="8">
        <f>SUM(E97)</f>
        <v>0</v>
      </c>
      <c r="F98" s="14">
        <f>SUM(F97)</f>
        <v>1</v>
      </c>
      <c r="G98" s="283"/>
      <c r="H98" s="284"/>
      <c r="I98" s="9"/>
      <c r="J98" s="10"/>
      <c r="K98" s="11"/>
    </row>
    <row r="100" spans="1:12" s="2" customFormat="1" ht="13.5" thickBot="1" x14ac:dyDescent="0.3">
      <c r="A100" s="2" t="s">
        <v>60</v>
      </c>
      <c r="B100" s="13" t="str">
        <f>$M$1</f>
        <v>JANEIRO</v>
      </c>
      <c r="C100" s="4">
        <f>$N$1</f>
        <v>2018</v>
      </c>
      <c r="D100" s="3"/>
      <c r="E100" s="3"/>
      <c r="F100" s="3"/>
      <c r="G100" s="3"/>
      <c r="I100" s="4"/>
      <c r="J100" s="5"/>
      <c r="K100" s="6"/>
    </row>
    <row r="101" spans="1:12" s="2" customFormat="1" ht="13.5" thickBot="1" x14ac:dyDescent="0.3">
      <c r="A101" s="20" t="s">
        <v>14</v>
      </c>
      <c r="B101" s="21" t="s">
        <v>0</v>
      </c>
      <c r="C101" s="21" t="s">
        <v>1</v>
      </c>
      <c r="D101" s="21" t="s">
        <v>2</v>
      </c>
      <c r="E101" s="21" t="s">
        <v>3</v>
      </c>
      <c r="F101" s="21" t="s">
        <v>4</v>
      </c>
      <c r="G101" s="22" t="s">
        <v>5</v>
      </c>
      <c r="H101" s="21" t="s">
        <v>6</v>
      </c>
      <c r="I101" s="23" t="s">
        <v>8</v>
      </c>
      <c r="J101" s="24" t="s">
        <v>9</v>
      </c>
      <c r="K101" s="6"/>
      <c r="L101" s="6"/>
    </row>
    <row r="102" spans="1:12" x14ac:dyDescent="0.25">
      <c r="A102" s="1" t="s">
        <v>60</v>
      </c>
      <c r="B102" s="15">
        <v>1</v>
      </c>
      <c r="C102" s="15">
        <v>1</v>
      </c>
      <c r="D102" s="15">
        <v>1</v>
      </c>
      <c r="E102" s="15">
        <v>1</v>
      </c>
      <c r="F102" s="42">
        <f>SUM(B102:E102)</f>
        <v>4</v>
      </c>
      <c r="G102" s="30"/>
      <c r="H102" s="17" t="s">
        <v>61</v>
      </c>
      <c r="I102" s="18" t="s">
        <v>61</v>
      </c>
      <c r="J102" s="19" t="s">
        <v>60</v>
      </c>
    </row>
    <row r="103" spans="1:12" s="12" customFormat="1" ht="15.75" customHeight="1" x14ac:dyDescent="0.25">
      <c r="A103" s="7" t="s">
        <v>7</v>
      </c>
      <c r="B103" s="8">
        <f>SUM(B102:B102)</f>
        <v>1</v>
      </c>
      <c r="C103" s="8">
        <f>SUM(C102:C102)</f>
        <v>1</v>
      </c>
      <c r="D103" s="8">
        <f>SUM(D102:D102)</f>
        <v>1</v>
      </c>
      <c r="E103" s="8">
        <f>SUM(E102:E102)</f>
        <v>1</v>
      </c>
      <c r="F103" s="14">
        <f>SUM(F102:F102)</f>
        <v>4</v>
      </c>
      <c r="G103" s="283"/>
      <c r="H103" s="284"/>
      <c r="I103" s="9"/>
      <c r="J103" s="10"/>
      <c r="K103" s="11"/>
    </row>
    <row r="105" spans="1:12" s="2" customFormat="1" ht="13.5" thickBot="1" x14ac:dyDescent="0.3">
      <c r="A105" s="2" t="s">
        <v>32</v>
      </c>
      <c r="B105" s="13" t="str">
        <f>$M$1</f>
        <v>JANEIRO</v>
      </c>
      <c r="C105" s="4">
        <f>$N$1</f>
        <v>2018</v>
      </c>
      <c r="D105" s="3"/>
      <c r="E105" s="3"/>
      <c r="F105" s="3"/>
      <c r="G105" s="3"/>
      <c r="I105" s="4"/>
      <c r="J105" s="5"/>
      <c r="K105" s="6"/>
    </row>
    <row r="106" spans="1:12" s="2" customFormat="1" ht="13.5" thickBot="1" x14ac:dyDescent="0.3">
      <c r="A106" s="20" t="s">
        <v>14</v>
      </c>
      <c r="B106" s="21" t="s">
        <v>0</v>
      </c>
      <c r="C106" s="21" t="s">
        <v>1</v>
      </c>
      <c r="D106" s="21" t="s">
        <v>2</v>
      </c>
      <c r="E106" s="21" t="s">
        <v>3</v>
      </c>
      <c r="F106" s="21" t="s">
        <v>4</v>
      </c>
      <c r="G106" s="22" t="s">
        <v>5</v>
      </c>
      <c r="H106" s="21" t="s">
        <v>6</v>
      </c>
      <c r="I106" s="23" t="s">
        <v>8</v>
      </c>
      <c r="J106" s="24" t="s">
        <v>9</v>
      </c>
      <c r="K106" s="6"/>
      <c r="L106" s="6"/>
    </row>
    <row r="107" spans="1:12" x14ac:dyDescent="0.25">
      <c r="A107" s="1" t="s">
        <v>25</v>
      </c>
      <c r="B107" s="15"/>
      <c r="C107" s="15"/>
      <c r="D107" s="15">
        <v>2</v>
      </c>
      <c r="E107" s="15"/>
      <c r="F107" s="42">
        <f>SUM(B107:E107)</f>
        <v>2</v>
      </c>
      <c r="G107" s="30"/>
      <c r="H107" s="17" t="s">
        <v>25</v>
      </c>
      <c r="I107" s="18" t="s">
        <v>25</v>
      </c>
      <c r="J107" s="19" t="s">
        <v>33</v>
      </c>
    </row>
    <row r="108" spans="1:12" x14ac:dyDescent="0.25">
      <c r="A108" s="1" t="s">
        <v>34</v>
      </c>
      <c r="B108" s="15"/>
      <c r="C108" s="15">
        <v>1</v>
      </c>
      <c r="D108" s="15">
        <v>2</v>
      </c>
      <c r="E108" s="15">
        <v>1</v>
      </c>
      <c r="F108" s="42">
        <f>SUM(B108:E108)</f>
        <v>4</v>
      </c>
      <c r="G108" s="16"/>
      <c r="H108" s="19" t="s">
        <v>58</v>
      </c>
      <c r="I108" s="19" t="s">
        <v>34</v>
      </c>
      <c r="J108" s="19" t="s">
        <v>33</v>
      </c>
    </row>
    <row r="109" spans="1:12" x14ac:dyDescent="0.25">
      <c r="A109" s="1" t="s">
        <v>190</v>
      </c>
      <c r="B109" s="15"/>
      <c r="C109" s="15"/>
      <c r="D109" s="15">
        <v>1</v>
      </c>
      <c r="E109" s="15"/>
      <c r="F109" s="42">
        <f>SUM(B109:E109)</f>
        <v>1</v>
      </c>
      <c r="G109" s="16" t="s">
        <v>5</v>
      </c>
      <c r="H109" s="19" t="s">
        <v>189</v>
      </c>
      <c r="I109" s="19" t="s">
        <v>84</v>
      </c>
      <c r="J109" s="19" t="s">
        <v>33</v>
      </c>
    </row>
    <row r="110" spans="1:12" s="12" customFormat="1" ht="15.75" customHeight="1" x14ac:dyDescent="0.25">
      <c r="A110" s="7" t="s">
        <v>7</v>
      </c>
      <c r="B110" s="8">
        <f>SUM(B107:B109)</f>
        <v>0</v>
      </c>
      <c r="C110" s="8">
        <f>SUM(C107:C109)</f>
        <v>1</v>
      </c>
      <c r="D110" s="8">
        <f>SUM(D107:D109)</f>
        <v>5</v>
      </c>
      <c r="E110" s="8">
        <f>SUM(E107:E109)</f>
        <v>1</v>
      </c>
      <c r="F110" s="14">
        <f>SUM(F107:F109)</f>
        <v>7</v>
      </c>
      <c r="G110" s="283"/>
      <c r="H110" s="284"/>
      <c r="I110" s="9"/>
      <c r="J110" s="10"/>
      <c r="K110" s="11"/>
    </row>
    <row r="112" spans="1:12" s="2" customFormat="1" ht="13.5" thickBot="1" x14ac:dyDescent="0.3">
      <c r="A112" s="2" t="s">
        <v>11</v>
      </c>
      <c r="B112" s="13" t="str">
        <f>$M$1</f>
        <v>JANEIRO</v>
      </c>
      <c r="C112" s="4">
        <f>$N$1</f>
        <v>2018</v>
      </c>
      <c r="D112" s="3"/>
      <c r="E112" s="3"/>
      <c r="F112" s="3"/>
      <c r="G112" s="3"/>
      <c r="I112" s="4"/>
      <c r="K112" s="6"/>
    </row>
    <row r="113" spans="1:15" s="2" customFormat="1" ht="13.5" thickBot="1" x14ac:dyDescent="0.3">
      <c r="A113" s="20" t="s">
        <v>14</v>
      </c>
      <c r="B113" s="21" t="s">
        <v>0</v>
      </c>
      <c r="C113" s="21" t="s">
        <v>1</v>
      </c>
      <c r="D113" s="21" t="s">
        <v>2</v>
      </c>
      <c r="E113" s="21" t="s">
        <v>3</v>
      </c>
      <c r="F113" s="21" t="s">
        <v>4</v>
      </c>
      <c r="G113" s="22" t="s">
        <v>5</v>
      </c>
      <c r="H113" s="21" t="s">
        <v>6</v>
      </c>
      <c r="I113" s="23" t="s">
        <v>8</v>
      </c>
      <c r="J113" s="24" t="s">
        <v>9</v>
      </c>
      <c r="K113" s="6"/>
      <c r="L113" s="6"/>
    </row>
    <row r="114" spans="1:15" s="94" customFormat="1" ht="12.95" customHeight="1" x14ac:dyDescent="0.25">
      <c r="A114" s="87" t="s">
        <v>134</v>
      </c>
      <c r="B114" s="88"/>
      <c r="C114" s="88"/>
      <c r="D114" s="88">
        <v>2</v>
      </c>
      <c r="E114" s="88"/>
      <c r="F114" s="89">
        <f t="shared" ref="F114:F121" si="2">SUM(B114:E114)</f>
        <v>2</v>
      </c>
      <c r="G114" s="90" t="s">
        <v>5</v>
      </c>
      <c r="H114" s="91" t="s">
        <v>132</v>
      </c>
      <c r="I114" s="92" t="s">
        <v>133</v>
      </c>
      <c r="J114" s="93" t="s">
        <v>42</v>
      </c>
    </row>
    <row r="115" spans="1:15" s="94" customFormat="1" ht="12.95" customHeight="1" x14ac:dyDescent="0.25">
      <c r="A115" s="87" t="s">
        <v>196</v>
      </c>
      <c r="B115" s="88"/>
      <c r="C115" s="88"/>
      <c r="D115" s="88">
        <v>1</v>
      </c>
      <c r="E115" s="88"/>
      <c r="F115" s="89">
        <f t="shared" si="2"/>
        <v>1</v>
      </c>
      <c r="G115" s="90" t="s">
        <v>5</v>
      </c>
      <c r="H115" s="91" t="s">
        <v>170</v>
      </c>
      <c r="I115" s="92" t="s">
        <v>40</v>
      </c>
      <c r="J115" s="93" t="s">
        <v>42</v>
      </c>
    </row>
    <row r="116" spans="1:15" s="94" customFormat="1" ht="26.25" customHeight="1" x14ac:dyDescent="0.25">
      <c r="A116" s="87" t="s">
        <v>135</v>
      </c>
      <c r="B116" s="88"/>
      <c r="C116" s="88"/>
      <c r="D116" s="88">
        <v>1</v>
      </c>
      <c r="E116" s="88"/>
      <c r="F116" s="89">
        <f t="shared" si="2"/>
        <v>1</v>
      </c>
      <c r="G116" s="90"/>
      <c r="H116" s="91" t="s">
        <v>136</v>
      </c>
      <c r="I116" s="92" t="s">
        <v>137</v>
      </c>
      <c r="J116" s="93" t="s">
        <v>42</v>
      </c>
    </row>
    <row r="117" spans="1:15" s="94" customFormat="1" ht="12.95" customHeight="1" x14ac:dyDescent="0.25">
      <c r="A117" s="87" t="s">
        <v>138</v>
      </c>
      <c r="B117" s="88"/>
      <c r="C117" s="88"/>
      <c r="D117" s="88">
        <v>1</v>
      </c>
      <c r="E117" s="88"/>
      <c r="F117" s="89">
        <f t="shared" si="2"/>
        <v>1</v>
      </c>
      <c r="G117" s="90"/>
      <c r="H117" s="91" t="s">
        <v>139</v>
      </c>
      <c r="I117" s="92" t="s">
        <v>42</v>
      </c>
      <c r="J117" s="93" t="s">
        <v>42</v>
      </c>
      <c r="K117" s="94">
        <v>10</v>
      </c>
    </row>
    <row r="118" spans="1:15" s="94" customFormat="1" ht="26.25" customHeight="1" x14ac:dyDescent="0.25">
      <c r="A118" s="87" t="s">
        <v>143</v>
      </c>
      <c r="B118" s="88"/>
      <c r="C118" s="88">
        <v>1</v>
      </c>
      <c r="D118" s="88"/>
      <c r="E118" s="88"/>
      <c r="F118" s="89">
        <f t="shared" si="2"/>
        <v>1</v>
      </c>
      <c r="G118" s="90"/>
      <c r="H118" s="91" t="s">
        <v>142</v>
      </c>
      <c r="I118" s="95" t="s">
        <v>10</v>
      </c>
      <c r="J118" s="93" t="s">
        <v>42</v>
      </c>
      <c r="K118" s="94">
        <v>3</v>
      </c>
    </row>
    <row r="119" spans="1:15" s="94" customFormat="1" ht="12.95" customHeight="1" x14ac:dyDescent="0.25">
      <c r="A119" s="87" t="s">
        <v>144</v>
      </c>
      <c r="B119" s="88"/>
      <c r="C119" s="88"/>
      <c r="D119" s="88"/>
      <c r="E119" s="88">
        <v>1</v>
      </c>
      <c r="F119" s="89">
        <f t="shared" si="2"/>
        <v>1</v>
      </c>
      <c r="G119" s="90"/>
      <c r="H119" s="91" t="s">
        <v>145</v>
      </c>
      <c r="I119" s="92" t="s">
        <v>146</v>
      </c>
      <c r="J119" s="93" t="s">
        <v>42</v>
      </c>
      <c r="K119" s="94">
        <v>7</v>
      </c>
    </row>
    <row r="120" spans="1:15" s="94" customFormat="1" ht="12.95" customHeight="1" x14ac:dyDescent="0.25">
      <c r="A120" s="87" t="s">
        <v>141</v>
      </c>
      <c r="B120" s="88">
        <v>1</v>
      </c>
      <c r="C120" s="88"/>
      <c r="D120" s="88"/>
      <c r="E120" s="88"/>
      <c r="F120" s="89">
        <f t="shared" si="2"/>
        <v>1</v>
      </c>
      <c r="G120" s="90"/>
      <c r="H120" s="91" t="s">
        <v>139</v>
      </c>
      <c r="I120" s="92" t="s">
        <v>42</v>
      </c>
      <c r="J120" s="93" t="s">
        <v>42</v>
      </c>
      <c r="K120" s="94">
        <v>20</v>
      </c>
    </row>
    <row r="121" spans="1:15" s="94" customFormat="1" ht="12.95" customHeight="1" x14ac:dyDescent="0.25">
      <c r="A121" s="87" t="s">
        <v>140</v>
      </c>
      <c r="B121" s="88"/>
      <c r="C121" s="88"/>
      <c r="D121" s="88">
        <v>1</v>
      </c>
      <c r="E121" s="88"/>
      <c r="F121" s="89">
        <f t="shared" si="2"/>
        <v>1</v>
      </c>
      <c r="G121" s="90"/>
      <c r="H121" s="91" t="s">
        <v>139</v>
      </c>
      <c r="I121" s="92" t="s">
        <v>42</v>
      </c>
      <c r="J121" s="93" t="s">
        <v>42</v>
      </c>
      <c r="K121" s="94">
        <v>14</v>
      </c>
    </row>
    <row r="122" spans="1:15" s="94" customFormat="1" ht="26.25" customHeight="1" x14ac:dyDescent="0.25">
      <c r="A122" s="87" t="s">
        <v>147</v>
      </c>
      <c r="B122" s="88"/>
      <c r="C122" s="88"/>
      <c r="D122" s="88">
        <v>1</v>
      </c>
      <c r="E122" s="88"/>
      <c r="F122" s="89">
        <f t="shared" ref="F122:F127" si="3">SUM(B122:E122)</f>
        <v>1</v>
      </c>
      <c r="G122" s="90"/>
      <c r="H122" s="91" t="s">
        <v>148</v>
      </c>
      <c r="I122" s="92" t="s">
        <v>149</v>
      </c>
      <c r="J122" s="93" t="s">
        <v>42</v>
      </c>
      <c r="K122" s="94">
        <v>15</v>
      </c>
    </row>
    <row r="123" spans="1:15" s="94" customFormat="1" ht="26.25" customHeight="1" x14ac:dyDescent="0.25">
      <c r="A123" s="87" t="s">
        <v>150</v>
      </c>
      <c r="B123" s="88">
        <v>1</v>
      </c>
      <c r="C123" s="88"/>
      <c r="D123" s="88"/>
      <c r="E123" s="88"/>
      <c r="F123" s="89">
        <f t="shared" si="3"/>
        <v>1</v>
      </c>
      <c r="G123" s="90"/>
      <c r="H123" s="91" t="s">
        <v>151</v>
      </c>
      <c r="I123" s="92" t="s">
        <v>152</v>
      </c>
      <c r="J123" s="93" t="s">
        <v>42</v>
      </c>
      <c r="K123" s="94">
        <v>6</v>
      </c>
    </row>
    <row r="124" spans="1:15" s="94" customFormat="1" ht="12.95" customHeight="1" x14ac:dyDescent="0.25">
      <c r="A124" s="87" t="s">
        <v>153</v>
      </c>
      <c r="B124" s="88"/>
      <c r="C124" s="88"/>
      <c r="D124" s="88">
        <v>1</v>
      </c>
      <c r="E124" s="88"/>
      <c r="F124" s="89">
        <f t="shared" si="3"/>
        <v>1</v>
      </c>
      <c r="G124" s="90"/>
      <c r="H124" s="91" t="s">
        <v>154</v>
      </c>
      <c r="I124" s="92" t="s">
        <v>10</v>
      </c>
      <c r="J124" s="93" t="s">
        <v>42</v>
      </c>
      <c r="K124" s="94">
        <v>21</v>
      </c>
    </row>
    <row r="125" spans="1:15" s="94" customFormat="1" ht="26.25" customHeight="1" x14ac:dyDescent="0.25">
      <c r="A125" s="87" t="s">
        <v>155</v>
      </c>
      <c r="B125" s="88"/>
      <c r="C125" s="88"/>
      <c r="D125" s="88">
        <v>1</v>
      </c>
      <c r="E125" s="88"/>
      <c r="F125" s="89">
        <f t="shared" si="3"/>
        <v>1</v>
      </c>
      <c r="G125" s="90"/>
      <c r="H125" s="91" t="s">
        <v>156</v>
      </c>
      <c r="I125" s="92" t="s">
        <v>157</v>
      </c>
      <c r="J125" s="93" t="s">
        <v>42</v>
      </c>
      <c r="K125" s="94">
        <v>6</v>
      </c>
    </row>
    <row r="126" spans="1:15" s="94" customFormat="1" ht="26.25" customHeight="1" x14ac:dyDescent="0.25">
      <c r="A126" s="87" t="s">
        <v>192</v>
      </c>
      <c r="B126" s="88"/>
      <c r="C126" s="88"/>
      <c r="D126" s="88">
        <v>1</v>
      </c>
      <c r="E126" s="88"/>
      <c r="F126" s="89">
        <f>SUM(B126:E126)</f>
        <v>1</v>
      </c>
      <c r="G126" s="90"/>
      <c r="H126" s="91" t="s">
        <v>191</v>
      </c>
      <c r="I126" s="92" t="s">
        <v>127</v>
      </c>
      <c r="J126" s="93" t="s">
        <v>42</v>
      </c>
      <c r="K126" s="94">
        <v>6</v>
      </c>
    </row>
    <row r="127" spans="1:15" s="94" customFormat="1" ht="12.95" customHeight="1" x14ac:dyDescent="0.25">
      <c r="A127" s="87" t="s">
        <v>158</v>
      </c>
      <c r="B127" s="88">
        <v>1</v>
      </c>
      <c r="C127" s="88"/>
      <c r="D127" s="88"/>
      <c r="E127" s="88"/>
      <c r="F127" s="89">
        <f t="shared" si="3"/>
        <v>1</v>
      </c>
      <c r="G127" s="90"/>
      <c r="H127" s="91" t="s">
        <v>159</v>
      </c>
      <c r="I127" s="92" t="s">
        <v>160</v>
      </c>
      <c r="J127" s="93" t="s">
        <v>42</v>
      </c>
      <c r="K127" s="94">
        <v>28</v>
      </c>
    </row>
    <row r="128" spans="1:15" s="94" customFormat="1" ht="26.25" customHeight="1" x14ac:dyDescent="0.25">
      <c r="A128" s="87" t="s">
        <v>161</v>
      </c>
      <c r="B128" s="88">
        <v>1</v>
      </c>
      <c r="C128" s="88"/>
      <c r="D128" s="88">
        <v>1</v>
      </c>
      <c r="E128" s="88"/>
      <c r="F128" s="89">
        <f t="shared" ref="F128:F138" si="4">SUM(B128:E128)</f>
        <v>2</v>
      </c>
      <c r="G128" s="90" t="s">
        <v>5</v>
      </c>
      <c r="H128" s="91" t="s">
        <v>162</v>
      </c>
      <c r="I128" s="92" t="s">
        <v>163</v>
      </c>
      <c r="J128" s="93" t="s">
        <v>42</v>
      </c>
      <c r="N128" s="94" t="s">
        <v>164</v>
      </c>
      <c r="O128" s="94">
        <v>2017</v>
      </c>
    </row>
    <row r="129" spans="1:11" s="94" customFormat="1" ht="26.25" customHeight="1" x14ac:dyDescent="0.25">
      <c r="A129" s="87" t="s">
        <v>165</v>
      </c>
      <c r="B129" s="88"/>
      <c r="C129" s="88">
        <v>1</v>
      </c>
      <c r="D129" s="88"/>
      <c r="E129" s="88"/>
      <c r="F129" s="89">
        <f t="shared" si="4"/>
        <v>1</v>
      </c>
      <c r="G129" s="90"/>
      <c r="H129" s="91" t="s">
        <v>166</v>
      </c>
      <c r="I129" s="92" t="s">
        <v>127</v>
      </c>
      <c r="J129" s="93" t="s">
        <v>42</v>
      </c>
      <c r="K129" s="94">
        <v>19</v>
      </c>
    </row>
    <row r="130" spans="1:11" s="94" customFormat="1" ht="12.95" customHeight="1" x14ac:dyDescent="0.25">
      <c r="A130" s="87" t="s">
        <v>167</v>
      </c>
      <c r="B130" s="88"/>
      <c r="C130" s="88"/>
      <c r="D130" s="88">
        <v>1</v>
      </c>
      <c r="E130" s="88"/>
      <c r="F130" s="89">
        <f t="shared" si="4"/>
        <v>1</v>
      </c>
      <c r="G130" s="90"/>
      <c r="H130" s="91" t="s">
        <v>168</v>
      </c>
      <c r="I130" s="92" t="s">
        <v>10</v>
      </c>
      <c r="J130" s="93" t="s">
        <v>42</v>
      </c>
      <c r="K130" s="94">
        <v>16</v>
      </c>
    </row>
    <row r="131" spans="1:11" s="94" customFormat="1" ht="12.95" customHeight="1" x14ac:dyDescent="0.2">
      <c r="A131" s="87" t="s">
        <v>171</v>
      </c>
      <c r="B131" s="88"/>
      <c r="C131" s="88">
        <v>1</v>
      </c>
      <c r="D131" s="88"/>
      <c r="E131" s="88"/>
      <c r="F131" s="96">
        <f t="shared" si="4"/>
        <v>1</v>
      </c>
      <c r="G131" s="90"/>
      <c r="H131" s="91" t="s">
        <v>172</v>
      </c>
      <c r="I131" s="92" t="s">
        <v>173</v>
      </c>
      <c r="J131" s="93" t="s">
        <v>42</v>
      </c>
      <c r="K131" s="94">
        <v>12</v>
      </c>
    </row>
    <row r="132" spans="1:11" s="94" customFormat="1" ht="12.95" customHeight="1" x14ac:dyDescent="0.25">
      <c r="A132" s="87" t="s">
        <v>169</v>
      </c>
      <c r="B132" s="88"/>
      <c r="C132" s="88"/>
      <c r="D132" s="88">
        <v>1</v>
      </c>
      <c r="E132" s="88"/>
      <c r="F132" s="89">
        <f t="shared" si="4"/>
        <v>1</v>
      </c>
      <c r="G132" s="90" t="s">
        <v>5</v>
      </c>
      <c r="H132" s="91" t="s">
        <v>170</v>
      </c>
      <c r="I132" s="92" t="s">
        <v>40</v>
      </c>
      <c r="J132" s="93" t="s">
        <v>42</v>
      </c>
      <c r="K132" s="94">
        <v>22</v>
      </c>
    </row>
    <row r="133" spans="1:11" s="94" customFormat="1" ht="26.25" customHeight="1" x14ac:dyDescent="0.25">
      <c r="A133" s="87" t="s">
        <v>174</v>
      </c>
      <c r="B133" s="88"/>
      <c r="C133" s="88"/>
      <c r="D133" s="88">
        <v>1</v>
      </c>
      <c r="E133" s="88"/>
      <c r="F133" s="89">
        <f t="shared" si="4"/>
        <v>1</v>
      </c>
      <c r="G133" s="90"/>
      <c r="H133" s="91" t="s">
        <v>175</v>
      </c>
      <c r="I133" s="92" t="s">
        <v>176</v>
      </c>
      <c r="J133" s="93" t="s">
        <v>42</v>
      </c>
      <c r="K133" s="94">
        <v>17</v>
      </c>
    </row>
    <row r="134" spans="1:11" s="29" customFormat="1" ht="12.95" customHeight="1" x14ac:dyDescent="0.25">
      <c r="A134" s="26" t="s">
        <v>177</v>
      </c>
      <c r="B134" s="27">
        <v>1</v>
      </c>
      <c r="C134" s="27"/>
      <c r="D134" s="27"/>
      <c r="E134" s="27"/>
      <c r="F134" s="77">
        <f t="shared" si="4"/>
        <v>1</v>
      </c>
      <c r="G134" s="28"/>
      <c r="H134" s="78" t="s">
        <v>178</v>
      </c>
      <c r="I134" s="79" t="s">
        <v>176</v>
      </c>
      <c r="J134" s="80" t="s">
        <v>42</v>
      </c>
      <c r="K134" s="29">
        <v>8</v>
      </c>
    </row>
    <row r="135" spans="1:11" s="94" customFormat="1" ht="12.95" customHeight="1" x14ac:dyDescent="0.25">
      <c r="A135" s="92" t="s">
        <v>42</v>
      </c>
      <c r="B135" s="88"/>
      <c r="C135" s="88">
        <v>2</v>
      </c>
      <c r="D135" s="88"/>
      <c r="E135" s="88"/>
      <c r="F135" s="89">
        <f t="shared" si="4"/>
        <v>2</v>
      </c>
      <c r="G135" s="90"/>
      <c r="H135" s="91" t="s">
        <v>139</v>
      </c>
      <c r="I135" s="92" t="s">
        <v>42</v>
      </c>
      <c r="J135" s="93" t="s">
        <v>42</v>
      </c>
      <c r="K135" s="94">
        <v>27</v>
      </c>
    </row>
    <row r="136" spans="1:11" s="94" customFormat="1" ht="12.95" customHeight="1" x14ac:dyDescent="0.25">
      <c r="A136" s="87" t="s">
        <v>179</v>
      </c>
      <c r="B136" s="88"/>
      <c r="C136" s="88"/>
      <c r="D136" s="88">
        <v>1</v>
      </c>
      <c r="E136" s="88"/>
      <c r="F136" s="89">
        <f t="shared" si="4"/>
        <v>1</v>
      </c>
      <c r="G136" s="90" t="s">
        <v>5</v>
      </c>
      <c r="H136" s="91" t="s">
        <v>180</v>
      </c>
      <c r="I136" s="92" t="s">
        <v>152</v>
      </c>
      <c r="J136" s="93" t="s">
        <v>53</v>
      </c>
    </row>
    <row r="137" spans="1:11" s="94" customFormat="1" ht="12.75" customHeight="1" x14ac:dyDescent="0.25">
      <c r="A137" s="87" t="s">
        <v>181</v>
      </c>
      <c r="B137" s="88"/>
      <c r="C137" s="88"/>
      <c r="D137" s="88">
        <v>5</v>
      </c>
      <c r="E137" s="88"/>
      <c r="F137" s="89">
        <f t="shared" si="4"/>
        <v>5</v>
      </c>
      <c r="G137" s="90" t="s">
        <v>5</v>
      </c>
      <c r="H137" s="91" t="s">
        <v>182</v>
      </c>
      <c r="I137" s="92" t="s">
        <v>183</v>
      </c>
      <c r="J137" s="93" t="s">
        <v>42</v>
      </c>
      <c r="K137" s="94">
        <v>1</v>
      </c>
    </row>
    <row r="138" spans="1:11" s="94" customFormat="1" ht="12.75" customHeight="1" x14ac:dyDescent="0.25">
      <c r="A138" s="87" t="s">
        <v>193</v>
      </c>
      <c r="B138" s="88"/>
      <c r="C138" s="88">
        <v>1</v>
      </c>
      <c r="D138" s="88"/>
      <c r="E138" s="88"/>
      <c r="F138" s="89">
        <f t="shared" si="4"/>
        <v>1</v>
      </c>
      <c r="G138" s="90"/>
      <c r="H138" s="91" t="s">
        <v>195</v>
      </c>
      <c r="I138" s="92" t="s">
        <v>194</v>
      </c>
      <c r="J138" s="93" t="s">
        <v>42</v>
      </c>
    </row>
    <row r="139" spans="1:11" s="12" customFormat="1" ht="15.75" customHeight="1" x14ac:dyDescent="0.25">
      <c r="A139" s="7" t="s">
        <v>7</v>
      </c>
      <c r="B139" s="8">
        <f>SUM(B114:B138)</f>
        <v>5</v>
      </c>
      <c r="C139" s="8">
        <f>SUM(C114:C138)</f>
        <v>6</v>
      </c>
      <c r="D139" s="8">
        <f>SUM(D114:D138)</f>
        <v>20</v>
      </c>
      <c r="E139" s="8">
        <f>SUM(E114:E138)</f>
        <v>1</v>
      </c>
      <c r="F139" s="14">
        <f>SUM(F114:F138)</f>
        <v>32</v>
      </c>
      <c r="G139" s="283"/>
      <c r="H139" s="284"/>
      <c r="I139" s="9"/>
      <c r="J139" s="10"/>
      <c r="K139" s="11"/>
    </row>
  </sheetData>
  <autoFilter ref="I1:I139"/>
  <mergeCells count="17">
    <mergeCell ref="G103:H103"/>
    <mergeCell ref="G139:H139"/>
    <mergeCell ref="H38:J38"/>
    <mergeCell ref="G41:H41"/>
    <mergeCell ref="G36:H36"/>
    <mergeCell ref="G93:H93"/>
    <mergeCell ref="G64:H64"/>
    <mergeCell ref="G79:H79"/>
    <mergeCell ref="G110:H110"/>
    <mergeCell ref="G84:H84"/>
    <mergeCell ref="G8:H8"/>
    <mergeCell ref="G15:H15"/>
    <mergeCell ref="G98:H98"/>
    <mergeCell ref="G31:H31"/>
    <mergeCell ref="G50:H50"/>
    <mergeCell ref="G21:H21"/>
    <mergeCell ref="G26:H26"/>
  </mergeCells>
  <conditionalFormatting sqref="G79 G48:G75 G120:G121 G135 G81:G114 G139:G1048576 G1:G46 G116:G117">
    <cfRule type="cellIs" dxfId="46" priority="204" operator="equal">
      <formula>"PG"</formula>
    </cfRule>
  </conditionalFormatting>
  <conditionalFormatting sqref="A100:A101 A103 A86:A87 A110 A105:A106 A64 A52:A53 A66:A67 A79 A49:A50 A98 A41 A95:A96 A36 A38:A39 A28:A29 A33:A34 A31 A93 A21 A17:A18 A8 A1:A2 A23:A24 A43:A46 A81:A84 A120:A121 A136 A139 A112:A114 A10:A15 A116:A117">
    <cfRule type="cellIs" dxfId="45" priority="203" operator="equal">
      <formula>"TOTAL GERAL"</formula>
    </cfRule>
  </conditionalFormatting>
  <conditionalFormatting sqref="G38:G40">
    <cfRule type="cellIs" dxfId="44" priority="94" operator="equal">
      <formula>"PG"</formula>
    </cfRule>
  </conditionalFormatting>
  <conditionalFormatting sqref="G80">
    <cfRule type="cellIs" dxfId="43" priority="57" operator="equal">
      <formula>"PG"</formula>
    </cfRule>
  </conditionalFormatting>
  <conditionalFormatting sqref="G127">
    <cfRule type="cellIs" dxfId="42" priority="30" operator="equal">
      <formula>"PG"</formula>
    </cfRule>
  </conditionalFormatting>
  <conditionalFormatting sqref="A127">
    <cfRule type="cellIs" dxfId="41" priority="29" operator="equal">
      <formula>"TOTAL GERAL"</formula>
    </cfRule>
  </conditionalFormatting>
  <conditionalFormatting sqref="G77">
    <cfRule type="cellIs" dxfId="40" priority="48" operator="equal">
      <formula>"PG"</formula>
    </cfRule>
  </conditionalFormatting>
  <conditionalFormatting sqref="A126">
    <cfRule type="cellIs" dxfId="39" priority="27" operator="equal">
      <formula>"TOTAL GERAL"</formula>
    </cfRule>
  </conditionalFormatting>
  <conditionalFormatting sqref="A26">
    <cfRule type="cellIs" dxfId="38" priority="50" operator="equal">
      <formula>"TOTAL GERAL"</formula>
    </cfRule>
  </conditionalFormatting>
  <conditionalFormatting sqref="G76">
    <cfRule type="cellIs" dxfId="37" priority="49" operator="equal">
      <formula>"PG"</formula>
    </cfRule>
  </conditionalFormatting>
  <conditionalFormatting sqref="G126">
    <cfRule type="cellIs" dxfId="36" priority="28" operator="equal">
      <formula>"PG"</formula>
    </cfRule>
  </conditionalFormatting>
  <conditionalFormatting sqref="G78">
    <cfRule type="cellIs" dxfId="35" priority="47" operator="equal">
      <formula>"PG"</formula>
    </cfRule>
  </conditionalFormatting>
  <conditionalFormatting sqref="A47">
    <cfRule type="cellIs" dxfId="34" priority="45" operator="equal">
      <formula>"TOTAL GERAL"</formula>
    </cfRule>
  </conditionalFormatting>
  <conditionalFormatting sqref="G47">
    <cfRule type="cellIs" dxfId="33" priority="46" operator="equal">
      <formula>"PG"</formula>
    </cfRule>
  </conditionalFormatting>
  <conditionalFormatting sqref="G118">
    <cfRule type="cellIs" dxfId="32" priority="42" operator="equal">
      <formula>"PG"</formula>
    </cfRule>
  </conditionalFormatting>
  <conditionalFormatting sqref="A118">
    <cfRule type="cellIs" dxfId="31" priority="41" operator="equal">
      <formula>"TOTAL GERAL"</formula>
    </cfRule>
  </conditionalFormatting>
  <conditionalFormatting sqref="G119">
    <cfRule type="cellIs" dxfId="30" priority="40" operator="equal">
      <formula>"PG"</formula>
    </cfRule>
  </conditionalFormatting>
  <conditionalFormatting sqref="A119">
    <cfRule type="cellIs" dxfId="29" priority="39" operator="equal">
      <formula>"TOTAL GERAL"</formula>
    </cfRule>
  </conditionalFormatting>
  <conditionalFormatting sqref="G122">
    <cfRule type="cellIs" dxfId="28" priority="38" operator="equal">
      <formula>"PG"</formula>
    </cfRule>
  </conditionalFormatting>
  <conditionalFormatting sqref="A122">
    <cfRule type="cellIs" dxfId="27" priority="37" operator="equal">
      <formula>"TOTAL GERAL"</formula>
    </cfRule>
  </conditionalFormatting>
  <conditionalFormatting sqref="G123">
    <cfRule type="cellIs" dxfId="26" priority="36" operator="equal">
      <formula>"PG"</formula>
    </cfRule>
  </conditionalFormatting>
  <conditionalFormatting sqref="A123">
    <cfRule type="cellIs" dxfId="25" priority="35" operator="equal">
      <formula>"TOTAL GERAL"</formula>
    </cfRule>
  </conditionalFormatting>
  <conditionalFormatting sqref="G124">
    <cfRule type="cellIs" dxfId="24" priority="34" operator="equal">
      <formula>"PG"</formula>
    </cfRule>
  </conditionalFormatting>
  <conditionalFormatting sqref="A124">
    <cfRule type="cellIs" dxfId="23" priority="33" operator="equal">
      <formula>"TOTAL GERAL"</formula>
    </cfRule>
  </conditionalFormatting>
  <conditionalFormatting sqref="G125">
    <cfRule type="cellIs" dxfId="22" priority="32" operator="equal">
      <formula>"PG"</formula>
    </cfRule>
  </conditionalFormatting>
  <conditionalFormatting sqref="A125">
    <cfRule type="cellIs" dxfId="21" priority="31" operator="equal">
      <formula>"TOTAL GERAL"</formula>
    </cfRule>
  </conditionalFormatting>
  <conditionalFormatting sqref="G133">
    <cfRule type="cellIs" dxfId="20" priority="12" operator="equal">
      <formula>"PG"</formula>
    </cfRule>
  </conditionalFormatting>
  <conditionalFormatting sqref="A134">
    <cfRule type="cellIs" dxfId="19" priority="9" operator="equal">
      <formula>"TOTAL GERAL"</formula>
    </cfRule>
  </conditionalFormatting>
  <conditionalFormatting sqref="G128">
    <cfRule type="cellIs" dxfId="18" priority="22" operator="equal">
      <formula>"PG"</formula>
    </cfRule>
  </conditionalFormatting>
  <conditionalFormatting sqref="A128">
    <cfRule type="cellIs" dxfId="17" priority="21" operator="equal">
      <formula>"TOTAL GERAL"</formula>
    </cfRule>
  </conditionalFormatting>
  <conditionalFormatting sqref="G129">
    <cfRule type="cellIs" dxfId="16" priority="20" operator="equal">
      <formula>"PG"</formula>
    </cfRule>
  </conditionalFormatting>
  <conditionalFormatting sqref="A129">
    <cfRule type="cellIs" dxfId="15" priority="19" operator="equal">
      <formula>"TOTAL GERAL"</formula>
    </cfRule>
  </conditionalFormatting>
  <conditionalFormatting sqref="G130">
    <cfRule type="cellIs" dxfId="14" priority="18" operator="equal">
      <formula>"PG"</formula>
    </cfRule>
  </conditionalFormatting>
  <conditionalFormatting sqref="A130">
    <cfRule type="cellIs" dxfId="13" priority="17" operator="equal">
      <formula>"TOTAL GERAL"</formula>
    </cfRule>
  </conditionalFormatting>
  <conditionalFormatting sqref="G132">
    <cfRule type="cellIs" dxfId="12" priority="16" operator="equal">
      <formula>"PG"</formula>
    </cfRule>
  </conditionalFormatting>
  <conditionalFormatting sqref="A132">
    <cfRule type="cellIs" dxfId="11" priority="15" operator="equal">
      <formula>"TOTAL GERAL"</formula>
    </cfRule>
  </conditionalFormatting>
  <conditionalFormatting sqref="G131">
    <cfRule type="cellIs" dxfId="10" priority="14" operator="equal">
      <formula>"PG"</formula>
    </cfRule>
  </conditionalFormatting>
  <conditionalFormatting sqref="A131">
    <cfRule type="cellIs" dxfId="9" priority="13" operator="equal">
      <formula>"TOTAL GERAL"</formula>
    </cfRule>
  </conditionalFormatting>
  <conditionalFormatting sqref="A133">
    <cfRule type="cellIs" dxfId="8" priority="11" operator="equal">
      <formula>"TOTAL GERAL"</formula>
    </cfRule>
  </conditionalFormatting>
  <conditionalFormatting sqref="G134">
    <cfRule type="cellIs" dxfId="7" priority="10" operator="equal">
      <formula>"PG"</formula>
    </cfRule>
  </conditionalFormatting>
  <conditionalFormatting sqref="G137">
    <cfRule type="cellIs" dxfId="6" priority="8" operator="equal">
      <formula>"PG"</formula>
    </cfRule>
  </conditionalFormatting>
  <conditionalFormatting sqref="A137">
    <cfRule type="cellIs" dxfId="5" priority="7" operator="equal">
      <formula>"TOTAL GERAL"</formula>
    </cfRule>
  </conditionalFormatting>
  <conditionalFormatting sqref="G136">
    <cfRule type="cellIs" dxfId="4" priority="6" operator="equal">
      <formula>"PG"</formula>
    </cfRule>
  </conditionalFormatting>
  <conditionalFormatting sqref="G115">
    <cfRule type="cellIs" dxfId="3" priority="5" operator="equal">
      <formula>"PG"</formula>
    </cfRule>
  </conditionalFormatting>
  <conditionalFormatting sqref="G138">
    <cfRule type="cellIs" dxfId="2" priority="3" operator="equal">
      <formula>"PG"</formula>
    </cfRule>
  </conditionalFormatting>
  <conditionalFormatting sqref="A138">
    <cfRule type="cellIs" dxfId="1" priority="2" operator="equal">
      <formula>"TOTAL GERAL"</formula>
    </cfRule>
  </conditionalFormatting>
  <conditionalFormatting sqref="A115">
    <cfRule type="cellIs" dxfId="0" priority="1" operator="equal">
      <formula>"TOTAL GERAL"</formula>
    </cfRule>
  </conditionalFormatting>
  <pageMargins left="0.19685039370078741" right="0.19685039370078741" top="0.39370078740157483" bottom="0" header="0.19685039370078741" footer="0.31496062992125984"/>
  <pageSetup paperSize="9" orientation="landscape" r:id="rId1"/>
  <headerFooter>
    <oddHeader xml:space="preserve">&amp;CPágina &amp;P de &amp;N&amp;R&amp;F </oddHeader>
  </headerFooter>
  <rowBreaks count="1" manualBreakCount="1">
    <brk id="111" max="9" man="1"/>
  </rowBreak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6791DE8D-1D85-438A-8522-A6ED963A9A8D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13</vt:i4>
      </vt:variant>
      <vt:variant>
        <vt:lpstr>Intervalos nomeados</vt:lpstr>
      </vt:variant>
      <vt:variant>
        <vt:i4>8</vt:i4>
      </vt:variant>
    </vt:vector>
  </HeadingPairs>
  <TitlesOfParts>
    <vt:vector size="21" baseType="lpstr">
      <vt:lpstr>Lançamento</vt:lpstr>
      <vt:lpstr>Clientes</vt:lpstr>
      <vt:lpstr>Pedidos</vt:lpstr>
      <vt:lpstr>RELATÓRIOS</vt:lpstr>
      <vt:lpstr>Quantitativo</vt:lpstr>
      <vt:lpstr>SETORIZAÇÃO IMPRESSÃO</vt:lpstr>
      <vt:lpstr>Planilha1</vt:lpstr>
      <vt:lpstr>PRINCIPAL</vt:lpstr>
      <vt:lpstr>Vendedores</vt:lpstr>
      <vt:lpstr>Pizzas -Produtos</vt:lpstr>
      <vt:lpstr>Setorização</vt:lpstr>
      <vt:lpstr>Plan1</vt:lpstr>
      <vt:lpstr>Original</vt:lpstr>
      <vt:lpstr>Original!Area_de_impressao</vt:lpstr>
      <vt:lpstr>Planilha1!Area_de_impressao</vt:lpstr>
      <vt:lpstr>PRINCIPAL!Area_de_impressao</vt:lpstr>
      <vt:lpstr>Clientes</vt:lpstr>
      <vt:lpstr>OUTRO</vt:lpstr>
      <vt:lpstr>ped_Pizza</vt:lpstr>
      <vt:lpstr>Planilha1!Titulos_de_impressao</vt:lpstr>
      <vt:lpstr>VENDEDORES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TCF</dc:creator>
  <cp:lastModifiedBy>Pri</cp:lastModifiedBy>
  <cp:lastPrinted>2020-03-04T02:46:21Z</cp:lastPrinted>
  <dcterms:created xsi:type="dcterms:W3CDTF">2016-02-10T08:49:54Z</dcterms:created>
  <dcterms:modified xsi:type="dcterms:W3CDTF">2020-11-10T14:20:06Z</dcterms:modified>
</cp:coreProperties>
</file>